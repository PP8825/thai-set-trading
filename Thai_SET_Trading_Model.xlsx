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charts/colors3.xml" ContentType="application/vnd.ms-office.chartcolorstyle+xml"/>
  <Override PartName="/xl/charts/style1.xml" ContentType="application/vnd.ms-office.chartstyle+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colors1.xml" ContentType="application/vnd.ms-office.chartcolorstyle+xml"/>
  <Override PartName="/xl/charts/style2.xml" ContentType="application/vnd.ms-office.chartstyle+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ET_Index" sheetId="2" state="visible" r:id="rId4"/>
    <sheet name="Assumptions" sheetId="3" state="visible" r:id="rId5"/>
    <sheet name="PTT" sheetId="4" state="visible" r:id="rId6"/>
    <sheet name="KBANK" sheetId="5" state="visible" r:id="rId7"/>
    <sheet name="AOT" sheetId="6" state="visible" r:id="rId8"/>
    <sheet name="ADVANC"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<sst xmlns="http://schemas.openxmlformats.org/spreadsheetml/2006/main" count="212" uniqueCount="93">
  <si>
    <t xml:space="preserve">Thai SET Trading Model — Live Signal Dashboard</t>
  </si>
  <si>
    <t xml:space="preserve">As of 10 April 2026  |  Signals based on RSI(14), SMA50 cross, and MACD(12,26,9)  |  For educational purposes only — not financial advice</t>
  </si>
  <si>
    <t xml:space="preserve">Instrument</t>
  </si>
  <si>
    <t xml:space="preserve">Last Date</t>
  </si>
  <si>
    <t xml:space="preserve">Close Price</t>
  </si>
  <si>
    <t xml:space="preserve">RSI (14)</t>
  </si>
  <si>
    <t xml:space="preserve">SMA 20</t>
  </si>
  <si>
    <t xml:space="preserve">SMA 50</t>
  </si>
  <si>
    <t xml:space="preserve">SMA 200</t>
  </si>
  <si>
    <t xml:space="preserve">RSI Signal</t>
  </si>
  <si>
    <t xml:space="preserve">MA Signal</t>
  </si>
  <si>
    <t xml:space="preserve">MACD Signal</t>
  </si>
  <si>
    <t xml:space="preserve">Score</t>
  </si>
  <si>
    <t xml:space="preserve">OVERALL SIGNAL</t>
  </si>
  <si>
    <t xml:space="preserve">SET_Index</t>
  </si>
  <si>
    <t xml:space="preserve">PTT</t>
  </si>
  <si>
    <t xml:space="preserve">KBANK</t>
  </si>
  <si>
    <t xml:space="preserve">AOT</t>
  </si>
  <si>
    <t xml:space="preserve">ADVANC</t>
  </si>
  <si>
    <t xml:space="preserve">HOW TO USE THIS MODEL</t>
  </si>
  <si>
    <t xml:space="preserve">1. ENTER YOUR DATA: Go to any instrument sheet (SET_Index, PTT, KBANK, AOT, ADVANC). Replace the blue input cells (columns A–F) with real price data from your broker or Bloomberg.</t>
  </si>
  <si>
    <t xml:space="preserve">2. ADJUST PARAMETERS: Go to the Assumptions sheet to change RSI thresholds, MA periods, etc. Signal formulas will auto-update.</t>
  </si>
  <si>
    <t xml:space="preserve">3. READ SIGNALS: Each row shows RSI Signal, MA Signal, and MACD Signal. The OVERALL column combines all three: STRONG BUY (3/3 bullish), BUY (2/3), HOLD (mixed), SELL (2/3 bearish), STRONG SELL (3/3 bearish).</t>
  </si>
  <si>
    <t xml:space="preserve">4. ADD MORE STOCKS: Duplicate any instrument sheet (right-click tab → Move or Copy) and replace the data in columns A–F with your new stock's data.</t>
  </si>
  <si>
    <t xml:space="preserve">5. SIGNAL LOGIC: RSI Signal — RSI&lt;30=BUY, RSI&gt;70=SELL | MA Signal — Close&gt;SMA50=BUY, Close&lt;SMA50=SELL | MACD Signal — MACD&gt;Signal=BUY, MACD&lt;Signal=SELL</t>
  </si>
  <si>
    <t xml:space="preserve">⚠  Note: SMA200 requires 200 days of data. Score/Overall signals begin after 50 days (when SMA50 becomes active). First 50 rows show partial signals only.</t>
  </si>
  <si>
    <t xml:space="preserve">Thai SET Trading Model  |  SET_Index  |  Rule-Based Buy/Sell Signals</t>
  </si>
  <si>
    <t xml:space="preserve">Date</t>
  </si>
  <si>
    <t xml:space="preserve">Open</t>
  </si>
  <si>
    <t xml:space="preserve">High</t>
  </si>
  <si>
    <t xml:space="preserve">Low</t>
  </si>
  <si>
    <t xml:space="preserve">Close (Points)</t>
  </si>
  <si>
    <t xml:space="preserve">Volume</t>
  </si>
  <si>
    <t xml:space="preserve">Change</t>
  </si>
  <si>
    <t xml:space="preserve">% Change</t>
  </si>
  <si>
    <t xml:space="preserve">Gain</t>
  </si>
  <si>
    <t xml:space="preserve">Loss</t>
  </si>
  <si>
    <t xml:space="preserve">Avg Gain 14</t>
  </si>
  <si>
    <t xml:space="preserve">Avg Loss 14</t>
  </si>
  <si>
    <t xml:space="preserve">EMA 12</t>
  </si>
  <si>
    <t xml:space="preserve">EMA 26</t>
  </si>
  <si>
    <t xml:space="preserve">MACD Line</t>
  </si>
  <si>
    <t xml:space="preserve">Signal Line</t>
  </si>
  <si>
    <t xml:space="preserve">Histogram</t>
  </si>
  <si>
    <t xml:space="preserve">OVERALL</t>
  </si>
  <si>
    <t xml:space="preserve">Thai SET Trading Model — Assumptions &amp; Legend</t>
  </si>
  <si>
    <t xml:space="preserve">Parameter</t>
  </si>
  <si>
    <t xml:space="preserve">Value</t>
  </si>
  <si>
    <t xml:space="preserve">Description / Notes</t>
  </si>
  <si>
    <t xml:space="preserve">RSI Period (days)</t>
  </si>
  <si>
    <t xml:space="preserve">Lookback window for RSI — standard is 14</t>
  </si>
  <si>
    <t xml:space="preserve">RSI Overbought Threshold</t>
  </si>
  <si>
    <t xml:space="preserve">RSI above this → SELL signal (overbought)</t>
  </si>
  <si>
    <t xml:space="preserve">RSI Oversold Threshold</t>
  </si>
  <si>
    <t xml:space="preserve">RSI below this → BUY signal (oversold)</t>
  </si>
  <si>
    <t xml:space="preserve">SMA Short Period</t>
  </si>
  <si>
    <t xml:space="preserve">Fast simple moving average</t>
  </si>
  <si>
    <t xml:space="preserve">SMA Medium Period</t>
  </si>
  <si>
    <t xml:space="preserve">Medium-term SMA (trend confirmation)</t>
  </si>
  <si>
    <t xml:space="preserve">SMA Long Period</t>
  </si>
  <si>
    <t xml:space="preserve">Long-term SMA (major trend baseline)</t>
  </si>
  <si>
    <t xml:space="preserve">EMA Fast (MACD)</t>
  </si>
  <si>
    <t xml:space="preserve">Fast EMA for MACD line calculation</t>
  </si>
  <si>
    <t xml:space="preserve">EMA Slow (MACD)</t>
  </si>
  <si>
    <t xml:space="preserve">Slow EMA for MACD line calculation</t>
  </si>
  <si>
    <t xml:space="preserve">MACD Signal Period</t>
  </si>
  <si>
    <t xml:space="preserve">Signal line smoothing (EMA of MACD)</t>
  </si>
  <si>
    <t xml:space="preserve">Color Coding Legend</t>
  </si>
  <si>
    <t xml:space="preserve">Blue text</t>
  </si>
  <si>
    <t xml:space="preserve">  Sample  </t>
  </si>
  <si>
    <t xml:space="preserve">Hardcoded inputs — change these to adjust scenarios</t>
  </si>
  <si>
    <t xml:space="preserve">Black text</t>
  </si>
  <si>
    <t xml:space="preserve">Formulas &amp; calculations — do not edit</t>
  </si>
  <si>
    <t xml:space="preserve">Green text</t>
  </si>
  <si>
    <t xml:space="preserve">Cross-sheet links pulling from other worksheets</t>
  </si>
  <si>
    <t xml:space="preserve">Yellow fill</t>
  </si>
  <si>
    <t xml:space="preserve">Key assumptions requiring attention</t>
  </si>
  <si>
    <t xml:space="preserve">Green fill</t>
  </si>
  <si>
    <t xml:space="preserve">STRONG BUY signal</t>
  </si>
  <si>
    <t xml:space="preserve">Light green</t>
  </si>
  <si>
    <t xml:space="preserve">BUY signal</t>
  </si>
  <si>
    <t xml:space="preserve">Gray fill</t>
  </si>
  <si>
    <t xml:space="preserve">HOLD / neutral signal</t>
  </si>
  <si>
    <t xml:space="preserve">Light red</t>
  </si>
  <si>
    <t xml:space="preserve">SELL signal</t>
  </si>
  <si>
    <t xml:space="preserve">Red fill</t>
  </si>
  <si>
    <t xml:space="preserve">STRONG SELL signal</t>
  </si>
  <si>
    <t xml:space="preserve">⚠  DISCLAIMER: This model is for informational and educational purposes only. It does not constitute financial advice. Past signals do not guarantee future returns. Always conduct your own research before making investment decisions.</t>
  </si>
  <si>
    <t xml:space="preserve">Thai SET Trading Model  |  PTT  |  Rule-Based Buy/Sell Signals</t>
  </si>
  <si>
    <t xml:space="preserve">Close (THB)</t>
  </si>
  <si>
    <t xml:space="preserve">Thai SET Trading Model  |  KBANK  |  Rule-Based Buy/Sell Signals</t>
  </si>
  <si>
    <t xml:space="preserve">Thai SET Trading Model  |  AOT  |  Rule-Based Buy/Sell Signals</t>
  </si>
  <si>
    <t xml:space="preserve">Thai SET Trading Model  |  ADVANC  |  Rule-Based Buy/Sell Signals</t>
  </si>
</sst>
</file>

<file path=xl/styles.xml><?xml version="1.0" encoding="utf-8"?>
<styleSheet xmlns="http://schemas.openxmlformats.org/spreadsheetml/2006/main">
  <numFmts count="12">
    <numFmt numFmtId="164" formatCode="General"/>
    <numFmt numFmtId="165" formatCode="dd\-mmm\-yy"/>
    <numFmt numFmtId="166" formatCode="#,##0.00"/>
    <numFmt numFmtId="167" formatCode="0.0"/>
    <numFmt numFmtId="168" formatCode="@"/>
    <numFmt numFmtId="169" formatCode="0;\(0\);\-"/>
    <numFmt numFmtId="170" formatCode="#,##0"/>
    <numFmt numFmtId="171" formatCode="#,##0.00;\(#,##0.00\);\-"/>
    <numFmt numFmtId="172" formatCode="0.00%;\(0.00%\);\-"/>
    <numFmt numFmtId="173" formatCode="#,##0.0000"/>
    <numFmt numFmtId="174" formatCode="0.0000;\(0.0000\);\-"/>
    <numFmt numFmtId="175" formatCode="0"/>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595959"/>
      <name val="Arial"/>
      <family val="0"/>
      <charset val="1"/>
    </font>
    <font>
      <b val="true"/>
      <sz val="10"/>
      <color rgb="FFFFFFFF"/>
      <name val="Arial"/>
      <family val="0"/>
      <charset val="1"/>
    </font>
    <font>
      <b val="true"/>
      <sz val="10"/>
      <color rgb="FF000000"/>
      <name val="Arial"/>
      <family val="0"/>
      <charset val="1"/>
    </font>
    <font>
      <sz val="10"/>
      <color rgb="FF008000"/>
      <name val="Arial"/>
      <family val="0"/>
      <charset val="1"/>
    </font>
    <font>
      <b val="true"/>
      <sz val="10"/>
      <color rgb="FF008000"/>
      <name val="Arial"/>
      <family val="0"/>
      <charset val="1"/>
    </font>
    <font>
      <b val="true"/>
      <sz val="12"/>
      <color rgb="FF1F4E79"/>
      <name val="Arial"/>
      <family val="0"/>
      <charset val="1"/>
    </font>
    <font>
      <sz val="9"/>
      <color rgb="FF000000"/>
      <name val="Arial"/>
      <family val="0"/>
      <charset val="1"/>
    </font>
    <font>
      <sz val="9"/>
      <color rgb="FFC00000"/>
      <name val="Arial"/>
      <family val="0"/>
      <charset val="1"/>
    </font>
    <font>
      <b val="true"/>
      <sz val="13"/>
      <color rgb="FFFFFFFF"/>
      <name val="Arial"/>
      <family val="0"/>
      <charset val="1"/>
    </font>
    <font>
      <b val="true"/>
      <sz val="9"/>
      <color rgb="FFFFFFFF"/>
      <name val="Arial"/>
      <family val="0"/>
      <charset val="1"/>
    </font>
    <font>
      <sz val="9"/>
      <color rgb="FF0000FF"/>
      <name val="Arial"/>
      <family val="0"/>
      <charset val="1"/>
    </font>
    <font>
      <b val="true"/>
      <sz val="9"/>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00"/>
      <name val="Arial"/>
      <family val="0"/>
      <charset val="1"/>
    </font>
    <font>
      <sz val="10"/>
      <color rgb="FF0000FF"/>
      <name val="Arial"/>
      <family val="0"/>
      <charset val="1"/>
    </font>
    <font>
      <sz val="10"/>
      <color rgb="FF595959"/>
      <name val="Arial"/>
      <family val="0"/>
      <charset val="1"/>
    </font>
    <font>
      <b val="true"/>
      <sz val="12"/>
      <color rgb="FF000000"/>
      <name val="Arial"/>
      <family val="0"/>
      <charset val="1"/>
    </font>
    <font>
      <b val="true"/>
      <sz val="10"/>
      <color rgb="FF0000FF"/>
      <name val="Arial"/>
      <family val="0"/>
      <charset val="1"/>
    </font>
    <font>
      <b val="true"/>
      <sz val="10"/>
      <color rgb="FFFFFF00"/>
      <name val="Arial"/>
      <family val="0"/>
      <charset val="1"/>
    </font>
    <font>
      <b val="true"/>
      <sz val="10"/>
      <color rgb="FF00B050"/>
      <name val="Arial"/>
      <family val="0"/>
      <charset val="1"/>
    </font>
    <font>
      <b val="true"/>
      <sz val="10"/>
      <color rgb="FF92D050"/>
      <name val="Arial"/>
      <family val="0"/>
      <charset val="1"/>
    </font>
    <font>
      <b val="true"/>
      <sz val="10"/>
      <color rgb="FFD9D9D9"/>
      <name val="Arial"/>
      <family val="0"/>
      <charset val="1"/>
    </font>
    <font>
      <b val="true"/>
      <sz val="10"/>
      <color rgb="FFFF6666"/>
      <name val="Arial"/>
      <family val="0"/>
      <charset val="1"/>
    </font>
    <font>
      <b val="true"/>
      <sz val="10"/>
      <color rgb="FFFF0000"/>
      <name val="Arial"/>
      <family val="0"/>
      <charset val="1"/>
    </font>
    <font>
      <b val="true"/>
      <sz val="9"/>
      <color rgb="FFFF0000"/>
      <name val="Arial"/>
      <family val="0"/>
      <charset val="1"/>
    </font>
  </fonts>
  <fills count="24">
    <fill>
      <patternFill patternType="none"/>
    </fill>
    <fill>
      <patternFill patternType="gray125"/>
    </fill>
    <fill>
      <patternFill patternType="solid">
        <fgColor rgb="FF1F4E79"/>
        <bgColor rgb="FF003366"/>
      </patternFill>
    </fill>
    <fill>
      <patternFill patternType="solid">
        <fgColor rgb="FFDCE6F1"/>
        <bgColor rgb="FFE2EFDA"/>
      </patternFill>
    </fill>
    <fill>
      <patternFill patternType="solid">
        <fgColor rgb="FF2E75B6"/>
        <bgColor rgb="FF4472C4"/>
      </patternFill>
    </fill>
    <fill>
      <patternFill patternType="solid">
        <fgColor rgb="FFC55A11"/>
        <bgColor rgb="FFED7D31"/>
      </patternFill>
    </fill>
    <fill>
      <patternFill patternType="solid">
        <fgColor rgb="FF833C00"/>
        <bgColor rgb="FFC55A11"/>
      </patternFill>
    </fill>
    <fill>
      <patternFill patternType="solid">
        <fgColor rgb="FFF2F2F2"/>
        <bgColor rgb="FFE2EFDA"/>
      </patternFill>
    </fill>
    <fill>
      <patternFill patternType="solid">
        <fgColor rgb="FFFFFFFF"/>
        <bgColor rgb="FFF2F2F2"/>
      </patternFill>
    </fill>
    <fill>
      <patternFill patternType="solid">
        <fgColor rgb="FF4472C4"/>
        <bgColor rgb="FF2E75B6"/>
      </patternFill>
    </fill>
    <fill>
      <patternFill patternType="solid">
        <fgColor rgb="FF375623"/>
        <bgColor rgb="FF595959"/>
      </patternFill>
    </fill>
    <fill>
      <patternFill patternType="solid">
        <fgColor rgb="FF7030A0"/>
        <bgColor rgb="FF800080"/>
      </patternFill>
    </fill>
    <fill>
      <patternFill patternType="solid">
        <fgColor rgb="FFFFFF00"/>
        <bgColor rgb="FFFFFF00"/>
      </patternFill>
    </fill>
    <fill>
      <patternFill patternType="solid">
        <fgColor rgb="FFFFFFC0"/>
        <bgColor rgb="FFF2F2F2"/>
      </patternFill>
    </fill>
    <fill>
      <patternFill patternType="solid">
        <fgColor rgb="FF0000FF"/>
        <bgColor rgb="FF0000FF"/>
      </patternFill>
    </fill>
    <fill>
      <patternFill patternType="solid">
        <fgColor rgb="FF000000"/>
        <bgColor rgb="FF003300"/>
      </patternFill>
    </fill>
    <fill>
      <patternFill patternType="solid">
        <fgColor rgb="FF008000"/>
        <bgColor rgb="FF008080"/>
      </patternFill>
    </fill>
    <fill>
      <patternFill patternType="solid">
        <fgColor rgb="FFE2EFDA"/>
        <bgColor rgb="FFDCE6F1"/>
      </patternFill>
    </fill>
    <fill>
      <patternFill patternType="solid">
        <fgColor rgb="FF00B050"/>
        <bgColor rgb="FF008080"/>
      </patternFill>
    </fill>
    <fill>
      <patternFill patternType="solid">
        <fgColor rgb="FF92D050"/>
        <bgColor rgb="FF70AD47"/>
      </patternFill>
    </fill>
    <fill>
      <patternFill patternType="solid">
        <fgColor rgb="FFD9D9D9"/>
        <bgColor rgb="FFDCE6F1"/>
      </patternFill>
    </fill>
    <fill>
      <patternFill patternType="solid">
        <fgColor rgb="FFFCE4D6"/>
        <bgColor rgb="FFFFD7D7"/>
      </patternFill>
    </fill>
    <fill>
      <patternFill patternType="solid">
        <fgColor rgb="FFFF6666"/>
        <bgColor rgb="FFED7D31"/>
      </patternFill>
    </fill>
    <fill>
      <patternFill patternType="solid">
        <fgColor rgb="FFFF0000"/>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7" borderId="0" xfId="0" applyFont="true" applyBorder="true" applyAlignment="true" applyProtection="false">
      <alignment horizontal="left" vertical="center" textRotation="0" wrapText="true" indent="0" shrinkToFit="false"/>
      <protection locked="true" hidden="false"/>
    </xf>
    <xf numFmtId="164" fontId="11" fillId="8" borderId="0" xfId="0" applyFont="true" applyBorder="true" applyAlignment="true" applyProtection="false">
      <alignment horizontal="left" vertical="center" textRotation="0" wrapText="true" indent="0" shrinkToFit="false"/>
      <protection locked="true" hidden="false"/>
    </xf>
    <xf numFmtId="164" fontId="12" fillId="8"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70" fontId="15" fillId="0" borderId="1" xfId="0" applyFont="true" applyBorder="true" applyAlignment="true" applyProtection="false">
      <alignment horizontal="center" vertical="center" textRotation="0" wrapText="false" indent="0" shrinkToFit="false"/>
      <protection locked="true" hidden="false"/>
    </xf>
    <xf numFmtId="171" fontId="11" fillId="0" borderId="1" xfId="0" applyFont="true" applyBorder="true" applyAlignment="true" applyProtection="false">
      <alignment horizontal="center" vertical="center" textRotation="0" wrapText="false" indent="0" shrinkToFit="false"/>
      <protection locked="true" hidden="false"/>
    </xf>
    <xf numFmtId="172" fontId="11" fillId="0" borderId="1" xfId="0" applyFont="true" applyBorder="true" applyAlignment="true" applyProtection="false">
      <alignment horizontal="center" vertical="center" textRotation="0" wrapText="false" indent="0" shrinkToFit="false"/>
      <protection locked="true" hidden="false"/>
    </xf>
    <xf numFmtId="173"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74" fontId="11" fillId="0" borderId="1" xfId="0" applyFont="true" applyBorder="true" applyAlignment="true" applyProtection="false">
      <alignment horizontal="center" vertical="center" textRotation="0" wrapText="fals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75" fontId="21" fillId="12"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24" fillId="13" borderId="1" xfId="0" applyFont="true" applyBorder="true" applyAlignment="true" applyProtection="false">
      <alignment horizontal="left" vertical="center" textRotation="0" wrapText="false" indent="0" shrinkToFit="false"/>
      <protection locked="true" hidden="false"/>
    </xf>
    <xf numFmtId="164" fontId="0" fillId="14"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0" fillId="15"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0" fillId="16" borderId="1" xfId="0" applyFont="true" applyBorder="true" applyAlignment="false" applyProtection="false">
      <alignment horizontal="general" vertical="bottom" textRotation="0" wrapText="false" indent="0" shrinkToFit="false"/>
      <protection locked="true" hidden="false"/>
    </xf>
    <xf numFmtId="164" fontId="25" fillId="8" borderId="1" xfId="0" applyFont="true" applyBorder="true" applyAlignment="true" applyProtection="false">
      <alignment horizontal="left" vertical="center" textRotation="0" wrapText="fals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4" fontId="26" fillId="17" borderId="1" xfId="0" applyFont="true" applyBorder="true" applyAlignment="true" applyProtection="false">
      <alignment horizontal="left" vertical="center" textRotation="0" wrapText="false" indent="0" shrinkToFit="false"/>
      <protection locked="true" hidden="false"/>
    </xf>
    <xf numFmtId="164" fontId="0" fillId="18" borderId="1" xfId="0" applyFont="true" applyBorder="true" applyAlignment="false" applyProtection="false">
      <alignment horizontal="general" vertical="bottom" textRotation="0" wrapText="false" indent="0" shrinkToFit="false"/>
      <protection locked="true" hidden="false"/>
    </xf>
    <xf numFmtId="164" fontId="27" fillId="17" borderId="1" xfId="0" applyFont="true" applyBorder="true" applyAlignment="true" applyProtection="false">
      <alignment horizontal="left" vertical="center" textRotation="0" wrapText="false" indent="0" shrinkToFit="false"/>
      <protection locked="true" hidden="false"/>
    </xf>
    <xf numFmtId="164" fontId="0" fillId="19" borderId="1"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true" applyProtection="false">
      <alignment horizontal="left" vertical="center" textRotation="0" wrapText="false" indent="0" shrinkToFit="false"/>
      <protection locked="true" hidden="false"/>
    </xf>
    <xf numFmtId="164" fontId="0" fillId="20" borderId="1" xfId="0" applyFont="true" applyBorder="true" applyAlignment="false" applyProtection="false">
      <alignment horizontal="general" vertical="bottom" textRotation="0" wrapText="false" indent="0" shrinkToFit="false"/>
      <protection locked="true" hidden="false"/>
    </xf>
    <xf numFmtId="164" fontId="29" fillId="21" borderId="1" xfId="0" applyFont="true" applyBorder="true" applyAlignment="true" applyProtection="false">
      <alignment horizontal="left" vertical="center" textRotation="0" wrapText="false" indent="0" shrinkToFit="false"/>
      <protection locked="true" hidden="false"/>
    </xf>
    <xf numFmtId="164" fontId="0" fillId="22" borderId="1" xfId="0" applyFont="true" applyBorder="true" applyAlignment="false" applyProtection="false">
      <alignment horizontal="general" vertical="bottom" textRotation="0" wrapText="false" indent="0" shrinkToFit="false"/>
      <protection locked="true" hidden="false"/>
    </xf>
    <xf numFmtId="164" fontId="30" fillId="21" borderId="1" xfId="0" applyFont="true" applyBorder="true" applyAlignment="true" applyProtection="false">
      <alignment horizontal="left" vertical="center" textRotation="0" wrapText="false" indent="0" shrinkToFit="false"/>
      <protection locked="true" hidden="false"/>
    </xf>
    <xf numFmtId="164" fontId="0" fillId="23" borderId="1" xfId="0" applyFont="true" applyBorder="true" applyAlignment="false" applyProtection="false">
      <alignment horizontal="general" vertical="bottom" textRotation="0" wrapText="false" indent="0" shrinkToFit="false"/>
      <protection locked="true" hidden="false"/>
    </xf>
    <xf numFmtId="164" fontId="31" fillId="21"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name val="Arial"/>
        <charset val="1"/>
        <family val="0"/>
        <b val="1"/>
        <color rgb="FF000000"/>
        <sz val="10"/>
      </font>
      <fill>
        <patternFill>
          <bgColor rgb="FF92D050"/>
        </patternFill>
      </fill>
    </dxf>
    <dxf>
      <font>
        <name val="Arial"/>
        <charset val="1"/>
        <family val="0"/>
        <b val="1"/>
        <color rgb="FF000000"/>
        <sz val="10"/>
      </font>
      <fill>
        <patternFill>
          <bgColor rgb="FFFF6666"/>
        </patternFill>
      </fill>
    </dxf>
    <dxf>
      <font>
        <name val="Arial"/>
        <charset val="1"/>
        <family val="0"/>
        <color rgb="FF000000"/>
        <sz val="10"/>
      </font>
      <fill>
        <patternFill>
          <bgColor rgb="FFD9D9D9"/>
        </patternFill>
      </fill>
    </dxf>
    <dxf>
      <font>
        <name val="Arial"/>
        <charset val="1"/>
        <family val="0"/>
        <b val="1"/>
        <color rgb="FFFFFFFF"/>
        <sz val="10"/>
      </font>
      <fill>
        <patternFill>
          <bgColor rgb="FF00B050"/>
        </patternFill>
      </fill>
    </dxf>
    <dxf>
      <font>
        <name val="Arial"/>
        <charset val="1"/>
        <family val="0"/>
        <b val="1"/>
        <color rgb="FFFFFFFF"/>
        <sz val="10"/>
      </font>
      <fill>
        <patternFill>
          <bgColor rgb="FFFF0000"/>
        </patternFill>
      </fill>
    </dxf>
    <dxf>
      <font>
        <name val="Arial"/>
        <charset val="1"/>
        <family val="0"/>
        <b val="1"/>
        <color rgb="FF000000"/>
        <sz val="9"/>
      </font>
      <fill>
        <patternFill>
          <bgColor rgb="FF92D050"/>
        </patternFill>
      </fill>
    </dxf>
    <dxf>
      <font>
        <name val="Arial"/>
        <charset val="1"/>
        <family val="0"/>
        <b val="1"/>
        <color rgb="FF000000"/>
        <sz val="9"/>
      </font>
      <fill>
        <patternFill>
          <bgColor rgb="FFFF6666"/>
        </patternFill>
      </fill>
    </dxf>
    <dxf>
      <font>
        <name val="Arial"/>
        <charset val="1"/>
        <family val="0"/>
        <color rgb="FF000000"/>
        <sz val="9"/>
      </font>
      <fill>
        <patternFill>
          <bgColor rgb="FFD9D9D9"/>
        </patternFill>
      </fill>
    </dxf>
    <dxf>
      <font>
        <name val="Arial"/>
        <charset val="1"/>
        <family val="0"/>
        <b val="1"/>
        <color rgb="FFFFFFFF"/>
        <sz val="9"/>
      </font>
      <fill>
        <patternFill>
          <bgColor rgb="FF00B050"/>
        </patternFill>
      </fill>
    </dxf>
    <dxf>
      <font>
        <name val="Arial"/>
        <charset val="1"/>
        <family val="0"/>
        <b val="1"/>
        <color rgb="FFFFFFFF"/>
        <sz val="9"/>
      </font>
      <fill>
        <patternFill>
          <bgColor rgb="FFFF0000"/>
        </patternFill>
      </fill>
    </dxf>
    <dxf>
      <font>
        <name val="Arial"/>
        <charset val="1"/>
        <family val="0"/>
        <color rgb="FFC00000"/>
        <sz val="9"/>
      </font>
      <fill>
        <patternFill>
          <bgColor rgb="FFFFD7D7"/>
        </patternFill>
      </fill>
    </dxf>
    <dxf>
      <font>
        <name val="Arial"/>
        <charset val="1"/>
        <family val="0"/>
        <color rgb="FF375623"/>
        <sz val="9"/>
      </font>
      <fill>
        <patternFill>
          <bgColor rgb="FFD7FFD7"/>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78787"/>
      <rgbColor rgb="FF9999FF"/>
      <rgbColor rgb="FF7030A0"/>
      <rgbColor rgb="FFFFFFC0"/>
      <rgbColor rgb="FFE2EFDA"/>
      <rgbColor rgb="FF660066"/>
      <rgbColor rgb="FFFF6666"/>
      <rgbColor rgb="FF2E75B6"/>
      <rgbColor rgb="FFD9D9D9"/>
      <rgbColor rgb="FF000080"/>
      <rgbColor rgb="FFFF00FF"/>
      <rgbColor rgb="FFFFFF00"/>
      <rgbColor rgb="FF00FFFF"/>
      <rgbColor rgb="FF800080"/>
      <rgbColor rgb="FF800000"/>
      <rgbColor rgb="FF008080"/>
      <rgbColor rgb="FF0000FF"/>
      <rgbColor rgb="FF00CCFF"/>
      <rgbColor rgb="FFDCE6F1"/>
      <rgbColor rgb="FFD7FFD7"/>
      <rgbColor rgb="FFFCE4D6"/>
      <rgbColor rgb="FFF2F2F2"/>
      <rgbColor rgb="FFFF99CC"/>
      <rgbColor rgb="FFCC99FF"/>
      <rgbColor rgb="FFFFD7D7"/>
      <rgbColor rgb="FF4472C4"/>
      <rgbColor rgb="FF33CCCC"/>
      <rgbColor rgb="FF92D050"/>
      <rgbColor rgb="FFFFCC00"/>
      <rgbColor rgb="FFFF9900"/>
      <rgbColor rgb="FFED7D31"/>
      <rgbColor rgb="FF595959"/>
      <rgbColor rgb="FF70AD47"/>
      <rgbColor rgb="FF003366"/>
      <rgbColor rgb="FF00B050"/>
      <rgbColor rgb="FF003300"/>
      <rgbColor rgb="FF333300"/>
      <rgbColor rgb="FF833C00"/>
      <rgbColor rgb="FFC55A11"/>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SET_Index — Price with SMA20 &amp; SMA50</a:t>
            </a:r>
          </a:p>
        </c:rich>
      </c:tx>
      <c:overlay val="0"/>
      <c:spPr>
        <a:noFill/>
        <a:ln w="0">
          <a:noFill/>
        </a:ln>
      </c:spPr>
    </c:title>
    <c:autoTitleDeleted val="0"/>
    <c:plotArea>
      <c:lineChart>
        <c:grouping val="standard"/>
        <c:varyColors val="0"/>
        <c:ser>
          <c:idx val="0"/>
          <c:order val="0"/>
          <c:tx>
            <c:strRef>
              <c:f>"SET_Index Close"</c:f>
              <c:strCache>
                <c:ptCount val="1"/>
                <c:pt idx="0">
                  <c:v>SET_Index Close</c:v>
                </c:pt>
              </c:strCache>
            </c:strRef>
          </c:tx>
          <c:spPr>
            <a:solidFill>
              <a:srgbClr val="1F4E79"/>
            </a:solidFill>
            <a:ln w="18000">
              <a:solidFill>
                <a:srgbClr val="1F4E79"/>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8000">
                  <a:solidFill>
                    <a:srgbClr val="000000"/>
                  </a:solidFill>
                </a:ln>
              </c:spPr>
            </c:leaderLines>
            <c:extLst>
              <c:ext xmlns:c15="http://schemas.microsoft.com/office/drawing/2012/chart" uri="{CE6537A1-D6FC-4f65-9D91-7224C49458BB}">
                <c15:showLeaderLines val="1"/>
              </c:ext>
            </c:extLst>
          </c:dLbls>
          <c:val>
            <c:numRef>
              <c:f>SET_Index!$E$195:$E$254</c:f>
              <c:numCache>
                <c:formatCode>#,##0.00</c:formatCode>
                <c:ptCount val="60"/>
                <c:pt idx="0">
                  <c:v>1663.22</c:v>
                </c:pt>
                <c:pt idx="1">
                  <c:v>1663.43</c:v>
                </c:pt>
                <c:pt idx="2">
                  <c:v>1697.87</c:v>
                </c:pt>
                <c:pt idx="3">
                  <c:v>1669.82</c:v>
                </c:pt>
                <c:pt idx="4">
                  <c:v>1680.47</c:v>
                </c:pt>
                <c:pt idx="5">
                  <c:v>1676.01</c:v>
                </c:pt>
                <c:pt idx="6">
                  <c:v>1674.67</c:v>
                </c:pt>
                <c:pt idx="7">
                  <c:v>1703.75</c:v>
                </c:pt>
                <c:pt idx="8">
                  <c:v>1703.79</c:v>
                </c:pt>
                <c:pt idx="9">
                  <c:v>1738.68</c:v>
                </c:pt>
                <c:pt idx="10">
                  <c:v>1731.95</c:v>
                </c:pt>
                <c:pt idx="11">
                  <c:v>1737.6</c:v>
                </c:pt>
                <c:pt idx="12">
                  <c:v>1730.11</c:v>
                </c:pt>
                <c:pt idx="13">
                  <c:v>1719.56</c:v>
                </c:pt>
                <c:pt idx="14">
                  <c:v>1720.7</c:v>
                </c:pt>
                <c:pt idx="15">
                  <c:v>1716.5</c:v>
                </c:pt>
                <c:pt idx="16">
                  <c:v>1719.8</c:v>
                </c:pt>
                <c:pt idx="17">
                  <c:v>1687.69</c:v>
                </c:pt>
                <c:pt idx="18">
                  <c:v>1718.55</c:v>
                </c:pt>
                <c:pt idx="19">
                  <c:v>1716.14</c:v>
                </c:pt>
                <c:pt idx="20">
                  <c:v>1743.45</c:v>
                </c:pt>
                <c:pt idx="21">
                  <c:v>1727.89</c:v>
                </c:pt>
                <c:pt idx="22">
                  <c:v>1732.62</c:v>
                </c:pt>
                <c:pt idx="23">
                  <c:v>1782.86</c:v>
                </c:pt>
                <c:pt idx="24">
                  <c:v>1769.14</c:v>
                </c:pt>
                <c:pt idx="25">
                  <c:v>1745.67</c:v>
                </c:pt>
                <c:pt idx="26">
                  <c:v>1737.28</c:v>
                </c:pt>
                <c:pt idx="27">
                  <c:v>1744.86</c:v>
                </c:pt>
                <c:pt idx="28">
                  <c:v>1755.96</c:v>
                </c:pt>
                <c:pt idx="29">
                  <c:v>1776.65</c:v>
                </c:pt>
                <c:pt idx="30">
                  <c:v>1772.72</c:v>
                </c:pt>
                <c:pt idx="31">
                  <c:v>1747.52</c:v>
                </c:pt>
                <c:pt idx="32">
                  <c:v>1740.87</c:v>
                </c:pt>
                <c:pt idx="33">
                  <c:v>1760.59</c:v>
                </c:pt>
                <c:pt idx="34">
                  <c:v>1768.16</c:v>
                </c:pt>
                <c:pt idx="35">
                  <c:v>1737.46</c:v>
                </c:pt>
                <c:pt idx="36">
                  <c:v>1737.09</c:v>
                </c:pt>
                <c:pt idx="37">
                  <c:v>1759.26</c:v>
                </c:pt>
                <c:pt idx="38">
                  <c:v>1793.43</c:v>
                </c:pt>
                <c:pt idx="39">
                  <c:v>1802.7</c:v>
                </c:pt>
                <c:pt idx="40">
                  <c:v>1807.91</c:v>
                </c:pt>
                <c:pt idx="41">
                  <c:v>1788.02</c:v>
                </c:pt>
                <c:pt idx="42">
                  <c:v>1774.68</c:v>
                </c:pt>
                <c:pt idx="43">
                  <c:v>1775.61</c:v>
                </c:pt>
                <c:pt idx="44">
                  <c:v>1783.85</c:v>
                </c:pt>
                <c:pt idx="45">
                  <c:v>1793.37</c:v>
                </c:pt>
                <c:pt idx="46">
                  <c:v>1785.85</c:v>
                </c:pt>
                <c:pt idx="47">
                  <c:v>1767.61</c:v>
                </c:pt>
                <c:pt idx="48">
                  <c:v>1755.46</c:v>
                </c:pt>
                <c:pt idx="49">
                  <c:v>1737.45</c:v>
                </c:pt>
                <c:pt idx="50">
                  <c:v>1747.71</c:v>
                </c:pt>
                <c:pt idx="51">
                  <c:v>1711.89</c:v>
                </c:pt>
                <c:pt idx="52">
                  <c:v>1706.93</c:v>
                </c:pt>
                <c:pt idx="53">
                  <c:v>1714.03</c:v>
                </c:pt>
                <c:pt idx="54">
                  <c:v>1737.84</c:v>
                </c:pt>
                <c:pt idx="55">
                  <c:v>1739.13</c:v>
                </c:pt>
                <c:pt idx="56">
                  <c:v>1755.05</c:v>
                </c:pt>
                <c:pt idx="57">
                  <c:v>1748.93</c:v>
                </c:pt>
                <c:pt idx="58">
                  <c:v>1737.43</c:v>
                </c:pt>
                <c:pt idx="59">
                  <c:v>1727.09</c:v>
                </c:pt>
              </c:numCache>
            </c:numRef>
          </c:val>
          <c:smooth val="1"/>
        </c:ser>
        <c:ser>
          <c:idx val="1"/>
          <c:order val="1"/>
          <c:tx>
            <c:strRef>
              <c:f>"SMA 20"</c:f>
              <c:strCache>
                <c:ptCount val="1"/>
                <c:pt idx="0">
                  <c:v>SMA 20</c:v>
                </c:pt>
              </c:strCache>
            </c:strRef>
          </c:tx>
          <c:spPr>
            <a:solidFill>
              <a:srgbClr val="ED7D31"/>
            </a:solidFill>
            <a:ln w="11880">
              <a:solidFill>
                <a:srgbClr val="ED7D31"/>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SET_Index!$N$195:$N$254</c:f>
              <c:numCache>
                <c:formatCode>#,##0.00</c:formatCode>
                <c:ptCount val="60"/>
                <c:pt idx="0">
                  <c:v>1656.9395</c:v>
                </c:pt>
                <c:pt idx="1">
                  <c:v>1657.424</c:v>
                </c:pt>
                <c:pt idx="2">
                  <c:v>1659.399</c:v>
                </c:pt>
                <c:pt idx="3">
                  <c:v>1659.7915</c:v>
                </c:pt>
                <c:pt idx="4">
                  <c:v>1661.1615</c:v>
                </c:pt>
                <c:pt idx="5">
                  <c:v>1661.6495</c:v>
                </c:pt>
                <c:pt idx="6">
                  <c:v>1661.6055</c:v>
                </c:pt>
                <c:pt idx="7">
                  <c:v>1663.754</c:v>
                </c:pt>
                <c:pt idx="8">
                  <c:v>1665.508</c:v>
                </c:pt>
                <c:pt idx="9">
                  <c:v>1669.1455</c:v>
                </c:pt>
                <c:pt idx="10">
                  <c:v>1673.5425</c:v>
                </c:pt>
                <c:pt idx="11">
                  <c:v>1677.878</c:v>
                </c:pt>
                <c:pt idx="12">
                  <c:v>1681.8645</c:v>
                </c:pt>
                <c:pt idx="13">
                  <c:v>1685.867</c:v>
                </c:pt>
                <c:pt idx="14">
                  <c:v>1689.5315</c:v>
                </c:pt>
                <c:pt idx="15">
                  <c:v>1692.615</c:v>
                </c:pt>
                <c:pt idx="16">
                  <c:v>1696.284</c:v>
                </c:pt>
                <c:pt idx="17">
                  <c:v>1698.042</c:v>
                </c:pt>
                <c:pt idx="18">
                  <c:v>1700.5765</c:v>
                </c:pt>
                <c:pt idx="19">
                  <c:v>1703.5155</c:v>
                </c:pt>
                <c:pt idx="20">
                  <c:v>1707.527</c:v>
                </c:pt>
                <c:pt idx="21">
                  <c:v>1710.75</c:v>
                </c:pt>
                <c:pt idx="22">
                  <c:v>1712.4875</c:v>
                </c:pt>
                <c:pt idx="23">
                  <c:v>1718.1395</c:v>
                </c:pt>
                <c:pt idx="24">
                  <c:v>1722.573</c:v>
                </c:pt>
                <c:pt idx="25">
                  <c:v>1726.056</c:v>
                </c:pt>
                <c:pt idx="26">
                  <c:v>1729.1865</c:v>
                </c:pt>
                <c:pt idx="27">
                  <c:v>1731.242</c:v>
                </c:pt>
                <c:pt idx="28">
                  <c:v>1733.8505</c:v>
                </c:pt>
                <c:pt idx="29">
                  <c:v>1735.749</c:v>
                </c:pt>
                <c:pt idx="30">
                  <c:v>1737.7875</c:v>
                </c:pt>
                <c:pt idx="31">
                  <c:v>1738.2835</c:v>
                </c:pt>
                <c:pt idx="32">
                  <c:v>1738.8215</c:v>
                </c:pt>
                <c:pt idx="33">
                  <c:v>1740.873</c:v>
                </c:pt>
                <c:pt idx="34">
                  <c:v>1743.246</c:v>
                </c:pt>
                <c:pt idx="35">
                  <c:v>1744.294</c:v>
                </c:pt>
                <c:pt idx="36">
                  <c:v>1745.1585</c:v>
                </c:pt>
                <c:pt idx="37">
                  <c:v>1748.737</c:v>
                </c:pt>
                <c:pt idx="38">
                  <c:v>1752.481</c:v>
                </c:pt>
                <c:pt idx="39">
                  <c:v>1756.809</c:v>
                </c:pt>
                <c:pt idx="40">
                  <c:v>1760.032</c:v>
                </c:pt>
                <c:pt idx="41">
                  <c:v>1763.0385</c:v>
                </c:pt>
                <c:pt idx="42">
                  <c:v>1765.1415</c:v>
                </c:pt>
                <c:pt idx="43">
                  <c:v>1764.779</c:v>
                </c:pt>
                <c:pt idx="44">
                  <c:v>1765.5145</c:v>
                </c:pt>
                <c:pt idx="45">
                  <c:v>1767.8995</c:v>
                </c:pt>
                <c:pt idx="46">
                  <c:v>1770.328</c:v>
                </c:pt>
                <c:pt idx="47">
                  <c:v>1771.4655</c:v>
                </c:pt>
                <c:pt idx="48">
                  <c:v>1771.4405</c:v>
                </c:pt>
                <c:pt idx="49">
                  <c:v>1769.4805</c:v>
                </c:pt>
                <c:pt idx="50">
                  <c:v>1768.23</c:v>
                </c:pt>
                <c:pt idx="51">
                  <c:v>1766.4485</c:v>
                </c:pt>
                <c:pt idx="52">
                  <c:v>1764.7515</c:v>
                </c:pt>
                <c:pt idx="53">
                  <c:v>1762.4235</c:v>
                </c:pt>
                <c:pt idx="54">
                  <c:v>1760.9075</c:v>
                </c:pt>
                <c:pt idx="55">
                  <c:v>1760.991</c:v>
                </c:pt>
                <c:pt idx="56">
                  <c:v>1761.889</c:v>
                </c:pt>
                <c:pt idx="57">
                  <c:v>1761.3725</c:v>
                </c:pt>
                <c:pt idx="58">
                  <c:v>1758.5725</c:v>
                </c:pt>
                <c:pt idx="59">
                  <c:v>1754.792</c:v>
                </c:pt>
              </c:numCache>
            </c:numRef>
          </c:val>
          <c:smooth val="1"/>
        </c:ser>
        <c:ser>
          <c:idx val="2"/>
          <c:order val="2"/>
          <c:tx>
            <c:strRef>
              <c:f>"SMA 50"</c:f>
              <c:strCache>
                <c:ptCount val="1"/>
                <c:pt idx="0">
                  <c:v>SMA 50</c:v>
                </c:pt>
              </c:strCache>
            </c:strRef>
          </c:tx>
          <c:spPr>
            <a:solidFill>
              <a:srgbClr val="70AD47"/>
            </a:solidFill>
            <a:ln w="11880">
              <a:solidFill>
                <a:srgbClr val="70AD47"/>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SET_Index!$O$195:$O$254</c:f>
              <c:numCache>
                <c:formatCode>#,##0.00</c:formatCode>
                <c:ptCount val="60"/>
                <c:pt idx="0">
                  <c:v>1611.3828</c:v>
                </c:pt>
                <c:pt idx="1">
                  <c:v>1614.3192</c:v>
                </c:pt>
                <c:pt idx="2">
                  <c:v>1617.3848</c:v>
                </c:pt>
                <c:pt idx="3">
                  <c:v>1620.0558</c:v>
                </c:pt>
                <c:pt idx="4">
                  <c:v>1622.848</c:v>
                </c:pt>
                <c:pt idx="5">
                  <c:v>1625.98</c:v>
                </c:pt>
                <c:pt idx="6">
                  <c:v>1629.1902</c:v>
                </c:pt>
                <c:pt idx="7">
                  <c:v>1632.9078</c:v>
                </c:pt>
                <c:pt idx="8">
                  <c:v>1636.3972</c:v>
                </c:pt>
                <c:pt idx="9">
                  <c:v>1640.18</c:v>
                </c:pt>
                <c:pt idx="10">
                  <c:v>1643.8374</c:v>
                </c:pt>
                <c:pt idx="11">
                  <c:v>1647.9146</c:v>
                </c:pt>
                <c:pt idx="12">
                  <c:v>1651.7122</c:v>
                </c:pt>
                <c:pt idx="13">
                  <c:v>1655.152</c:v>
                </c:pt>
                <c:pt idx="14">
                  <c:v>1658.4742</c:v>
                </c:pt>
                <c:pt idx="15">
                  <c:v>1661.9046</c:v>
                </c:pt>
                <c:pt idx="16">
                  <c:v>1665.081</c:v>
                </c:pt>
                <c:pt idx="17">
                  <c:v>1667.5874</c:v>
                </c:pt>
                <c:pt idx="18">
                  <c:v>1670.5104</c:v>
                </c:pt>
                <c:pt idx="19">
                  <c:v>1673.0194</c:v>
                </c:pt>
                <c:pt idx="20">
                  <c:v>1675.8964</c:v>
                </c:pt>
                <c:pt idx="21">
                  <c:v>1678.3764</c:v>
                </c:pt>
                <c:pt idx="22">
                  <c:v>1680.3202</c:v>
                </c:pt>
                <c:pt idx="23">
                  <c:v>1683.1938</c:v>
                </c:pt>
                <c:pt idx="24">
                  <c:v>1685.877</c:v>
                </c:pt>
                <c:pt idx="25">
                  <c:v>1688.0546</c:v>
                </c:pt>
                <c:pt idx="26">
                  <c:v>1689.6212</c:v>
                </c:pt>
                <c:pt idx="27">
                  <c:v>1691.3006</c:v>
                </c:pt>
                <c:pt idx="28">
                  <c:v>1693.043</c:v>
                </c:pt>
                <c:pt idx="29">
                  <c:v>1694.8346</c:v>
                </c:pt>
                <c:pt idx="30">
                  <c:v>1696.6996</c:v>
                </c:pt>
                <c:pt idx="31">
                  <c:v>1698.5752</c:v>
                </c:pt>
                <c:pt idx="32">
                  <c:v>1700.2252</c:v>
                </c:pt>
                <c:pt idx="33">
                  <c:v>1702.1976</c:v>
                </c:pt>
                <c:pt idx="34">
                  <c:v>1704.4994</c:v>
                </c:pt>
                <c:pt idx="35">
                  <c:v>1705.9236</c:v>
                </c:pt>
                <c:pt idx="36">
                  <c:v>1707.1544</c:v>
                </c:pt>
                <c:pt idx="37">
                  <c:v>1709.124</c:v>
                </c:pt>
                <c:pt idx="38">
                  <c:v>1711.6184</c:v>
                </c:pt>
                <c:pt idx="39">
                  <c:v>1714.3538</c:v>
                </c:pt>
                <c:pt idx="40">
                  <c:v>1717.6318</c:v>
                </c:pt>
                <c:pt idx="41">
                  <c:v>1720.3744</c:v>
                </c:pt>
                <c:pt idx="42">
                  <c:v>1722.8604</c:v>
                </c:pt>
                <c:pt idx="43">
                  <c:v>1725.5824</c:v>
                </c:pt>
                <c:pt idx="44">
                  <c:v>1728.3112</c:v>
                </c:pt>
                <c:pt idx="45">
                  <c:v>1731.082</c:v>
                </c:pt>
                <c:pt idx="46">
                  <c:v>1733.8706</c:v>
                </c:pt>
                <c:pt idx="47">
                  <c:v>1736.1722</c:v>
                </c:pt>
                <c:pt idx="48">
                  <c:v>1737.9242</c:v>
                </c:pt>
                <c:pt idx="49">
                  <c:v>1739.526</c:v>
                </c:pt>
                <c:pt idx="50">
                  <c:v>1741.2158</c:v>
                </c:pt>
                <c:pt idx="51">
                  <c:v>1742.185</c:v>
                </c:pt>
                <c:pt idx="52">
                  <c:v>1742.3662</c:v>
                </c:pt>
                <c:pt idx="53">
                  <c:v>1743.2504</c:v>
                </c:pt>
                <c:pt idx="54">
                  <c:v>1744.3978</c:v>
                </c:pt>
                <c:pt idx="55">
                  <c:v>1745.6602</c:v>
                </c:pt>
                <c:pt idx="56">
                  <c:v>1747.2678</c:v>
                </c:pt>
                <c:pt idx="57">
                  <c:v>1748.1714</c:v>
                </c:pt>
                <c:pt idx="58">
                  <c:v>1748.8442</c:v>
                </c:pt>
                <c:pt idx="59">
                  <c:v>1748.6124</c:v>
                </c:pt>
              </c:numCache>
            </c:numRef>
          </c:val>
          <c:smooth val="1"/>
        </c:ser>
        <c:hiLowLines>
          <c:spPr>
            <a:ln w="0">
              <a:noFill/>
            </a:ln>
          </c:spPr>
        </c:hiLowLines>
        <c:marker val="0"/>
        <c:axId val="95542709"/>
        <c:axId val="18214741"/>
      </c:lineChart>
      <c:catAx>
        <c:axId val="9554270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Trading 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214741"/>
        <c:crosses val="autoZero"/>
        <c:auto val="1"/>
        <c:lblAlgn val="ctr"/>
        <c:lblOffset val="100"/>
        <c:noMultiLvlLbl val="0"/>
      </c:catAx>
      <c:valAx>
        <c:axId val="1821474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Price (Points)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54270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PTT — Price with SMA20 &amp; SMA50</a:t>
            </a:r>
          </a:p>
        </c:rich>
      </c:tx>
      <c:overlay val="0"/>
      <c:spPr>
        <a:noFill/>
        <a:ln w="0">
          <a:noFill/>
        </a:ln>
      </c:spPr>
    </c:title>
    <c:autoTitleDeleted val="0"/>
    <c:plotArea>
      <c:lineChart>
        <c:grouping val="standard"/>
        <c:varyColors val="0"/>
        <c:ser>
          <c:idx val="0"/>
          <c:order val="0"/>
          <c:tx>
            <c:strRef>
              <c:f>"PTT Close"</c:f>
              <c:strCache>
                <c:ptCount val="1"/>
                <c:pt idx="0">
                  <c:v>PTT Close</c:v>
                </c:pt>
              </c:strCache>
            </c:strRef>
          </c:tx>
          <c:spPr>
            <a:solidFill>
              <a:srgbClr val="1F4E79"/>
            </a:solidFill>
            <a:ln w="18000">
              <a:solidFill>
                <a:srgbClr val="1F4E79"/>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8000">
                  <a:solidFill>
                    <a:srgbClr val="000000"/>
                  </a:solidFill>
                </a:ln>
              </c:spPr>
            </c:leaderLines>
            <c:extLst>
              <c:ext xmlns:c15="http://schemas.microsoft.com/office/drawing/2012/chart" uri="{CE6537A1-D6FC-4f65-9D91-7224C49458BB}">
                <c15:showLeaderLines val="1"/>
              </c:ext>
            </c:extLst>
          </c:dLbls>
          <c:val>
            <c:numRef>
              <c:f>PTT!$E$195:$E$254</c:f>
              <c:numCache>
                <c:formatCode>#,##0.00</c:formatCode>
                <c:ptCount val="60"/>
                <c:pt idx="0">
                  <c:v>31.79</c:v>
                </c:pt>
                <c:pt idx="1">
                  <c:v>31.7</c:v>
                </c:pt>
                <c:pt idx="2">
                  <c:v>31.89</c:v>
                </c:pt>
                <c:pt idx="3">
                  <c:v>31.62</c:v>
                </c:pt>
                <c:pt idx="4">
                  <c:v>31.17</c:v>
                </c:pt>
                <c:pt idx="5">
                  <c:v>30.89</c:v>
                </c:pt>
                <c:pt idx="6">
                  <c:v>30.6</c:v>
                </c:pt>
                <c:pt idx="7">
                  <c:v>30.83</c:v>
                </c:pt>
                <c:pt idx="8">
                  <c:v>30.63</c:v>
                </c:pt>
                <c:pt idx="9">
                  <c:v>30.96</c:v>
                </c:pt>
                <c:pt idx="10">
                  <c:v>31.22</c:v>
                </c:pt>
                <c:pt idx="11">
                  <c:v>31.68</c:v>
                </c:pt>
                <c:pt idx="12">
                  <c:v>32.09</c:v>
                </c:pt>
                <c:pt idx="13">
                  <c:v>32.45</c:v>
                </c:pt>
                <c:pt idx="14">
                  <c:v>32.8</c:v>
                </c:pt>
                <c:pt idx="15">
                  <c:v>32.57</c:v>
                </c:pt>
                <c:pt idx="16">
                  <c:v>32.45</c:v>
                </c:pt>
                <c:pt idx="17">
                  <c:v>31.63</c:v>
                </c:pt>
                <c:pt idx="18">
                  <c:v>31.76</c:v>
                </c:pt>
                <c:pt idx="19">
                  <c:v>31.46</c:v>
                </c:pt>
                <c:pt idx="20">
                  <c:v>31.64</c:v>
                </c:pt>
                <c:pt idx="21">
                  <c:v>31.88</c:v>
                </c:pt>
                <c:pt idx="22">
                  <c:v>31.29</c:v>
                </c:pt>
                <c:pt idx="23">
                  <c:v>30.85</c:v>
                </c:pt>
                <c:pt idx="24">
                  <c:v>30.7</c:v>
                </c:pt>
                <c:pt idx="25">
                  <c:v>30.48</c:v>
                </c:pt>
                <c:pt idx="26">
                  <c:v>30.55</c:v>
                </c:pt>
                <c:pt idx="27">
                  <c:v>30.06</c:v>
                </c:pt>
                <c:pt idx="28">
                  <c:v>30.08</c:v>
                </c:pt>
                <c:pt idx="29">
                  <c:v>29.38</c:v>
                </c:pt>
                <c:pt idx="30">
                  <c:v>28.51</c:v>
                </c:pt>
                <c:pt idx="31">
                  <c:v>28.8</c:v>
                </c:pt>
                <c:pt idx="32">
                  <c:v>28.28</c:v>
                </c:pt>
                <c:pt idx="33">
                  <c:v>28.06</c:v>
                </c:pt>
                <c:pt idx="34">
                  <c:v>27.51</c:v>
                </c:pt>
                <c:pt idx="35">
                  <c:v>26.98</c:v>
                </c:pt>
                <c:pt idx="36">
                  <c:v>26.83</c:v>
                </c:pt>
                <c:pt idx="37">
                  <c:v>26.68</c:v>
                </c:pt>
                <c:pt idx="38">
                  <c:v>27.05</c:v>
                </c:pt>
                <c:pt idx="39">
                  <c:v>27.22</c:v>
                </c:pt>
                <c:pt idx="40">
                  <c:v>27.12</c:v>
                </c:pt>
                <c:pt idx="41">
                  <c:v>27.41</c:v>
                </c:pt>
                <c:pt idx="42">
                  <c:v>27.84</c:v>
                </c:pt>
                <c:pt idx="43">
                  <c:v>28</c:v>
                </c:pt>
                <c:pt idx="44">
                  <c:v>27.84</c:v>
                </c:pt>
                <c:pt idx="45">
                  <c:v>28.24</c:v>
                </c:pt>
                <c:pt idx="46">
                  <c:v>28.95</c:v>
                </c:pt>
                <c:pt idx="47">
                  <c:v>29.22</c:v>
                </c:pt>
                <c:pt idx="48">
                  <c:v>29.96</c:v>
                </c:pt>
                <c:pt idx="49">
                  <c:v>30.35</c:v>
                </c:pt>
                <c:pt idx="50">
                  <c:v>30.72</c:v>
                </c:pt>
                <c:pt idx="51">
                  <c:v>30.26</c:v>
                </c:pt>
                <c:pt idx="52">
                  <c:v>29.79</c:v>
                </c:pt>
                <c:pt idx="53">
                  <c:v>29.77</c:v>
                </c:pt>
                <c:pt idx="54">
                  <c:v>29.09</c:v>
                </c:pt>
                <c:pt idx="55">
                  <c:v>28.85</c:v>
                </c:pt>
                <c:pt idx="56">
                  <c:v>29.21</c:v>
                </c:pt>
                <c:pt idx="57">
                  <c:v>28.94</c:v>
                </c:pt>
                <c:pt idx="58">
                  <c:v>29.16</c:v>
                </c:pt>
                <c:pt idx="59">
                  <c:v>28.62</c:v>
                </c:pt>
              </c:numCache>
            </c:numRef>
          </c:val>
          <c:smooth val="1"/>
        </c:ser>
        <c:ser>
          <c:idx val="1"/>
          <c:order val="1"/>
          <c:tx>
            <c:strRef>
              <c:f>"SMA 20"</c:f>
              <c:strCache>
                <c:ptCount val="1"/>
                <c:pt idx="0">
                  <c:v>SMA 20</c:v>
                </c:pt>
              </c:strCache>
            </c:strRef>
          </c:tx>
          <c:spPr>
            <a:solidFill>
              <a:srgbClr val="ED7D31"/>
            </a:solidFill>
            <a:ln w="11880">
              <a:solidFill>
                <a:srgbClr val="ED7D31"/>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PTT!$N$195:$N$254</c:f>
              <c:numCache>
                <c:formatCode>#,##0.00</c:formatCode>
                <c:ptCount val="60"/>
                <c:pt idx="0">
                  <c:v>32.7</c:v>
                </c:pt>
                <c:pt idx="1">
                  <c:v>32.671</c:v>
                </c:pt>
                <c:pt idx="2">
                  <c:v>32.6305</c:v>
                </c:pt>
                <c:pt idx="3">
                  <c:v>32.612</c:v>
                </c:pt>
                <c:pt idx="4">
                  <c:v>32.5305</c:v>
                </c:pt>
                <c:pt idx="5">
                  <c:v>32.4145</c:v>
                </c:pt>
                <c:pt idx="6">
                  <c:v>32.2795</c:v>
                </c:pt>
                <c:pt idx="7">
                  <c:v>32.1545</c:v>
                </c:pt>
                <c:pt idx="8">
                  <c:v>31.978</c:v>
                </c:pt>
                <c:pt idx="9">
                  <c:v>31.8405</c:v>
                </c:pt>
                <c:pt idx="10">
                  <c:v>31.743</c:v>
                </c:pt>
                <c:pt idx="11">
                  <c:v>31.682</c:v>
                </c:pt>
                <c:pt idx="12">
                  <c:v>31.6475</c:v>
                </c:pt>
                <c:pt idx="13">
                  <c:v>31.654</c:v>
                </c:pt>
                <c:pt idx="14">
                  <c:v>31.6745</c:v>
                </c:pt>
                <c:pt idx="15">
                  <c:v>31.6805</c:v>
                </c:pt>
                <c:pt idx="16">
                  <c:v>31.6985</c:v>
                </c:pt>
                <c:pt idx="17">
                  <c:v>31.639</c:v>
                </c:pt>
                <c:pt idx="18">
                  <c:v>31.6175</c:v>
                </c:pt>
                <c:pt idx="19">
                  <c:v>31.6095</c:v>
                </c:pt>
                <c:pt idx="20">
                  <c:v>31.602</c:v>
                </c:pt>
                <c:pt idx="21">
                  <c:v>31.611</c:v>
                </c:pt>
                <c:pt idx="22">
                  <c:v>31.581</c:v>
                </c:pt>
                <c:pt idx="23">
                  <c:v>31.5425</c:v>
                </c:pt>
                <c:pt idx="24">
                  <c:v>31.519</c:v>
                </c:pt>
                <c:pt idx="25">
                  <c:v>31.4985</c:v>
                </c:pt>
                <c:pt idx="26">
                  <c:v>31.496</c:v>
                </c:pt>
                <c:pt idx="27">
                  <c:v>31.4575</c:v>
                </c:pt>
                <c:pt idx="28">
                  <c:v>31.43</c:v>
                </c:pt>
                <c:pt idx="29">
                  <c:v>31.351</c:v>
                </c:pt>
                <c:pt idx="30">
                  <c:v>31.2155</c:v>
                </c:pt>
                <c:pt idx="31">
                  <c:v>31.0715</c:v>
                </c:pt>
                <c:pt idx="32">
                  <c:v>30.881</c:v>
                </c:pt>
                <c:pt idx="33">
                  <c:v>30.6615</c:v>
                </c:pt>
                <c:pt idx="34">
                  <c:v>30.397</c:v>
                </c:pt>
                <c:pt idx="35">
                  <c:v>30.1175</c:v>
                </c:pt>
                <c:pt idx="36">
                  <c:v>29.8365</c:v>
                </c:pt>
                <c:pt idx="37">
                  <c:v>29.589</c:v>
                </c:pt>
                <c:pt idx="38">
                  <c:v>29.3535</c:v>
                </c:pt>
                <c:pt idx="39">
                  <c:v>29.1415</c:v>
                </c:pt>
                <c:pt idx="40">
                  <c:v>28.9155</c:v>
                </c:pt>
                <c:pt idx="41">
                  <c:v>28.692</c:v>
                </c:pt>
                <c:pt idx="42">
                  <c:v>28.5195</c:v>
                </c:pt>
                <c:pt idx="43">
                  <c:v>28.377</c:v>
                </c:pt>
                <c:pt idx="44">
                  <c:v>28.234</c:v>
                </c:pt>
                <c:pt idx="45">
                  <c:v>28.122</c:v>
                </c:pt>
                <c:pt idx="46">
                  <c:v>28.042</c:v>
                </c:pt>
                <c:pt idx="47">
                  <c:v>28</c:v>
                </c:pt>
                <c:pt idx="48">
                  <c:v>27.994</c:v>
                </c:pt>
                <c:pt idx="49">
                  <c:v>28.0425</c:v>
                </c:pt>
                <c:pt idx="50">
                  <c:v>28.153</c:v>
                </c:pt>
                <c:pt idx="51">
                  <c:v>28.226</c:v>
                </c:pt>
                <c:pt idx="52">
                  <c:v>28.3015</c:v>
                </c:pt>
                <c:pt idx="53">
                  <c:v>28.387</c:v>
                </c:pt>
                <c:pt idx="54">
                  <c:v>28.466</c:v>
                </c:pt>
                <c:pt idx="55">
                  <c:v>28.5595</c:v>
                </c:pt>
                <c:pt idx="56">
                  <c:v>28.6785</c:v>
                </c:pt>
                <c:pt idx="57">
                  <c:v>28.7915</c:v>
                </c:pt>
                <c:pt idx="58">
                  <c:v>28.897</c:v>
                </c:pt>
                <c:pt idx="59">
                  <c:v>28.967</c:v>
                </c:pt>
              </c:numCache>
            </c:numRef>
          </c:val>
          <c:smooth val="1"/>
        </c:ser>
        <c:ser>
          <c:idx val="2"/>
          <c:order val="2"/>
          <c:tx>
            <c:strRef>
              <c:f>"SMA 50"</c:f>
              <c:strCache>
                <c:ptCount val="1"/>
                <c:pt idx="0">
                  <c:v>SMA 50</c:v>
                </c:pt>
              </c:strCache>
            </c:strRef>
          </c:tx>
          <c:spPr>
            <a:solidFill>
              <a:srgbClr val="70AD47"/>
            </a:solidFill>
            <a:ln w="11880">
              <a:solidFill>
                <a:srgbClr val="70AD47"/>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PTT!$O$195:$O$254</c:f>
              <c:numCache>
                <c:formatCode>#,##0.00</c:formatCode>
                <c:ptCount val="60"/>
                <c:pt idx="0">
                  <c:v>32.1086</c:v>
                </c:pt>
                <c:pt idx="1">
                  <c:v>32.0964</c:v>
                </c:pt>
                <c:pt idx="2">
                  <c:v>32.081</c:v>
                </c:pt>
                <c:pt idx="3">
                  <c:v>32.0494</c:v>
                </c:pt>
                <c:pt idx="4">
                  <c:v>32.0122</c:v>
                </c:pt>
                <c:pt idx="5">
                  <c:v>31.9758</c:v>
                </c:pt>
                <c:pt idx="6">
                  <c:v>31.939</c:v>
                </c:pt>
                <c:pt idx="7">
                  <c:v>31.9156</c:v>
                </c:pt>
                <c:pt idx="8">
                  <c:v>31.8948</c:v>
                </c:pt>
                <c:pt idx="9">
                  <c:v>31.878</c:v>
                </c:pt>
                <c:pt idx="10">
                  <c:v>31.8662</c:v>
                </c:pt>
                <c:pt idx="11">
                  <c:v>31.8678</c:v>
                </c:pt>
                <c:pt idx="12">
                  <c:v>31.884</c:v>
                </c:pt>
                <c:pt idx="13">
                  <c:v>31.9042</c:v>
                </c:pt>
                <c:pt idx="14">
                  <c:v>31.9358</c:v>
                </c:pt>
                <c:pt idx="15">
                  <c:v>31.9718</c:v>
                </c:pt>
                <c:pt idx="16">
                  <c:v>32.0066</c:v>
                </c:pt>
                <c:pt idx="17">
                  <c:v>32.0272</c:v>
                </c:pt>
                <c:pt idx="18">
                  <c:v>32.0594</c:v>
                </c:pt>
                <c:pt idx="19">
                  <c:v>32.0786</c:v>
                </c:pt>
                <c:pt idx="20">
                  <c:v>32.094</c:v>
                </c:pt>
                <c:pt idx="21">
                  <c:v>32.1138</c:v>
                </c:pt>
                <c:pt idx="22">
                  <c:v>32.1206</c:v>
                </c:pt>
                <c:pt idx="23">
                  <c:v>32.114</c:v>
                </c:pt>
                <c:pt idx="24">
                  <c:v>32.1046</c:v>
                </c:pt>
                <c:pt idx="25">
                  <c:v>32.083</c:v>
                </c:pt>
                <c:pt idx="26">
                  <c:v>32.048</c:v>
                </c:pt>
                <c:pt idx="27">
                  <c:v>32.0024</c:v>
                </c:pt>
                <c:pt idx="28">
                  <c:v>31.9532</c:v>
                </c:pt>
                <c:pt idx="29">
                  <c:v>31.882</c:v>
                </c:pt>
                <c:pt idx="30">
                  <c:v>31.7964</c:v>
                </c:pt>
                <c:pt idx="31">
                  <c:v>31.7268</c:v>
                </c:pt>
                <c:pt idx="32">
                  <c:v>31.6384</c:v>
                </c:pt>
                <c:pt idx="33">
                  <c:v>31.5598</c:v>
                </c:pt>
                <c:pt idx="34">
                  <c:v>31.454</c:v>
                </c:pt>
                <c:pt idx="35">
                  <c:v>31.3294</c:v>
                </c:pt>
                <c:pt idx="36">
                  <c:v>31.2</c:v>
                </c:pt>
                <c:pt idx="37">
                  <c:v>31.067</c:v>
                </c:pt>
                <c:pt idx="38">
                  <c:v>30.9248</c:v>
                </c:pt>
                <c:pt idx="39">
                  <c:v>30.795</c:v>
                </c:pt>
                <c:pt idx="40">
                  <c:v>30.674</c:v>
                </c:pt>
                <c:pt idx="41">
                  <c:v>30.5642</c:v>
                </c:pt>
                <c:pt idx="42">
                  <c:v>30.4654</c:v>
                </c:pt>
                <c:pt idx="43">
                  <c:v>30.379</c:v>
                </c:pt>
                <c:pt idx="44">
                  <c:v>30.288</c:v>
                </c:pt>
                <c:pt idx="45">
                  <c:v>30.2038</c:v>
                </c:pt>
                <c:pt idx="46">
                  <c:v>30.141</c:v>
                </c:pt>
                <c:pt idx="47">
                  <c:v>30.069</c:v>
                </c:pt>
                <c:pt idx="48">
                  <c:v>30.0244</c:v>
                </c:pt>
                <c:pt idx="49">
                  <c:v>29.999</c:v>
                </c:pt>
                <c:pt idx="50">
                  <c:v>29.9776</c:v>
                </c:pt>
                <c:pt idx="51">
                  <c:v>29.9488</c:v>
                </c:pt>
                <c:pt idx="52">
                  <c:v>29.9068</c:v>
                </c:pt>
                <c:pt idx="53">
                  <c:v>29.8698</c:v>
                </c:pt>
                <c:pt idx="54">
                  <c:v>29.8282</c:v>
                </c:pt>
                <c:pt idx="55">
                  <c:v>29.7874</c:v>
                </c:pt>
                <c:pt idx="56">
                  <c:v>29.7596</c:v>
                </c:pt>
                <c:pt idx="57">
                  <c:v>29.7218</c:v>
                </c:pt>
                <c:pt idx="58">
                  <c:v>29.6924</c:v>
                </c:pt>
                <c:pt idx="59">
                  <c:v>29.6456</c:v>
                </c:pt>
              </c:numCache>
            </c:numRef>
          </c:val>
          <c:smooth val="1"/>
        </c:ser>
        <c:hiLowLines>
          <c:spPr>
            <a:ln w="0">
              <a:noFill/>
            </a:ln>
          </c:spPr>
        </c:hiLowLines>
        <c:marker val="0"/>
        <c:axId val="36835372"/>
        <c:axId val="30514572"/>
      </c:lineChart>
      <c:catAx>
        <c:axId val="3683537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Trading 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0514572"/>
        <c:crosses val="autoZero"/>
        <c:auto val="1"/>
        <c:lblAlgn val="ctr"/>
        <c:lblOffset val="100"/>
        <c:noMultiLvlLbl val="0"/>
      </c:catAx>
      <c:valAx>
        <c:axId val="3051457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Price (THB)</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83537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KBANK — Price with SMA20 &amp; SMA50</a:t>
            </a:r>
          </a:p>
        </c:rich>
      </c:tx>
      <c:overlay val="0"/>
      <c:spPr>
        <a:noFill/>
        <a:ln w="0">
          <a:noFill/>
        </a:ln>
      </c:spPr>
    </c:title>
    <c:autoTitleDeleted val="0"/>
    <c:plotArea>
      <c:lineChart>
        <c:grouping val="standard"/>
        <c:varyColors val="0"/>
        <c:ser>
          <c:idx val="0"/>
          <c:order val="0"/>
          <c:tx>
            <c:strRef>
              <c:f>"KBANK Close"</c:f>
              <c:strCache>
                <c:ptCount val="1"/>
                <c:pt idx="0">
                  <c:v>KBANK Close</c:v>
                </c:pt>
              </c:strCache>
            </c:strRef>
          </c:tx>
          <c:spPr>
            <a:solidFill>
              <a:srgbClr val="1F4E79"/>
            </a:solidFill>
            <a:ln w="18000">
              <a:solidFill>
                <a:srgbClr val="1F4E79"/>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8000">
                  <a:solidFill>
                    <a:srgbClr val="000000"/>
                  </a:solidFill>
                </a:ln>
              </c:spPr>
            </c:leaderLines>
            <c:extLst>
              <c:ext xmlns:c15="http://schemas.microsoft.com/office/drawing/2012/chart" uri="{CE6537A1-D6FC-4f65-9D91-7224C49458BB}">
                <c15:showLeaderLines val="1"/>
              </c:ext>
            </c:extLst>
          </c:dLbls>
          <c:val>
            <c:numRef>
              <c:f>KBANK!$E$195:$E$254</c:f>
              <c:numCache>
                <c:formatCode>#,##0.00</c:formatCode>
                <c:ptCount val="60"/>
                <c:pt idx="0">
                  <c:v>158.1</c:v>
                </c:pt>
                <c:pt idx="1">
                  <c:v>160.17</c:v>
                </c:pt>
                <c:pt idx="2">
                  <c:v>159.39</c:v>
                </c:pt>
                <c:pt idx="3">
                  <c:v>158.11</c:v>
                </c:pt>
                <c:pt idx="4">
                  <c:v>155.42</c:v>
                </c:pt>
                <c:pt idx="5">
                  <c:v>157.86</c:v>
                </c:pt>
                <c:pt idx="6">
                  <c:v>159.34</c:v>
                </c:pt>
                <c:pt idx="7">
                  <c:v>160.33</c:v>
                </c:pt>
                <c:pt idx="8">
                  <c:v>157.23</c:v>
                </c:pt>
                <c:pt idx="9">
                  <c:v>158.28</c:v>
                </c:pt>
                <c:pt idx="10">
                  <c:v>158.88</c:v>
                </c:pt>
                <c:pt idx="11">
                  <c:v>158.2</c:v>
                </c:pt>
                <c:pt idx="12">
                  <c:v>155.41</c:v>
                </c:pt>
                <c:pt idx="13">
                  <c:v>155.31</c:v>
                </c:pt>
                <c:pt idx="14">
                  <c:v>153.58</c:v>
                </c:pt>
                <c:pt idx="15">
                  <c:v>153.76</c:v>
                </c:pt>
                <c:pt idx="16">
                  <c:v>153.9</c:v>
                </c:pt>
                <c:pt idx="17">
                  <c:v>153.24</c:v>
                </c:pt>
                <c:pt idx="18">
                  <c:v>155.02</c:v>
                </c:pt>
                <c:pt idx="19">
                  <c:v>154.9</c:v>
                </c:pt>
                <c:pt idx="20">
                  <c:v>155.98</c:v>
                </c:pt>
                <c:pt idx="21">
                  <c:v>156.85</c:v>
                </c:pt>
                <c:pt idx="22">
                  <c:v>158.94</c:v>
                </c:pt>
                <c:pt idx="23">
                  <c:v>156.98</c:v>
                </c:pt>
                <c:pt idx="24">
                  <c:v>156.29</c:v>
                </c:pt>
                <c:pt idx="25">
                  <c:v>158.19</c:v>
                </c:pt>
                <c:pt idx="26">
                  <c:v>158.52</c:v>
                </c:pt>
                <c:pt idx="27">
                  <c:v>160.87</c:v>
                </c:pt>
                <c:pt idx="28">
                  <c:v>162.45</c:v>
                </c:pt>
                <c:pt idx="29">
                  <c:v>161.53</c:v>
                </c:pt>
                <c:pt idx="30">
                  <c:v>163.41</c:v>
                </c:pt>
                <c:pt idx="31">
                  <c:v>162.88</c:v>
                </c:pt>
                <c:pt idx="32">
                  <c:v>164.93</c:v>
                </c:pt>
                <c:pt idx="33">
                  <c:v>168.97</c:v>
                </c:pt>
                <c:pt idx="34">
                  <c:v>171.4</c:v>
                </c:pt>
                <c:pt idx="35">
                  <c:v>176.6</c:v>
                </c:pt>
                <c:pt idx="36">
                  <c:v>173.09</c:v>
                </c:pt>
                <c:pt idx="37">
                  <c:v>171.88</c:v>
                </c:pt>
                <c:pt idx="38">
                  <c:v>171.3</c:v>
                </c:pt>
                <c:pt idx="39">
                  <c:v>170.43</c:v>
                </c:pt>
                <c:pt idx="40">
                  <c:v>171.27</c:v>
                </c:pt>
                <c:pt idx="41">
                  <c:v>170.47</c:v>
                </c:pt>
                <c:pt idx="42">
                  <c:v>172.96</c:v>
                </c:pt>
                <c:pt idx="43">
                  <c:v>175.21</c:v>
                </c:pt>
                <c:pt idx="44">
                  <c:v>176.17</c:v>
                </c:pt>
                <c:pt idx="45">
                  <c:v>173.88</c:v>
                </c:pt>
                <c:pt idx="46">
                  <c:v>175.14</c:v>
                </c:pt>
                <c:pt idx="47">
                  <c:v>176.7</c:v>
                </c:pt>
                <c:pt idx="48">
                  <c:v>177.53</c:v>
                </c:pt>
                <c:pt idx="49">
                  <c:v>177.62</c:v>
                </c:pt>
                <c:pt idx="50">
                  <c:v>180.9</c:v>
                </c:pt>
                <c:pt idx="51">
                  <c:v>179.63</c:v>
                </c:pt>
                <c:pt idx="52">
                  <c:v>178.79</c:v>
                </c:pt>
                <c:pt idx="53">
                  <c:v>180.37</c:v>
                </c:pt>
                <c:pt idx="54">
                  <c:v>181.64</c:v>
                </c:pt>
                <c:pt idx="55">
                  <c:v>183.68</c:v>
                </c:pt>
                <c:pt idx="56">
                  <c:v>183.02</c:v>
                </c:pt>
                <c:pt idx="57">
                  <c:v>179.94</c:v>
                </c:pt>
                <c:pt idx="58">
                  <c:v>177.09</c:v>
                </c:pt>
                <c:pt idx="59">
                  <c:v>176.11</c:v>
                </c:pt>
              </c:numCache>
            </c:numRef>
          </c:val>
          <c:smooth val="1"/>
        </c:ser>
        <c:ser>
          <c:idx val="1"/>
          <c:order val="1"/>
          <c:tx>
            <c:strRef>
              <c:f>"SMA 20"</c:f>
              <c:strCache>
                <c:ptCount val="1"/>
                <c:pt idx="0">
                  <c:v>SMA 20</c:v>
                </c:pt>
              </c:strCache>
            </c:strRef>
          </c:tx>
          <c:spPr>
            <a:solidFill>
              <a:srgbClr val="ED7D31"/>
            </a:solidFill>
            <a:ln w="11880">
              <a:solidFill>
                <a:srgbClr val="ED7D31"/>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KBANK!$N$195:$N$254</c:f>
              <c:numCache>
                <c:formatCode>#,##0.00</c:formatCode>
                <c:ptCount val="60"/>
                <c:pt idx="0">
                  <c:v>153.858</c:v>
                </c:pt>
                <c:pt idx="1">
                  <c:v>154.599</c:v>
                </c:pt>
                <c:pt idx="2">
                  <c:v>155.161</c:v>
                </c:pt>
                <c:pt idx="3">
                  <c:v>155.4725</c:v>
                </c:pt>
                <c:pt idx="4">
                  <c:v>155.418</c:v>
                </c:pt>
                <c:pt idx="5">
                  <c:v>155.504</c:v>
                </c:pt>
                <c:pt idx="6">
                  <c:v>155.7805</c:v>
                </c:pt>
                <c:pt idx="7">
                  <c:v>156.073</c:v>
                </c:pt>
                <c:pt idx="8">
                  <c:v>156.215</c:v>
                </c:pt>
                <c:pt idx="9">
                  <c:v>156.5835</c:v>
                </c:pt>
                <c:pt idx="10">
                  <c:v>156.9085</c:v>
                </c:pt>
                <c:pt idx="11">
                  <c:v>157.2895</c:v>
                </c:pt>
                <c:pt idx="12">
                  <c:v>157.388</c:v>
                </c:pt>
                <c:pt idx="13">
                  <c:v>157.384</c:v>
                </c:pt>
                <c:pt idx="14">
                  <c:v>157.321</c:v>
                </c:pt>
                <c:pt idx="15">
                  <c:v>157.2625</c:v>
                </c:pt>
                <c:pt idx="16">
                  <c:v>157.2345</c:v>
                </c:pt>
                <c:pt idx="17">
                  <c:v>157.2185</c:v>
                </c:pt>
                <c:pt idx="18">
                  <c:v>156.975</c:v>
                </c:pt>
                <c:pt idx="19">
                  <c:v>156.8215</c:v>
                </c:pt>
                <c:pt idx="20">
                  <c:v>156.7155</c:v>
                </c:pt>
                <c:pt idx="21">
                  <c:v>156.5495</c:v>
                </c:pt>
                <c:pt idx="22">
                  <c:v>156.527</c:v>
                </c:pt>
                <c:pt idx="23">
                  <c:v>156.4705</c:v>
                </c:pt>
                <c:pt idx="24">
                  <c:v>156.514</c:v>
                </c:pt>
                <c:pt idx="25">
                  <c:v>156.5305</c:v>
                </c:pt>
                <c:pt idx="26">
                  <c:v>156.4895</c:v>
                </c:pt>
                <c:pt idx="27">
                  <c:v>156.5165</c:v>
                </c:pt>
                <c:pt idx="28">
                  <c:v>156.7775</c:v>
                </c:pt>
                <c:pt idx="29">
                  <c:v>156.94</c:v>
                </c:pt>
                <c:pt idx="30">
                  <c:v>157.1665</c:v>
                </c:pt>
                <c:pt idx="31">
                  <c:v>157.4005</c:v>
                </c:pt>
                <c:pt idx="32">
                  <c:v>157.8765</c:v>
                </c:pt>
                <c:pt idx="33">
                  <c:v>158.5595</c:v>
                </c:pt>
                <c:pt idx="34">
                  <c:v>159.4505</c:v>
                </c:pt>
                <c:pt idx="35">
                  <c:v>160.5925</c:v>
                </c:pt>
                <c:pt idx="36">
                  <c:v>161.552</c:v>
                </c:pt>
                <c:pt idx="37">
                  <c:v>162.484</c:v>
                </c:pt>
                <c:pt idx="38">
                  <c:v>163.298</c:v>
                </c:pt>
                <c:pt idx="39">
                  <c:v>164.0745</c:v>
                </c:pt>
                <c:pt idx="40">
                  <c:v>164.839</c:v>
                </c:pt>
                <c:pt idx="41">
                  <c:v>165.52</c:v>
                </c:pt>
                <c:pt idx="42">
                  <c:v>166.221</c:v>
                </c:pt>
                <c:pt idx="43">
                  <c:v>167.1325</c:v>
                </c:pt>
                <c:pt idx="44">
                  <c:v>168.1265</c:v>
                </c:pt>
                <c:pt idx="45">
                  <c:v>168.911</c:v>
                </c:pt>
                <c:pt idx="46">
                  <c:v>169.742</c:v>
                </c:pt>
                <c:pt idx="47">
                  <c:v>170.5335</c:v>
                </c:pt>
                <c:pt idx="48">
                  <c:v>171.2875</c:v>
                </c:pt>
                <c:pt idx="49">
                  <c:v>172.092</c:v>
                </c:pt>
                <c:pt idx="50">
                  <c:v>172.9665</c:v>
                </c:pt>
                <c:pt idx="51">
                  <c:v>173.804</c:v>
                </c:pt>
                <c:pt idx="52">
                  <c:v>174.497</c:v>
                </c:pt>
                <c:pt idx="53">
                  <c:v>175.067</c:v>
                </c:pt>
                <c:pt idx="54">
                  <c:v>175.579</c:v>
                </c:pt>
                <c:pt idx="55">
                  <c:v>175.933</c:v>
                </c:pt>
                <c:pt idx="56">
                  <c:v>176.4295</c:v>
                </c:pt>
                <c:pt idx="57">
                  <c:v>176.8325</c:v>
                </c:pt>
                <c:pt idx="58">
                  <c:v>177.122</c:v>
                </c:pt>
                <c:pt idx="59">
                  <c:v>177.406</c:v>
                </c:pt>
              </c:numCache>
            </c:numRef>
          </c:val>
          <c:smooth val="1"/>
        </c:ser>
        <c:ser>
          <c:idx val="2"/>
          <c:order val="2"/>
          <c:tx>
            <c:strRef>
              <c:f>"SMA 50"</c:f>
              <c:strCache>
                <c:ptCount val="1"/>
                <c:pt idx="0">
                  <c:v>SMA 50</c:v>
                </c:pt>
              </c:strCache>
            </c:strRef>
          </c:tx>
          <c:spPr>
            <a:solidFill>
              <a:srgbClr val="70AD47"/>
            </a:solidFill>
            <a:ln w="11880">
              <a:solidFill>
                <a:srgbClr val="70AD47"/>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KBANK!$O$195:$O$254</c:f>
              <c:numCache>
                <c:formatCode>#,##0.00</c:formatCode>
                <c:ptCount val="60"/>
                <c:pt idx="0">
                  <c:v>145.6246</c:v>
                </c:pt>
                <c:pt idx="1">
                  <c:v>146.1432</c:v>
                </c:pt>
                <c:pt idx="2">
                  <c:v>146.6212</c:v>
                </c:pt>
                <c:pt idx="3">
                  <c:v>147.1364</c:v>
                </c:pt>
                <c:pt idx="4">
                  <c:v>147.6248</c:v>
                </c:pt>
                <c:pt idx="5">
                  <c:v>148.127</c:v>
                </c:pt>
                <c:pt idx="6">
                  <c:v>148.6346</c:v>
                </c:pt>
                <c:pt idx="7">
                  <c:v>149.1384</c:v>
                </c:pt>
                <c:pt idx="8">
                  <c:v>149.5736</c:v>
                </c:pt>
                <c:pt idx="9">
                  <c:v>149.9792</c:v>
                </c:pt>
                <c:pt idx="10">
                  <c:v>150.4512</c:v>
                </c:pt>
                <c:pt idx="11">
                  <c:v>150.92</c:v>
                </c:pt>
                <c:pt idx="12">
                  <c:v>151.331</c:v>
                </c:pt>
                <c:pt idx="13">
                  <c:v>151.6674</c:v>
                </c:pt>
                <c:pt idx="14">
                  <c:v>151.9318</c:v>
                </c:pt>
                <c:pt idx="15">
                  <c:v>152.1614</c:v>
                </c:pt>
                <c:pt idx="16">
                  <c:v>152.4216</c:v>
                </c:pt>
                <c:pt idx="17">
                  <c:v>152.5846</c:v>
                </c:pt>
                <c:pt idx="18">
                  <c:v>152.765</c:v>
                </c:pt>
                <c:pt idx="19">
                  <c:v>152.9806</c:v>
                </c:pt>
                <c:pt idx="20">
                  <c:v>153.1282</c:v>
                </c:pt>
                <c:pt idx="21">
                  <c:v>153.3476</c:v>
                </c:pt>
                <c:pt idx="22">
                  <c:v>153.6412</c:v>
                </c:pt>
                <c:pt idx="23">
                  <c:v>153.904</c:v>
                </c:pt>
                <c:pt idx="24">
                  <c:v>154.1892</c:v>
                </c:pt>
                <c:pt idx="25">
                  <c:v>154.4926</c:v>
                </c:pt>
                <c:pt idx="26">
                  <c:v>154.792</c:v>
                </c:pt>
                <c:pt idx="27">
                  <c:v>155.1338</c:v>
                </c:pt>
                <c:pt idx="28">
                  <c:v>155.4352</c:v>
                </c:pt>
                <c:pt idx="29">
                  <c:v>155.7798</c:v>
                </c:pt>
                <c:pt idx="30">
                  <c:v>156.11</c:v>
                </c:pt>
                <c:pt idx="31">
                  <c:v>156.4606</c:v>
                </c:pt>
                <c:pt idx="32">
                  <c:v>156.7962</c:v>
                </c:pt>
                <c:pt idx="33">
                  <c:v>157.138</c:v>
                </c:pt>
                <c:pt idx="34">
                  <c:v>157.4358</c:v>
                </c:pt>
                <c:pt idx="35">
                  <c:v>157.845</c:v>
                </c:pt>
                <c:pt idx="36">
                  <c:v>158.2306</c:v>
                </c:pt>
                <c:pt idx="37">
                  <c:v>158.5786</c:v>
                </c:pt>
                <c:pt idx="38">
                  <c:v>158.9168</c:v>
                </c:pt>
                <c:pt idx="39">
                  <c:v>159.3072</c:v>
                </c:pt>
                <c:pt idx="40">
                  <c:v>159.685</c:v>
                </c:pt>
                <c:pt idx="41">
                  <c:v>160.0828</c:v>
                </c:pt>
                <c:pt idx="42">
                  <c:v>160.4732</c:v>
                </c:pt>
                <c:pt idx="43">
                  <c:v>160.8696</c:v>
                </c:pt>
                <c:pt idx="44">
                  <c:v>161.2962</c:v>
                </c:pt>
                <c:pt idx="45">
                  <c:v>161.6752</c:v>
                </c:pt>
                <c:pt idx="46">
                  <c:v>162.0888</c:v>
                </c:pt>
                <c:pt idx="47">
                  <c:v>162.5516</c:v>
                </c:pt>
                <c:pt idx="48">
                  <c:v>162.9044</c:v>
                </c:pt>
                <c:pt idx="49">
                  <c:v>163.2974</c:v>
                </c:pt>
                <c:pt idx="50">
                  <c:v>163.7534</c:v>
                </c:pt>
                <c:pt idx="51">
                  <c:v>164.1426</c:v>
                </c:pt>
                <c:pt idx="52">
                  <c:v>164.5306</c:v>
                </c:pt>
                <c:pt idx="53">
                  <c:v>164.9758</c:v>
                </c:pt>
                <c:pt idx="54">
                  <c:v>165.5002</c:v>
                </c:pt>
                <c:pt idx="55">
                  <c:v>166.0166</c:v>
                </c:pt>
                <c:pt idx="56">
                  <c:v>166.4902</c:v>
                </c:pt>
                <c:pt idx="57">
                  <c:v>166.8824</c:v>
                </c:pt>
                <c:pt idx="58">
                  <c:v>167.2796</c:v>
                </c:pt>
                <c:pt idx="59">
                  <c:v>167.6362</c:v>
                </c:pt>
              </c:numCache>
            </c:numRef>
          </c:val>
          <c:smooth val="1"/>
        </c:ser>
        <c:hiLowLines>
          <c:spPr>
            <a:ln w="0">
              <a:noFill/>
            </a:ln>
          </c:spPr>
        </c:hiLowLines>
        <c:marker val="0"/>
        <c:axId val="57063337"/>
        <c:axId val="97338658"/>
      </c:lineChart>
      <c:catAx>
        <c:axId val="57063337"/>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Trading 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338658"/>
        <c:crosses val="autoZero"/>
        <c:auto val="1"/>
        <c:lblAlgn val="ctr"/>
        <c:lblOffset val="100"/>
        <c:noMultiLvlLbl val="0"/>
      </c:catAx>
      <c:valAx>
        <c:axId val="97338658"/>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Price (THB)</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06333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AOT — Price with SMA20 &amp; SMA50</a:t>
            </a:r>
          </a:p>
        </c:rich>
      </c:tx>
      <c:overlay val="0"/>
      <c:spPr>
        <a:noFill/>
        <a:ln w="0">
          <a:noFill/>
        </a:ln>
      </c:spPr>
    </c:title>
    <c:autoTitleDeleted val="0"/>
    <c:plotArea>
      <c:lineChart>
        <c:grouping val="standard"/>
        <c:varyColors val="0"/>
        <c:ser>
          <c:idx val="0"/>
          <c:order val="0"/>
          <c:tx>
            <c:strRef>
              <c:f>"AOT Close"</c:f>
              <c:strCache>
                <c:ptCount val="1"/>
                <c:pt idx="0">
                  <c:v>AOT Close</c:v>
                </c:pt>
              </c:strCache>
            </c:strRef>
          </c:tx>
          <c:spPr>
            <a:solidFill>
              <a:srgbClr val="1F4E79"/>
            </a:solidFill>
            <a:ln w="18000">
              <a:solidFill>
                <a:srgbClr val="1F4E79"/>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8000">
                  <a:solidFill>
                    <a:srgbClr val="000000"/>
                  </a:solidFill>
                </a:ln>
              </c:spPr>
            </c:leaderLines>
            <c:extLst>
              <c:ext xmlns:c15="http://schemas.microsoft.com/office/drawing/2012/chart" uri="{CE6537A1-D6FC-4f65-9D91-7224C49458BB}">
                <c15:showLeaderLines val="1"/>
              </c:ext>
            </c:extLst>
          </c:dLbls>
          <c:val>
            <c:numRef>
              <c:f>AOT!$E$195:$E$254</c:f>
              <c:numCache>
                <c:formatCode>#,##0.00</c:formatCode>
                <c:ptCount val="60"/>
                <c:pt idx="0">
                  <c:v>70.29</c:v>
                </c:pt>
                <c:pt idx="1">
                  <c:v>72.23</c:v>
                </c:pt>
                <c:pt idx="2">
                  <c:v>71.28</c:v>
                </c:pt>
                <c:pt idx="3">
                  <c:v>73.96</c:v>
                </c:pt>
                <c:pt idx="4">
                  <c:v>73.24</c:v>
                </c:pt>
                <c:pt idx="5">
                  <c:v>72.35</c:v>
                </c:pt>
                <c:pt idx="6">
                  <c:v>71.64</c:v>
                </c:pt>
                <c:pt idx="7">
                  <c:v>72.35</c:v>
                </c:pt>
                <c:pt idx="8">
                  <c:v>72.34</c:v>
                </c:pt>
                <c:pt idx="9">
                  <c:v>73.57</c:v>
                </c:pt>
                <c:pt idx="10">
                  <c:v>72.67</c:v>
                </c:pt>
                <c:pt idx="11">
                  <c:v>70.88</c:v>
                </c:pt>
                <c:pt idx="12">
                  <c:v>70.49</c:v>
                </c:pt>
                <c:pt idx="13">
                  <c:v>70.79</c:v>
                </c:pt>
                <c:pt idx="14">
                  <c:v>69.25</c:v>
                </c:pt>
                <c:pt idx="15">
                  <c:v>69.15</c:v>
                </c:pt>
                <c:pt idx="16">
                  <c:v>69.71</c:v>
                </c:pt>
                <c:pt idx="17">
                  <c:v>68.88</c:v>
                </c:pt>
                <c:pt idx="18">
                  <c:v>68.04</c:v>
                </c:pt>
                <c:pt idx="19">
                  <c:v>66.94</c:v>
                </c:pt>
                <c:pt idx="20">
                  <c:v>66.8</c:v>
                </c:pt>
                <c:pt idx="21">
                  <c:v>67.27</c:v>
                </c:pt>
                <c:pt idx="22">
                  <c:v>70.11</c:v>
                </c:pt>
                <c:pt idx="23">
                  <c:v>71.35</c:v>
                </c:pt>
                <c:pt idx="24">
                  <c:v>70.02</c:v>
                </c:pt>
                <c:pt idx="25">
                  <c:v>68.43</c:v>
                </c:pt>
                <c:pt idx="26">
                  <c:v>68.32</c:v>
                </c:pt>
                <c:pt idx="27">
                  <c:v>69.96</c:v>
                </c:pt>
                <c:pt idx="28">
                  <c:v>70.66</c:v>
                </c:pt>
                <c:pt idx="29">
                  <c:v>70.11</c:v>
                </c:pt>
                <c:pt idx="30">
                  <c:v>71.18</c:v>
                </c:pt>
                <c:pt idx="31">
                  <c:v>72.67</c:v>
                </c:pt>
                <c:pt idx="32">
                  <c:v>74.29</c:v>
                </c:pt>
                <c:pt idx="33">
                  <c:v>73.12</c:v>
                </c:pt>
                <c:pt idx="34">
                  <c:v>73.61</c:v>
                </c:pt>
                <c:pt idx="35">
                  <c:v>72.22</c:v>
                </c:pt>
                <c:pt idx="36">
                  <c:v>71.36</c:v>
                </c:pt>
                <c:pt idx="37">
                  <c:v>70.01</c:v>
                </c:pt>
                <c:pt idx="38">
                  <c:v>69.74</c:v>
                </c:pt>
                <c:pt idx="39">
                  <c:v>68.26</c:v>
                </c:pt>
                <c:pt idx="40">
                  <c:v>69.06</c:v>
                </c:pt>
                <c:pt idx="41">
                  <c:v>69.05</c:v>
                </c:pt>
                <c:pt idx="42">
                  <c:v>68.17</c:v>
                </c:pt>
                <c:pt idx="43">
                  <c:v>68.68</c:v>
                </c:pt>
                <c:pt idx="44">
                  <c:v>70.28</c:v>
                </c:pt>
                <c:pt idx="45">
                  <c:v>70.65</c:v>
                </c:pt>
                <c:pt idx="46">
                  <c:v>70.04</c:v>
                </c:pt>
                <c:pt idx="47">
                  <c:v>69.75</c:v>
                </c:pt>
                <c:pt idx="48">
                  <c:v>69.65</c:v>
                </c:pt>
                <c:pt idx="49">
                  <c:v>68.93</c:v>
                </c:pt>
                <c:pt idx="50">
                  <c:v>67.19</c:v>
                </c:pt>
                <c:pt idx="51">
                  <c:v>66.82</c:v>
                </c:pt>
                <c:pt idx="52">
                  <c:v>68.08</c:v>
                </c:pt>
                <c:pt idx="53">
                  <c:v>67.25</c:v>
                </c:pt>
                <c:pt idx="54">
                  <c:v>65.34</c:v>
                </c:pt>
                <c:pt idx="55">
                  <c:v>65.26</c:v>
                </c:pt>
                <c:pt idx="56">
                  <c:v>66.36</c:v>
                </c:pt>
                <c:pt idx="57">
                  <c:v>64.67</c:v>
                </c:pt>
                <c:pt idx="58">
                  <c:v>64.86</c:v>
                </c:pt>
                <c:pt idx="59">
                  <c:v>65.27</c:v>
                </c:pt>
              </c:numCache>
            </c:numRef>
          </c:val>
          <c:smooth val="1"/>
        </c:ser>
        <c:ser>
          <c:idx val="1"/>
          <c:order val="1"/>
          <c:tx>
            <c:strRef>
              <c:f>"SMA 20"</c:f>
              <c:strCache>
                <c:ptCount val="1"/>
                <c:pt idx="0">
                  <c:v>SMA 20</c:v>
                </c:pt>
              </c:strCache>
            </c:strRef>
          </c:tx>
          <c:spPr>
            <a:solidFill>
              <a:srgbClr val="ED7D31"/>
            </a:solidFill>
            <a:ln w="11880">
              <a:solidFill>
                <a:srgbClr val="ED7D31"/>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AOT!$N$195:$N$254</c:f>
              <c:numCache>
                <c:formatCode>#,##0.00</c:formatCode>
                <c:ptCount val="60"/>
                <c:pt idx="0">
                  <c:v>68.633</c:v>
                </c:pt>
                <c:pt idx="1">
                  <c:v>68.986</c:v>
                </c:pt>
                <c:pt idx="2">
                  <c:v>69.3015</c:v>
                </c:pt>
                <c:pt idx="3">
                  <c:v>69.7035</c:v>
                </c:pt>
                <c:pt idx="4">
                  <c:v>70.0355</c:v>
                </c:pt>
                <c:pt idx="5">
                  <c:v>70.2665</c:v>
                </c:pt>
                <c:pt idx="6">
                  <c:v>70.3625</c:v>
                </c:pt>
                <c:pt idx="7">
                  <c:v>70.516</c:v>
                </c:pt>
                <c:pt idx="8">
                  <c:v>70.7155</c:v>
                </c:pt>
                <c:pt idx="9">
                  <c:v>71.0375</c:v>
                </c:pt>
                <c:pt idx="10">
                  <c:v>71.3205</c:v>
                </c:pt>
                <c:pt idx="11">
                  <c:v>71.462</c:v>
                </c:pt>
                <c:pt idx="12">
                  <c:v>71.4945</c:v>
                </c:pt>
                <c:pt idx="13">
                  <c:v>71.53</c:v>
                </c:pt>
                <c:pt idx="14">
                  <c:v>71.4875</c:v>
                </c:pt>
                <c:pt idx="15">
                  <c:v>71.4465</c:v>
                </c:pt>
                <c:pt idx="16">
                  <c:v>71.368</c:v>
                </c:pt>
                <c:pt idx="17">
                  <c:v>71.288</c:v>
                </c:pt>
                <c:pt idx="18">
                  <c:v>71.171</c:v>
                </c:pt>
                <c:pt idx="19">
                  <c:v>71.0025</c:v>
                </c:pt>
                <c:pt idx="20">
                  <c:v>70.828</c:v>
                </c:pt>
                <c:pt idx="21">
                  <c:v>70.58</c:v>
                </c:pt>
                <c:pt idx="22">
                  <c:v>70.5215</c:v>
                </c:pt>
                <c:pt idx="23">
                  <c:v>70.391</c:v>
                </c:pt>
                <c:pt idx="24">
                  <c:v>70.23</c:v>
                </c:pt>
                <c:pt idx="25">
                  <c:v>70.034</c:v>
                </c:pt>
                <c:pt idx="26">
                  <c:v>69.868</c:v>
                </c:pt>
                <c:pt idx="27">
                  <c:v>69.7485</c:v>
                </c:pt>
                <c:pt idx="28">
                  <c:v>69.6645</c:v>
                </c:pt>
                <c:pt idx="29">
                  <c:v>69.4915</c:v>
                </c:pt>
                <c:pt idx="30">
                  <c:v>69.417</c:v>
                </c:pt>
                <c:pt idx="31">
                  <c:v>69.5065</c:v>
                </c:pt>
                <c:pt idx="32">
                  <c:v>69.6965</c:v>
                </c:pt>
                <c:pt idx="33">
                  <c:v>69.813</c:v>
                </c:pt>
                <c:pt idx="34">
                  <c:v>70.031</c:v>
                </c:pt>
                <c:pt idx="35">
                  <c:v>70.1845</c:v>
                </c:pt>
                <c:pt idx="36">
                  <c:v>70.267</c:v>
                </c:pt>
                <c:pt idx="37">
                  <c:v>70.3235</c:v>
                </c:pt>
                <c:pt idx="38">
                  <c:v>70.4085</c:v>
                </c:pt>
                <c:pt idx="39">
                  <c:v>70.4745</c:v>
                </c:pt>
                <c:pt idx="40">
                  <c:v>70.5875</c:v>
                </c:pt>
                <c:pt idx="41">
                  <c:v>70.6765</c:v>
                </c:pt>
                <c:pt idx="42">
                  <c:v>70.5795</c:v>
                </c:pt>
                <c:pt idx="43">
                  <c:v>70.446</c:v>
                </c:pt>
                <c:pt idx="44">
                  <c:v>70.459</c:v>
                </c:pt>
                <c:pt idx="45">
                  <c:v>70.57</c:v>
                </c:pt>
                <c:pt idx="46">
                  <c:v>70.656</c:v>
                </c:pt>
                <c:pt idx="47">
                  <c:v>70.6455</c:v>
                </c:pt>
                <c:pt idx="48">
                  <c:v>70.595</c:v>
                </c:pt>
                <c:pt idx="49">
                  <c:v>70.536</c:v>
                </c:pt>
                <c:pt idx="50">
                  <c:v>70.3365</c:v>
                </c:pt>
                <c:pt idx="51">
                  <c:v>70.044</c:v>
                </c:pt>
                <c:pt idx="52">
                  <c:v>69.7335</c:v>
                </c:pt>
                <c:pt idx="53">
                  <c:v>69.44</c:v>
                </c:pt>
                <c:pt idx="54">
                  <c:v>69.0265</c:v>
                </c:pt>
                <c:pt idx="55">
                  <c:v>68.6785</c:v>
                </c:pt>
                <c:pt idx="56">
                  <c:v>68.4285</c:v>
                </c:pt>
                <c:pt idx="57">
                  <c:v>68.1615</c:v>
                </c:pt>
                <c:pt idx="58">
                  <c:v>67.9175</c:v>
                </c:pt>
                <c:pt idx="59">
                  <c:v>67.768</c:v>
                </c:pt>
              </c:numCache>
            </c:numRef>
          </c:val>
          <c:smooth val="1"/>
        </c:ser>
        <c:ser>
          <c:idx val="2"/>
          <c:order val="2"/>
          <c:tx>
            <c:strRef>
              <c:f>"SMA 50"</c:f>
              <c:strCache>
                <c:ptCount val="1"/>
                <c:pt idx="0">
                  <c:v>SMA 50</c:v>
                </c:pt>
              </c:strCache>
            </c:strRef>
          </c:tx>
          <c:spPr>
            <a:solidFill>
              <a:srgbClr val="70AD47"/>
            </a:solidFill>
            <a:ln w="11880">
              <a:solidFill>
                <a:srgbClr val="70AD47"/>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AOT!$O$195:$O$254</c:f>
              <c:numCache>
                <c:formatCode>#,##0.00</c:formatCode>
                <c:ptCount val="60"/>
                <c:pt idx="0">
                  <c:v>64.8186</c:v>
                </c:pt>
                <c:pt idx="1">
                  <c:v>65.0616</c:v>
                </c:pt>
                <c:pt idx="2">
                  <c:v>65.277</c:v>
                </c:pt>
                <c:pt idx="3">
                  <c:v>65.5326</c:v>
                </c:pt>
                <c:pt idx="4">
                  <c:v>65.7836</c:v>
                </c:pt>
                <c:pt idx="5">
                  <c:v>66.017</c:v>
                </c:pt>
                <c:pt idx="6">
                  <c:v>66.2136</c:v>
                </c:pt>
                <c:pt idx="7">
                  <c:v>66.4546</c:v>
                </c:pt>
                <c:pt idx="8">
                  <c:v>66.6836</c:v>
                </c:pt>
                <c:pt idx="9">
                  <c:v>66.935</c:v>
                </c:pt>
                <c:pt idx="10">
                  <c:v>67.1508</c:v>
                </c:pt>
                <c:pt idx="11">
                  <c:v>67.361</c:v>
                </c:pt>
                <c:pt idx="12">
                  <c:v>67.5632</c:v>
                </c:pt>
                <c:pt idx="13">
                  <c:v>67.7512</c:v>
                </c:pt>
                <c:pt idx="14">
                  <c:v>67.883</c:v>
                </c:pt>
                <c:pt idx="15">
                  <c:v>68.027</c:v>
                </c:pt>
                <c:pt idx="16">
                  <c:v>68.1872</c:v>
                </c:pt>
                <c:pt idx="17">
                  <c:v>68.2962</c:v>
                </c:pt>
                <c:pt idx="18">
                  <c:v>68.415</c:v>
                </c:pt>
                <c:pt idx="19">
                  <c:v>68.5126</c:v>
                </c:pt>
                <c:pt idx="20">
                  <c:v>68.604</c:v>
                </c:pt>
                <c:pt idx="21">
                  <c:v>68.7014</c:v>
                </c:pt>
                <c:pt idx="22">
                  <c:v>68.8728</c:v>
                </c:pt>
                <c:pt idx="23">
                  <c:v>69.051</c:v>
                </c:pt>
                <c:pt idx="24">
                  <c:v>69.1858</c:v>
                </c:pt>
                <c:pt idx="25">
                  <c:v>69.2538</c:v>
                </c:pt>
                <c:pt idx="26">
                  <c:v>69.3348</c:v>
                </c:pt>
                <c:pt idx="27">
                  <c:v>69.4578</c:v>
                </c:pt>
                <c:pt idx="28">
                  <c:v>69.5736</c:v>
                </c:pt>
                <c:pt idx="29">
                  <c:v>69.6424</c:v>
                </c:pt>
                <c:pt idx="30">
                  <c:v>69.7326</c:v>
                </c:pt>
                <c:pt idx="31">
                  <c:v>69.8826</c:v>
                </c:pt>
                <c:pt idx="32">
                  <c:v>70.069</c:v>
                </c:pt>
                <c:pt idx="33">
                  <c:v>70.213</c:v>
                </c:pt>
                <c:pt idx="34">
                  <c:v>70.3532</c:v>
                </c:pt>
                <c:pt idx="35">
                  <c:v>70.443</c:v>
                </c:pt>
                <c:pt idx="36">
                  <c:v>70.4758</c:v>
                </c:pt>
                <c:pt idx="37">
                  <c:v>70.4904</c:v>
                </c:pt>
                <c:pt idx="38">
                  <c:v>70.5182</c:v>
                </c:pt>
                <c:pt idx="39">
                  <c:v>70.5408</c:v>
                </c:pt>
                <c:pt idx="40">
                  <c:v>70.5818</c:v>
                </c:pt>
                <c:pt idx="41">
                  <c:v>70.6018</c:v>
                </c:pt>
                <c:pt idx="42">
                  <c:v>70.5684</c:v>
                </c:pt>
                <c:pt idx="43">
                  <c:v>70.5404</c:v>
                </c:pt>
                <c:pt idx="44">
                  <c:v>70.544</c:v>
                </c:pt>
                <c:pt idx="45">
                  <c:v>70.5576</c:v>
                </c:pt>
                <c:pt idx="46">
                  <c:v>70.5328</c:v>
                </c:pt>
                <c:pt idx="47">
                  <c:v>70.5182</c:v>
                </c:pt>
                <c:pt idx="48">
                  <c:v>70.5036</c:v>
                </c:pt>
                <c:pt idx="49">
                  <c:v>70.476</c:v>
                </c:pt>
                <c:pt idx="50">
                  <c:v>70.414</c:v>
                </c:pt>
                <c:pt idx="51">
                  <c:v>70.3058</c:v>
                </c:pt>
                <c:pt idx="52">
                  <c:v>70.2418</c:v>
                </c:pt>
                <c:pt idx="53">
                  <c:v>70.1076</c:v>
                </c:pt>
                <c:pt idx="54">
                  <c:v>69.9496</c:v>
                </c:pt>
                <c:pt idx="55">
                  <c:v>69.8078</c:v>
                </c:pt>
                <c:pt idx="56">
                  <c:v>69.7022</c:v>
                </c:pt>
                <c:pt idx="57">
                  <c:v>69.5486</c:v>
                </c:pt>
                <c:pt idx="58">
                  <c:v>69.399</c:v>
                </c:pt>
                <c:pt idx="59">
                  <c:v>69.233</c:v>
                </c:pt>
              </c:numCache>
            </c:numRef>
          </c:val>
          <c:smooth val="1"/>
        </c:ser>
        <c:hiLowLines>
          <c:spPr>
            <a:ln w="0">
              <a:noFill/>
            </a:ln>
          </c:spPr>
        </c:hiLowLines>
        <c:marker val="0"/>
        <c:axId val="53240511"/>
        <c:axId val="56043314"/>
      </c:lineChart>
      <c:catAx>
        <c:axId val="5324051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Trading 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43314"/>
        <c:crosses val="autoZero"/>
        <c:auto val="1"/>
        <c:lblAlgn val="ctr"/>
        <c:lblOffset val="100"/>
        <c:noMultiLvlLbl val="0"/>
      </c:catAx>
      <c:valAx>
        <c:axId val="5604331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Price (THB)</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24051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ADVANC — Price with SMA20 &amp; SMA50</a:t>
            </a:r>
          </a:p>
        </c:rich>
      </c:tx>
      <c:overlay val="0"/>
      <c:spPr>
        <a:noFill/>
        <a:ln w="0">
          <a:noFill/>
        </a:ln>
      </c:spPr>
    </c:title>
    <c:autoTitleDeleted val="0"/>
    <c:plotArea>
      <c:lineChart>
        <c:grouping val="standard"/>
        <c:varyColors val="0"/>
        <c:ser>
          <c:idx val="0"/>
          <c:order val="0"/>
          <c:tx>
            <c:strRef>
              <c:f>"ADVANC Close"</c:f>
              <c:strCache>
                <c:ptCount val="1"/>
                <c:pt idx="0">
                  <c:v>ADVANC Close</c:v>
                </c:pt>
              </c:strCache>
            </c:strRef>
          </c:tx>
          <c:spPr>
            <a:solidFill>
              <a:srgbClr val="1F4E79"/>
            </a:solidFill>
            <a:ln w="18000">
              <a:solidFill>
                <a:srgbClr val="1F4E79"/>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8000">
                  <a:solidFill>
                    <a:srgbClr val="000000"/>
                  </a:solidFill>
                </a:ln>
              </c:spPr>
            </c:leaderLines>
            <c:extLst>
              <c:ext xmlns:c15="http://schemas.microsoft.com/office/drawing/2012/chart" uri="{CE6537A1-D6FC-4f65-9D91-7224C49458BB}">
                <c15:showLeaderLines val="1"/>
              </c:ext>
            </c:extLst>
          </c:dLbls>
          <c:val>
            <c:numRef>
              <c:f>ADVANC!$E$195:$E$254</c:f>
              <c:numCache>
                <c:formatCode>#,##0.00</c:formatCode>
                <c:ptCount val="60"/>
                <c:pt idx="0">
                  <c:v>226.06</c:v>
                </c:pt>
                <c:pt idx="1">
                  <c:v>227.03</c:v>
                </c:pt>
                <c:pt idx="2">
                  <c:v>230.84</c:v>
                </c:pt>
                <c:pt idx="3">
                  <c:v>227.42</c:v>
                </c:pt>
                <c:pt idx="4">
                  <c:v>231</c:v>
                </c:pt>
                <c:pt idx="5">
                  <c:v>230.73</c:v>
                </c:pt>
                <c:pt idx="6">
                  <c:v>232.33</c:v>
                </c:pt>
                <c:pt idx="7">
                  <c:v>234.64</c:v>
                </c:pt>
                <c:pt idx="8">
                  <c:v>237.16</c:v>
                </c:pt>
                <c:pt idx="9">
                  <c:v>237.34</c:v>
                </c:pt>
                <c:pt idx="10">
                  <c:v>238.55</c:v>
                </c:pt>
                <c:pt idx="11">
                  <c:v>238.33</c:v>
                </c:pt>
                <c:pt idx="12">
                  <c:v>240.27</c:v>
                </c:pt>
                <c:pt idx="13">
                  <c:v>237.95</c:v>
                </c:pt>
                <c:pt idx="14">
                  <c:v>239.04</c:v>
                </c:pt>
                <c:pt idx="15">
                  <c:v>243.15</c:v>
                </c:pt>
                <c:pt idx="16">
                  <c:v>248.6</c:v>
                </c:pt>
                <c:pt idx="17">
                  <c:v>251.56</c:v>
                </c:pt>
                <c:pt idx="18">
                  <c:v>255.66</c:v>
                </c:pt>
                <c:pt idx="19">
                  <c:v>257.16</c:v>
                </c:pt>
                <c:pt idx="20">
                  <c:v>260.18</c:v>
                </c:pt>
                <c:pt idx="21">
                  <c:v>265.83</c:v>
                </c:pt>
                <c:pt idx="22">
                  <c:v>265.7</c:v>
                </c:pt>
                <c:pt idx="23">
                  <c:v>261.13</c:v>
                </c:pt>
                <c:pt idx="24">
                  <c:v>260.67</c:v>
                </c:pt>
                <c:pt idx="25">
                  <c:v>261.23</c:v>
                </c:pt>
                <c:pt idx="26">
                  <c:v>258.9</c:v>
                </c:pt>
                <c:pt idx="27">
                  <c:v>255.54</c:v>
                </c:pt>
                <c:pt idx="28">
                  <c:v>254.18</c:v>
                </c:pt>
                <c:pt idx="29">
                  <c:v>250.79</c:v>
                </c:pt>
                <c:pt idx="30">
                  <c:v>253.35</c:v>
                </c:pt>
                <c:pt idx="31">
                  <c:v>258.17</c:v>
                </c:pt>
                <c:pt idx="32">
                  <c:v>260.12</c:v>
                </c:pt>
                <c:pt idx="33">
                  <c:v>256.19</c:v>
                </c:pt>
                <c:pt idx="34">
                  <c:v>256.8</c:v>
                </c:pt>
                <c:pt idx="35">
                  <c:v>254.41</c:v>
                </c:pt>
                <c:pt idx="36">
                  <c:v>255.22</c:v>
                </c:pt>
                <c:pt idx="37">
                  <c:v>252.94</c:v>
                </c:pt>
                <c:pt idx="38">
                  <c:v>255.72</c:v>
                </c:pt>
                <c:pt idx="39">
                  <c:v>257.73</c:v>
                </c:pt>
                <c:pt idx="40">
                  <c:v>256.85</c:v>
                </c:pt>
                <c:pt idx="41">
                  <c:v>258.31</c:v>
                </c:pt>
                <c:pt idx="42">
                  <c:v>258.52</c:v>
                </c:pt>
                <c:pt idx="43">
                  <c:v>263.51</c:v>
                </c:pt>
                <c:pt idx="44">
                  <c:v>258.08</c:v>
                </c:pt>
                <c:pt idx="45">
                  <c:v>259.28</c:v>
                </c:pt>
                <c:pt idx="46">
                  <c:v>262.88</c:v>
                </c:pt>
                <c:pt idx="47">
                  <c:v>261.85</c:v>
                </c:pt>
                <c:pt idx="48">
                  <c:v>260.44</c:v>
                </c:pt>
                <c:pt idx="49">
                  <c:v>260.97</c:v>
                </c:pt>
                <c:pt idx="50">
                  <c:v>258.37</c:v>
                </c:pt>
                <c:pt idx="51">
                  <c:v>256.88</c:v>
                </c:pt>
                <c:pt idx="52">
                  <c:v>254.03</c:v>
                </c:pt>
                <c:pt idx="53">
                  <c:v>253.56</c:v>
                </c:pt>
                <c:pt idx="54">
                  <c:v>247.82</c:v>
                </c:pt>
                <c:pt idx="55">
                  <c:v>246.21</c:v>
                </c:pt>
                <c:pt idx="56">
                  <c:v>247.75</c:v>
                </c:pt>
                <c:pt idx="57">
                  <c:v>246.75</c:v>
                </c:pt>
                <c:pt idx="58">
                  <c:v>245.66</c:v>
                </c:pt>
                <c:pt idx="59">
                  <c:v>248.13</c:v>
                </c:pt>
              </c:numCache>
            </c:numRef>
          </c:val>
          <c:smooth val="1"/>
        </c:ser>
        <c:ser>
          <c:idx val="1"/>
          <c:order val="1"/>
          <c:tx>
            <c:strRef>
              <c:f>"SMA 20"</c:f>
              <c:strCache>
                <c:ptCount val="1"/>
                <c:pt idx="0">
                  <c:v>SMA 20</c:v>
                </c:pt>
              </c:strCache>
            </c:strRef>
          </c:tx>
          <c:spPr>
            <a:solidFill>
              <a:srgbClr val="ED7D31"/>
            </a:solidFill>
            <a:ln w="11880">
              <a:solidFill>
                <a:srgbClr val="ED7D31"/>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ADVANC!$N$195:$N$254</c:f>
              <c:numCache>
                <c:formatCode>#,##0.00</c:formatCode>
                <c:ptCount val="60"/>
                <c:pt idx="0">
                  <c:v>232.392</c:v>
                </c:pt>
                <c:pt idx="1">
                  <c:v>231.939</c:v>
                </c:pt>
                <c:pt idx="2">
                  <c:v>231.6775</c:v>
                </c:pt>
                <c:pt idx="3">
                  <c:v>231.275</c:v>
                </c:pt>
                <c:pt idx="4">
                  <c:v>231.124</c:v>
                </c:pt>
                <c:pt idx="5">
                  <c:v>230.7595</c:v>
                </c:pt>
                <c:pt idx="6">
                  <c:v>230.5035</c:v>
                </c:pt>
                <c:pt idx="7">
                  <c:v>230.5535</c:v>
                </c:pt>
                <c:pt idx="8">
                  <c:v>230.6795</c:v>
                </c:pt>
                <c:pt idx="9">
                  <c:v>230.7245</c:v>
                </c:pt>
                <c:pt idx="10">
                  <c:v>230.822</c:v>
                </c:pt>
                <c:pt idx="11">
                  <c:v>231.0075</c:v>
                </c:pt>
                <c:pt idx="12">
                  <c:v>231.3445</c:v>
                </c:pt>
                <c:pt idx="13">
                  <c:v>231.6395</c:v>
                </c:pt>
                <c:pt idx="14">
                  <c:v>232.052</c:v>
                </c:pt>
                <c:pt idx="15">
                  <c:v>232.7575</c:v>
                </c:pt>
                <c:pt idx="16">
                  <c:v>233.762</c:v>
                </c:pt>
                <c:pt idx="17">
                  <c:v>235.0825</c:v>
                </c:pt>
                <c:pt idx="18">
                  <c:v>236.5765</c:v>
                </c:pt>
                <c:pt idx="19">
                  <c:v>238.241</c:v>
                </c:pt>
                <c:pt idx="20">
                  <c:v>239.947</c:v>
                </c:pt>
                <c:pt idx="21">
                  <c:v>241.887</c:v>
                </c:pt>
                <c:pt idx="22">
                  <c:v>243.63</c:v>
                </c:pt>
                <c:pt idx="23">
                  <c:v>245.3155</c:v>
                </c:pt>
                <c:pt idx="24">
                  <c:v>246.799</c:v>
                </c:pt>
                <c:pt idx="25">
                  <c:v>248.324</c:v>
                </c:pt>
                <c:pt idx="26">
                  <c:v>249.6525</c:v>
                </c:pt>
                <c:pt idx="27">
                  <c:v>250.6975</c:v>
                </c:pt>
                <c:pt idx="28">
                  <c:v>251.5485</c:v>
                </c:pt>
                <c:pt idx="29">
                  <c:v>252.221</c:v>
                </c:pt>
                <c:pt idx="30">
                  <c:v>252.961</c:v>
                </c:pt>
                <c:pt idx="31">
                  <c:v>253.953</c:v>
                </c:pt>
                <c:pt idx="32">
                  <c:v>254.9455</c:v>
                </c:pt>
                <c:pt idx="33">
                  <c:v>255.8575</c:v>
                </c:pt>
                <c:pt idx="34">
                  <c:v>256.7455</c:v>
                </c:pt>
                <c:pt idx="35">
                  <c:v>257.3085</c:v>
                </c:pt>
                <c:pt idx="36">
                  <c:v>257.6395</c:v>
                </c:pt>
                <c:pt idx="37">
                  <c:v>257.7085</c:v>
                </c:pt>
                <c:pt idx="38">
                  <c:v>257.7115</c:v>
                </c:pt>
                <c:pt idx="39">
                  <c:v>257.74</c:v>
                </c:pt>
                <c:pt idx="40">
                  <c:v>257.5735</c:v>
                </c:pt>
                <c:pt idx="41">
                  <c:v>257.1975</c:v>
                </c:pt>
                <c:pt idx="42">
                  <c:v>256.8385</c:v>
                </c:pt>
                <c:pt idx="43">
                  <c:v>256.9575</c:v>
                </c:pt>
                <c:pt idx="44">
                  <c:v>256.828</c:v>
                </c:pt>
                <c:pt idx="45">
                  <c:v>256.7305</c:v>
                </c:pt>
                <c:pt idx="46">
                  <c:v>256.9295</c:v>
                </c:pt>
                <c:pt idx="47">
                  <c:v>257.245</c:v>
                </c:pt>
                <c:pt idx="48">
                  <c:v>257.558</c:v>
                </c:pt>
                <c:pt idx="49">
                  <c:v>258.067</c:v>
                </c:pt>
                <c:pt idx="50">
                  <c:v>258.318</c:v>
                </c:pt>
                <c:pt idx="51">
                  <c:v>258.2535</c:v>
                </c:pt>
                <c:pt idx="52">
                  <c:v>257.949</c:v>
                </c:pt>
                <c:pt idx="53">
                  <c:v>257.8175</c:v>
                </c:pt>
                <c:pt idx="54">
                  <c:v>257.3685</c:v>
                </c:pt>
                <c:pt idx="55">
                  <c:v>256.9585</c:v>
                </c:pt>
                <c:pt idx="56">
                  <c:v>256.585</c:v>
                </c:pt>
                <c:pt idx="57">
                  <c:v>256.2755</c:v>
                </c:pt>
                <c:pt idx="58">
                  <c:v>255.7725</c:v>
                </c:pt>
                <c:pt idx="59">
                  <c:v>255.2925</c:v>
                </c:pt>
              </c:numCache>
            </c:numRef>
          </c:val>
          <c:smooth val="1"/>
        </c:ser>
        <c:ser>
          <c:idx val="2"/>
          <c:order val="2"/>
          <c:tx>
            <c:strRef>
              <c:f>"SMA 50"</c:f>
              <c:strCache>
                <c:ptCount val="1"/>
                <c:pt idx="0">
                  <c:v>SMA 50</c:v>
                </c:pt>
              </c:strCache>
            </c:strRef>
          </c:tx>
          <c:spPr>
            <a:solidFill>
              <a:srgbClr val="70AD47"/>
            </a:solidFill>
            <a:ln w="11880">
              <a:solidFill>
                <a:srgbClr val="70AD47"/>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1880">
                  <a:solidFill>
                    <a:srgbClr val="000000"/>
                  </a:solidFill>
                </a:ln>
              </c:spPr>
            </c:leaderLines>
            <c:extLst>
              <c:ext xmlns:c15="http://schemas.microsoft.com/office/drawing/2012/chart" uri="{CE6537A1-D6FC-4f65-9D91-7224C49458BB}">
                <c15:showLeaderLines val="1"/>
              </c:ext>
            </c:extLst>
          </c:dLbls>
          <c:val>
            <c:numRef>
              <c:f>ADVANC!$O$195:$O$254</c:f>
              <c:numCache>
                <c:formatCode>#,##0.00</c:formatCode>
                <c:ptCount val="60"/>
                <c:pt idx="0">
                  <c:v>239.395</c:v>
                </c:pt>
                <c:pt idx="1">
                  <c:v>238.8944</c:v>
                </c:pt>
                <c:pt idx="2">
                  <c:v>238.4964</c:v>
                </c:pt>
                <c:pt idx="3">
                  <c:v>238.0172</c:v>
                </c:pt>
                <c:pt idx="4">
                  <c:v>237.5688</c:v>
                </c:pt>
                <c:pt idx="5">
                  <c:v>237.1384</c:v>
                </c:pt>
                <c:pt idx="6">
                  <c:v>236.7614</c:v>
                </c:pt>
                <c:pt idx="7">
                  <c:v>236.3318</c:v>
                </c:pt>
                <c:pt idx="8">
                  <c:v>235.8728</c:v>
                </c:pt>
                <c:pt idx="9">
                  <c:v>235.4548</c:v>
                </c:pt>
                <c:pt idx="10">
                  <c:v>235.1348</c:v>
                </c:pt>
                <c:pt idx="11">
                  <c:v>234.8812</c:v>
                </c:pt>
                <c:pt idx="12">
                  <c:v>234.727</c:v>
                </c:pt>
                <c:pt idx="13">
                  <c:v>234.5414</c:v>
                </c:pt>
                <c:pt idx="14">
                  <c:v>234.3812</c:v>
                </c:pt>
                <c:pt idx="15">
                  <c:v>234.3774</c:v>
                </c:pt>
                <c:pt idx="16">
                  <c:v>234.4738</c:v>
                </c:pt>
                <c:pt idx="17">
                  <c:v>234.7822</c:v>
                </c:pt>
                <c:pt idx="18">
                  <c:v>235.1648</c:v>
                </c:pt>
                <c:pt idx="19">
                  <c:v>235.4926</c:v>
                </c:pt>
                <c:pt idx="20">
                  <c:v>235.9442</c:v>
                </c:pt>
                <c:pt idx="21">
                  <c:v>236.6566</c:v>
                </c:pt>
                <c:pt idx="22">
                  <c:v>237.3574</c:v>
                </c:pt>
                <c:pt idx="23">
                  <c:v>237.9306</c:v>
                </c:pt>
                <c:pt idx="24">
                  <c:v>238.515</c:v>
                </c:pt>
                <c:pt idx="25">
                  <c:v>239.0984</c:v>
                </c:pt>
                <c:pt idx="26">
                  <c:v>239.5684</c:v>
                </c:pt>
                <c:pt idx="27">
                  <c:v>239.8824</c:v>
                </c:pt>
                <c:pt idx="28">
                  <c:v>240.137</c:v>
                </c:pt>
                <c:pt idx="29">
                  <c:v>240.3886</c:v>
                </c:pt>
                <c:pt idx="30">
                  <c:v>240.682</c:v>
                </c:pt>
                <c:pt idx="31">
                  <c:v>241.1236</c:v>
                </c:pt>
                <c:pt idx="32">
                  <c:v>241.6046</c:v>
                </c:pt>
                <c:pt idx="33">
                  <c:v>242.019</c:v>
                </c:pt>
                <c:pt idx="34">
                  <c:v>242.4746</c:v>
                </c:pt>
                <c:pt idx="35">
                  <c:v>242.8024</c:v>
                </c:pt>
                <c:pt idx="36">
                  <c:v>243.1578</c:v>
                </c:pt>
                <c:pt idx="37">
                  <c:v>243.5438</c:v>
                </c:pt>
                <c:pt idx="38">
                  <c:v>243.9654</c:v>
                </c:pt>
                <c:pt idx="39">
                  <c:v>244.3912</c:v>
                </c:pt>
                <c:pt idx="40">
                  <c:v>244.7962</c:v>
                </c:pt>
                <c:pt idx="41">
                  <c:v>245.27</c:v>
                </c:pt>
                <c:pt idx="42">
                  <c:v>245.7698</c:v>
                </c:pt>
                <c:pt idx="43">
                  <c:v>246.399</c:v>
                </c:pt>
                <c:pt idx="44">
                  <c:v>246.9448</c:v>
                </c:pt>
                <c:pt idx="45">
                  <c:v>247.5496</c:v>
                </c:pt>
                <c:pt idx="46">
                  <c:v>248.237</c:v>
                </c:pt>
                <c:pt idx="47">
                  <c:v>248.971</c:v>
                </c:pt>
                <c:pt idx="48">
                  <c:v>249.6642</c:v>
                </c:pt>
                <c:pt idx="49">
                  <c:v>250.4062</c:v>
                </c:pt>
                <c:pt idx="50">
                  <c:v>251.0524</c:v>
                </c:pt>
                <c:pt idx="51">
                  <c:v>251.6494</c:v>
                </c:pt>
                <c:pt idx="52">
                  <c:v>252.1132</c:v>
                </c:pt>
                <c:pt idx="53">
                  <c:v>252.636</c:v>
                </c:pt>
                <c:pt idx="54">
                  <c:v>252.9724</c:v>
                </c:pt>
                <c:pt idx="55">
                  <c:v>253.282</c:v>
                </c:pt>
                <c:pt idx="56">
                  <c:v>253.5904</c:v>
                </c:pt>
                <c:pt idx="57">
                  <c:v>253.8326</c:v>
                </c:pt>
                <c:pt idx="58">
                  <c:v>254.0026</c:v>
                </c:pt>
                <c:pt idx="59">
                  <c:v>254.2184</c:v>
                </c:pt>
              </c:numCache>
            </c:numRef>
          </c:val>
          <c:smooth val="1"/>
        </c:ser>
        <c:hiLowLines>
          <c:spPr>
            <a:ln w="0">
              <a:noFill/>
            </a:ln>
          </c:spPr>
        </c:hiLowLines>
        <c:marker val="0"/>
        <c:axId val="87671217"/>
        <c:axId val="63143656"/>
      </c:lineChart>
      <c:catAx>
        <c:axId val="87671217"/>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Trading 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143656"/>
        <c:crosses val="autoZero"/>
        <c:auto val="1"/>
        <c:lblAlgn val="ctr"/>
        <c:lblOffset val="100"/>
        <c:noMultiLvlLbl val="0"/>
      </c:catAx>
      <c:valAx>
        <c:axId val="63143656"/>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Price (THB)</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67121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27</xdr:col>
      <xdr:colOff>0</xdr:colOff>
      <xdr:row>2</xdr:row>
      <xdr:rowOff>0</xdr:rowOff>
    </xdr:from>
    <xdr:to>
      <xdr:col>41</xdr:col>
      <xdr:colOff>78480</xdr:colOff>
      <xdr:row>24</xdr:row>
      <xdr:rowOff>128520</xdr:rowOff>
    </xdr:to>
    <xdr:graphicFrame>
      <xdr:nvGraphicFramePr>
        <xdr:cNvPr id="1" name="Chart 1"/>
        <xdr:cNvGraphicFramePr/>
      </xdr:nvGraphicFramePr>
      <xdr:xfrm>
        <a:off x="17245800" y="838080"/>
        <a:ext cx="863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27</xdr:col>
      <xdr:colOff>0</xdr:colOff>
      <xdr:row>2</xdr:row>
      <xdr:rowOff>0</xdr:rowOff>
    </xdr:from>
    <xdr:to>
      <xdr:col>41</xdr:col>
      <xdr:colOff>78480</xdr:colOff>
      <xdr:row>24</xdr:row>
      <xdr:rowOff>128520</xdr:rowOff>
    </xdr:to>
    <xdr:graphicFrame>
      <xdr:nvGraphicFramePr>
        <xdr:cNvPr id="2" name="Chart 1"/>
        <xdr:cNvGraphicFramePr/>
      </xdr:nvGraphicFramePr>
      <xdr:xfrm>
        <a:off x="17245800" y="838080"/>
        <a:ext cx="863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27</xdr:col>
      <xdr:colOff>0</xdr:colOff>
      <xdr:row>2</xdr:row>
      <xdr:rowOff>0</xdr:rowOff>
    </xdr:from>
    <xdr:to>
      <xdr:col>41</xdr:col>
      <xdr:colOff>78480</xdr:colOff>
      <xdr:row>24</xdr:row>
      <xdr:rowOff>128520</xdr:rowOff>
    </xdr:to>
    <xdr:graphicFrame>
      <xdr:nvGraphicFramePr>
        <xdr:cNvPr id="3" name="Chart 1"/>
        <xdr:cNvGraphicFramePr/>
      </xdr:nvGraphicFramePr>
      <xdr:xfrm>
        <a:off x="17245800" y="838080"/>
        <a:ext cx="863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27</xdr:col>
      <xdr:colOff>0</xdr:colOff>
      <xdr:row>2</xdr:row>
      <xdr:rowOff>0</xdr:rowOff>
    </xdr:from>
    <xdr:to>
      <xdr:col>41</xdr:col>
      <xdr:colOff>78480</xdr:colOff>
      <xdr:row>24</xdr:row>
      <xdr:rowOff>128520</xdr:rowOff>
    </xdr:to>
    <xdr:graphicFrame>
      <xdr:nvGraphicFramePr>
        <xdr:cNvPr id="4" name="Chart 1"/>
        <xdr:cNvGraphicFramePr/>
      </xdr:nvGraphicFramePr>
      <xdr:xfrm>
        <a:off x="17245800" y="838080"/>
        <a:ext cx="863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27</xdr:col>
      <xdr:colOff>0</xdr:colOff>
      <xdr:row>2</xdr:row>
      <xdr:rowOff>0</xdr:rowOff>
    </xdr:from>
    <xdr:to>
      <xdr:col>41</xdr:col>
      <xdr:colOff>78480</xdr:colOff>
      <xdr:row>24</xdr:row>
      <xdr:rowOff>128520</xdr:rowOff>
    </xdr:to>
    <xdr:graphicFrame>
      <xdr:nvGraphicFramePr>
        <xdr:cNvPr id="5" name="Chart 1"/>
        <xdr:cNvGraphicFramePr/>
      </xdr:nvGraphicFramePr>
      <xdr:xfrm>
        <a:off x="17245800" y="838080"/>
        <a:ext cx="863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7" min="4" style="0" width="10"/>
    <col collapsed="false" customWidth="true" hidden="false" outlineLevel="0" max="9" min="8" style="0" width="13"/>
    <col collapsed="false" customWidth="true" hidden="false" outlineLevel="0" max="10" min="10" style="0" width="14"/>
    <col collapsed="false" customWidth="true" hidden="false" outlineLevel="0" max="11" min="11" style="0" width="9"/>
    <col collapsed="false" customWidth="true" hidden="false" outlineLevel="0" max="12" min="12" style="0" width="16"/>
  </cols>
  <sheetData>
    <row r="1" customFormat="false" ht="36"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21.75" hidden="false" customHeight="true" outlineLevel="0" collapsed="false">
      <c r="A3" s="3" t="s">
        <v>2</v>
      </c>
      <c r="B3" s="3" t="s">
        <v>3</v>
      </c>
      <c r="C3" s="3" t="s">
        <v>4</v>
      </c>
      <c r="D3" s="3" t="s">
        <v>5</v>
      </c>
      <c r="E3" s="3" t="s">
        <v>6</v>
      </c>
      <c r="F3" s="3" t="s">
        <v>7</v>
      </c>
      <c r="G3" s="3" t="s">
        <v>8</v>
      </c>
      <c r="H3" s="4" t="s">
        <v>9</v>
      </c>
      <c r="I3" s="4" t="s">
        <v>10</v>
      </c>
      <c r="J3" s="4" t="s">
        <v>11</v>
      </c>
      <c r="K3" s="4" t="s">
        <v>12</v>
      </c>
      <c r="L3" s="5" t="s">
        <v>13</v>
      </c>
    </row>
    <row r="4" customFormat="false" ht="21.75" hidden="false" customHeight="true" outlineLevel="0" collapsed="false">
      <c r="A4" s="6" t="s">
        <v>14</v>
      </c>
      <c r="B4" s="7" t="n">
        <f aca="false">SET_Index!A254</f>
        <v>46122</v>
      </c>
      <c r="C4" s="8" t="n">
        <f aca="false">SET_Index!E254</f>
        <v>1727.09</v>
      </c>
      <c r="D4" s="9" t="n">
        <f aca="false">SET_Index!M254</f>
        <v>44.217520719018</v>
      </c>
      <c r="E4" s="8" t="n">
        <f aca="false">SET_Index!N254</f>
        <v>1754.792</v>
      </c>
      <c r="F4" s="8" t="n">
        <f aca="false">SET_Index!O254</f>
        <v>1748.6124</v>
      </c>
      <c r="G4" s="8" t="n">
        <f aca="false">SET_Index!P254</f>
        <v>1564.11825</v>
      </c>
      <c r="H4" s="10" t="str">
        <f aca="false">SET_Index!V254</f>
        <v>HOLD</v>
      </c>
      <c r="I4" s="10" t="str">
        <f aca="false">SET_Index!W254</f>
        <v>SELL</v>
      </c>
      <c r="J4" s="10" t="str">
        <f aca="false">SET_Index!X254</f>
        <v>SELL</v>
      </c>
      <c r="K4" s="11" t="n">
        <f aca="false">SET_Index!Y254</f>
        <v>-2</v>
      </c>
      <c r="L4" s="12" t="str">
        <f aca="false">SET_Index!Z254</f>
        <v>STRONG SELL</v>
      </c>
    </row>
    <row r="5" customFormat="false" ht="21.75" hidden="false" customHeight="true" outlineLevel="0" collapsed="false">
      <c r="A5" s="6" t="s">
        <v>15</v>
      </c>
      <c r="B5" s="7" t="n">
        <f aca="false">PTT!A254</f>
        <v>46122</v>
      </c>
      <c r="C5" s="8" t="n">
        <f aca="false">PTT!E254</f>
        <v>28.62</v>
      </c>
      <c r="D5" s="9" t="n">
        <f aca="false">PTT!M254</f>
        <v>44.3885166966646</v>
      </c>
      <c r="E5" s="8" t="n">
        <f aca="false">PTT!N254</f>
        <v>28.967</v>
      </c>
      <c r="F5" s="8" t="n">
        <f aca="false">PTT!O254</f>
        <v>29.6456</v>
      </c>
      <c r="G5" s="8" t="n">
        <f aca="false">PTT!P254</f>
        <v>33.4211</v>
      </c>
      <c r="H5" s="10" t="str">
        <f aca="false">PTT!V254</f>
        <v>HOLD</v>
      </c>
      <c r="I5" s="10" t="str">
        <f aca="false">PTT!W254</f>
        <v>SELL</v>
      </c>
      <c r="J5" s="10" t="str">
        <f aca="false">PTT!X254</f>
        <v>SELL</v>
      </c>
      <c r="K5" s="11" t="n">
        <f aca="false">PTT!Y254</f>
        <v>-2</v>
      </c>
      <c r="L5" s="12" t="str">
        <f aca="false">PTT!Z254</f>
        <v>STRONG SELL</v>
      </c>
    </row>
    <row r="6" customFormat="false" ht="21.75" hidden="false" customHeight="true" outlineLevel="0" collapsed="false">
      <c r="A6" s="6" t="s">
        <v>16</v>
      </c>
      <c r="B6" s="7" t="n">
        <f aca="false">KBANK!A254</f>
        <v>46122</v>
      </c>
      <c r="C6" s="8" t="n">
        <f aca="false">KBANK!E254</f>
        <v>176.11</v>
      </c>
      <c r="D6" s="9" t="n">
        <f aca="false">KBANK!M254</f>
        <v>52.3631227704611</v>
      </c>
      <c r="E6" s="8" t="n">
        <f aca="false">KBANK!N254</f>
        <v>177.406</v>
      </c>
      <c r="F6" s="8" t="n">
        <f aca="false">KBANK!O254</f>
        <v>167.6362</v>
      </c>
      <c r="G6" s="8" t="n">
        <f aca="false">KBANK!P254</f>
        <v>148.65285</v>
      </c>
      <c r="H6" s="10" t="str">
        <f aca="false">KBANK!V254</f>
        <v>HOLD</v>
      </c>
      <c r="I6" s="10" t="str">
        <f aca="false">KBANK!W254</f>
        <v>BUY</v>
      </c>
      <c r="J6" s="10" t="str">
        <f aca="false">KBANK!X254</f>
        <v>SELL</v>
      </c>
      <c r="K6" s="11" t="n">
        <f aca="false">KBANK!Y254</f>
        <v>0</v>
      </c>
      <c r="L6" s="12" t="str">
        <f aca="false">KBANK!Z254</f>
        <v>HOLD</v>
      </c>
    </row>
    <row r="7" customFormat="false" ht="21.75" hidden="false" customHeight="true" outlineLevel="0" collapsed="false">
      <c r="A7" s="6" t="s">
        <v>17</v>
      </c>
      <c r="B7" s="7" t="n">
        <f aca="false">AOT!A254</f>
        <v>46122</v>
      </c>
      <c r="C7" s="8" t="n">
        <f aca="false">AOT!E254</f>
        <v>65.27</v>
      </c>
      <c r="D7" s="9" t="n">
        <f aca="false">AOT!M254</f>
        <v>38.3455547770002</v>
      </c>
      <c r="E7" s="8" t="n">
        <f aca="false">AOT!N254</f>
        <v>67.768</v>
      </c>
      <c r="F7" s="8" t="n">
        <f aca="false">AOT!O254</f>
        <v>69.233</v>
      </c>
      <c r="G7" s="8" t="n">
        <f aca="false">AOT!P254</f>
        <v>66.7676</v>
      </c>
      <c r="H7" s="10" t="str">
        <f aca="false">AOT!V254</f>
        <v>HOLD</v>
      </c>
      <c r="I7" s="10" t="str">
        <f aca="false">AOT!W254</f>
        <v>SELL</v>
      </c>
      <c r="J7" s="10" t="str">
        <f aca="false">AOT!X254</f>
        <v>SELL</v>
      </c>
      <c r="K7" s="11" t="n">
        <f aca="false">AOT!Y254</f>
        <v>-2</v>
      </c>
      <c r="L7" s="12" t="str">
        <f aca="false">AOT!Z254</f>
        <v>STRONG SELL</v>
      </c>
    </row>
    <row r="8" customFormat="false" ht="21.75" hidden="false" customHeight="true" outlineLevel="0" collapsed="false">
      <c r="A8" s="6" t="s">
        <v>18</v>
      </c>
      <c r="B8" s="7" t="n">
        <f aca="false">ADVANC!A254</f>
        <v>46122</v>
      </c>
      <c r="C8" s="8" t="n">
        <f aca="false">ADVANC!E254</f>
        <v>248.13</v>
      </c>
      <c r="D8" s="9" t="n">
        <f aca="false">ADVANC!M254</f>
        <v>40.8981250653644</v>
      </c>
      <c r="E8" s="8" t="n">
        <f aca="false">ADVANC!N254</f>
        <v>255.2925</v>
      </c>
      <c r="F8" s="8" t="n">
        <f aca="false">ADVANC!O254</f>
        <v>254.2184</v>
      </c>
      <c r="G8" s="8" t="n">
        <f aca="false">ADVANC!P254</f>
        <v>235.75285</v>
      </c>
      <c r="H8" s="10" t="str">
        <f aca="false">ADVANC!V254</f>
        <v>HOLD</v>
      </c>
      <c r="I8" s="10" t="str">
        <f aca="false">ADVANC!W254</f>
        <v>SELL</v>
      </c>
      <c r="J8" s="10" t="str">
        <f aca="false">ADVANC!X254</f>
        <v>SELL</v>
      </c>
      <c r="K8" s="11" t="n">
        <f aca="false">ADVANC!Y254</f>
        <v>-2</v>
      </c>
      <c r="L8" s="12" t="str">
        <f aca="false">ADVANC!Z254</f>
        <v>STRONG SELL</v>
      </c>
    </row>
    <row r="11" customFormat="false" ht="15" hidden="false" customHeight="false" outlineLevel="0" collapsed="false">
      <c r="A11" s="13" t="s">
        <v>19</v>
      </c>
      <c r="B11" s="13"/>
      <c r="C11" s="13"/>
      <c r="D11" s="13"/>
      <c r="E11" s="13"/>
      <c r="F11" s="13"/>
      <c r="G11" s="13"/>
      <c r="H11" s="13"/>
      <c r="I11" s="13"/>
      <c r="J11" s="13"/>
      <c r="K11" s="13"/>
      <c r="L11" s="13"/>
    </row>
    <row r="12" customFormat="false" ht="30" hidden="false" customHeight="true" outlineLevel="0" collapsed="false">
      <c r="A12" s="14" t="s">
        <v>20</v>
      </c>
      <c r="B12" s="14"/>
      <c r="C12" s="14"/>
      <c r="D12" s="14"/>
      <c r="E12" s="14"/>
      <c r="F12" s="14"/>
      <c r="G12" s="14"/>
      <c r="H12" s="14"/>
      <c r="I12" s="14"/>
      <c r="J12" s="14"/>
      <c r="K12" s="14"/>
      <c r="L12" s="14"/>
    </row>
    <row r="13" customFormat="false" ht="30" hidden="false" customHeight="true" outlineLevel="0" collapsed="false">
      <c r="A13" s="15" t="s">
        <v>21</v>
      </c>
      <c r="B13" s="15"/>
      <c r="C13" s="15"/>
      <c r="D13" s="15"/>
      <c r="E13" s="15"/>
      <c r="F13" s="15"/>
      <c r="G13" s="15"/>
      <c r="H13" s="15"/>
      <c r="I13" s="15"/>
      <c r="J13" s="15"/>
      <c r="K13" s="15"/>
      <c r="L13" s="15"/>
    </row>
    <row r="14" customFormat="false" ht="30" hidden="false" customHeight="true" outlineLevel="0" collapsed="false">
      <c r="A14" s="14" t="s">
        <v>22</v>
      </c>
      <c r="B14" s="14"/>
      <c r="C14" s="14"/>
      <c r="D14" s="14"/>
      <c r="E14" s="14"/>
      <c r="F14" s="14"/>
      <c r="G14" s="14"/>
      <c r="H14" s="14"/>
      <c r="I14" s="14"/>
      <c r="J14" s="14"/>
      <c r="K14" s="14"/>
      <c r="L14" s="14"/>
    </row>
    <row r="15" customFormat="false" ht="30" hidden="false" customHeight="true" outlineLevel="0" collapsed="false">
      <c r="A15" s="15" t="s">
        <v>23</v>
      </c>
      <c r="B15" s="15"/>
      <c r="C15" s="15"/>
      <c r="D15" s="15"/>
      <c r="E15" s="15"/>
      <c r="F15" s="15"/>
      <c r="G15" s="15"/>
      <c r="H15" s="15"/>
      <c r="I15" s="15"/>
      <c r="J15" s="15"/>
      <c r="K15" s="15"/>
      <c r="L15" s="15"/>
    </row>
    <row r="16" customFormat="false" ht="30" hidden="false" customHeight="true" outlineLevel="0" collapsed="false">
      <c r="A16" s="14" t="s">
        <v>24</v>
      </c>
      <c r="B16" s="14"/>
      <c r="C16" s="14"/>
      <c r="D16" s="14"/>
      <c r="E16" s="14"/>
      <c r="F16" s="14"/>
      <c r="G16" s="14"/>
      <c r="H16" s="14"/>
      <c r="I16" s="14"/>
      <c r="J16" s="14"/>
      <c r="K16" s="14"/>
      <c r="L16" s="14"/>
    </row>
    <row r="17" customFormat="false" ht="30" hidden="false" customHeight="true" outlineLevel="0" collapsed="false">
      <c r="A17" s="16" t="s">
        <v>25</v>
      </c>
      <c r="B17" s="16"/>
      <c r="C17" s="16"/>
      <c r="D17" s="16"/>
      <c r="E17" s="16"/>
      <c r="F17" s="16"/>
      <c r="G17" s="16"/>
      <c r="H17" s="16"/>
      <c r="I17" s="16"/>
      <c r="J17" s="16"/>
      <c r="K17" s="16"/>
      <c r="L17" s="16"/>
    </row>
  </sheetData>
  <mergeCells count="9">
    <mergeCell ref="A1:L1"/>
    <mergeCell ref="A2:L2"/>
    <mergeCell ref="A11:L11"/>
    <mergeCell ref="A12:L12"/>
    <mergeCell ref="A13:L13"/>
    <mergeCell ref="A14:L14"/>
    <mergeCell ref="A15:L15"/>
    <mergeCell ref="A16:L16"/>
    <mergeCell ref="A17:L17"/>
  </mergeCells>
  <conditionalFormatting sqref="H4:H8">
    <cfRule type="cellIs" priority="2" operator="equal" aboveAverage="0" equalAverage="0" bottom="0" percent="0" rank="0" text="" dxfId="0">
      <formula>"BUY"</formula>
    </cfRule>
    <cfRule type="cellIs" priority="3" operator="equal" aboveAverage="0" equalAverage="0" bottom="0" percent="0" rank="0" text="" dxfId="1">
      <formula>"SELL"</formula>
    </cfRule>
    <cfRule type="cellIs" priority="4" operator="equal" aboveAverage="0" equalAverage="0" bottom="0" percent="0" rank="0" text="" dxfId="2">
      <formula>"HOLD"</formula>
    </cfRule>
  </conditionalFormatting>
  <conditionalFormatting sqref="I4:I8">
    <cfRule type="cellIs" priority="5" operator="equal" aboveAverage="0" equalAverage="0" bottom="0" percent="0" rank="0" text="" dxfId="0">
      <formula>"BUY"</formula>
    </cfRule>
    <cfRule type="cellIs" priority="6" operator="equal" aboveAverage="0" equalAverage="0" bottom="0" percent="0" rank="0" text="" dxfId="1">
      <formula>"SELL"</formula>
    </cfRule>
    <cfRule type="cellIs" priority="7" operator="equal" aboveAverage="0" equalAverage="0" bottom="0" percent="0" rank="0" text="" dxfId="2">
      <formula>"HOLD"</formula>
    </cfRule>
  </conditionalFormatting>
  <conditionalFormatting sqref="J4:J8">
    <cfRule type="cellIs" priority="8" operator="equal" aboveAverage="0" equalAverage="0" bottom="0" percent="0" rank="0" text="" dxfId="0">
      <formula>"BUY"</formula>
    </cfRule>
    <cfRule type="cellIs" priority="9" operator="equal" aboveAverage="0" equalAverage="0" bottom="0" percent="0" rank="0" text="" dxfId="1">
      <formula>"SELL"</formula>
    </cfRule>
    <cfRule type="cellIs" priority="10" operator="equal" aboveAverage="0" equalAverage="0" bottom="0" percent="0" rank="0" text="" dxfId="2">
      <formula>"HOLD"</formula>
    </cfRule>
  </conditionalFormatting>
  <conditionalFormatting sqref="L4:L8">
    <cfRule type="cellIs" priority="11" operator="equal" aboveAverage="0" equalAverage="0" bottom="0" percent="0" rank="0" text="" dxfId="3">
      <formula>"STRONG BUY"</formula>
    </cfRule>
    <cfRule type="cellIs" priority="12" operator="equal" aboveAverage="0" equalAverage="0" bottom="0" percent="0" rank="0" text="" dxfId="0">
      <formula>"BUY"</formula>
    </cfRule>
    <cfRule type="cellIs" priority="13" operator="equal" aboveAverage="0" equalAverage="0" bottom="0" percent="0" rank="0" text="" dxfId="2">
      <formula>"HOLD"</formula>
    </cfRule>
    <cfRule type="cellIs" priority="14" operator="equal" aboveAverage="0" equalAverage="0" bottom="0" percent="0" rank="0" text="" dxfId="1">
      <formula>"SELL"</formula>
    </cfRule>
    <cfRule type="cellIs" priority="15" operator="equal" aboveAverage="0" equalAverage="0" bottom="0" percent="0" rank="0" text="" dxfId="4">
      <formula>"STRONG SELL"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4" min="2" style="0" width="10"/>
    <col collapsed="false" customWidth="true" hidden="false" outlineLevel="0" max="5" min="5" style="0" width="12"/>
    <col collapsed="false" customWidth="true" hidden="false" outlineLevel="0" max="6" min="6" style="0" width="14"/>
    <col collapsed="false" customWidth="true" hidden="false" outlineLevel="0" max="8" min="7" style="0" width="10"/>
    <col collapsed="false" customWidth="true" hidden="true" outlineLevel="0" max="10" min="9" style="0" width="8"/>
    <col collapsed="false" customWidth="true" hidden="true" outlineLevel="0" max="12" min="11" style="0" width="10"/>
    <col collapsed="false" customWidth="true" hidden="false" outlineLevel="0" max="18" min="13" style="0" width="10"/>
    <col collapsed="false" customWidth="true" hidden="false" outlineLevel="0" max="23" min="19" style="0" width="11"/>
    <col collapsed="false" customWidth="true" hidden="false" outlineLevel="0" max="24" min="24" style="0" width="12"/>
    <col collapsed="false" customWidth="true" hidden="false" outlineLevel="0" max="25" min="25" style="0" width="8"/>
    <col collapsed="false" customWidth="true" hidden="false" outlineLevel="0" max="26" min="26" style="0" width="13"/>
  </cols>
  <sheetData>
    <row r="1" customFormat="false" ht="30" hidden="false" customHeight="true" outlineLevel="0" collapsed="false">
      <c r="A1" s="17" t="s">
        <v>26</v>
      </c>
      <c r="B1" s="17"/>
      <c r="C1" s="17"/>
      <c r="D1" s="17"/>
      <c r="E1" s="17"/>
      <c r="F1" s="17"/>
      <c r="G1" s="17"/>
      <c r="H1" s="17"/>
      <c r="I1" s="17"/>
      <c r="J1" s="17"/>
      <c r="K1" s="17"/>
      <c r="L1" s="17"/>
      <c r="M1" s="17"/>
      <c r="N1" s="17"/>
      <c r="O1" s="17"/>
      <c r="P1" s="17"/>
      <c r="Q1" s="17"/>
      <c r="R1" s="17"/>
      <c r="S1" s="17"/>
      <c r="T1" s="17"/>
      <c r="U1" s="17"/>
      <c r="V1" s="17"/>
      <c r="W1" s="17"/>
      <c r="X1" s="17"/>
      <c r="Y1" s="17"/>
      <c r="Z1" s="17"/>
    </row>
    <row r="2" customFormat="false" ht="36" hidden="false" customHeight="true" outlineLevel="0" collapsed="false">
      <c r="A2" s="18" t="s">
        <v>27</v>
      </c>
      <c r="B2" s="18" t="s">
        <v>28</v>
      </c>
      <c r="C2" s="18" t="s">
        <v>29</v>
      </c>
      <c r="D2" s="18" t="s">
        <v>30</v>
      </c>
      <c r="E2" s="18" t="s">
        <v>31</v>
      </c>
      <c r="F2" s="18" t="s">
        <v>32</v>
      </c>
      <c r="G2" s="19" t="s">
        <v>33</v>
      </c>
      <c r="H2" s="19" t="s">
        <v>34</v>
      </c>
      <c r="I2" s="20" t="s">
        <v>35</v>
      </c>
      <c r="J2" s="20" t="s">
        <v>36</v>
      </c>
      <c r="K2" s="20" t="s">
        <v>37</v>
      </c>
      <c r="L2" s="20" t="s">
        <v>38</v>
      </c>
      <c r="M2" s="21" t="s">
        <v>5</v>
      </c>
      <c r="N2" s="21" t="s">
        <v>6</v>
      </c>
      <c r="O2" s="21" t="s">
        <v>7</v>
      </c>
      <c r="P2" s="21" t="s">
        <v>8</v>
      </c>
      <c r="Q2" s="21" t="s">
        <v>39</v>
      </c>
      <c r="R2" s="21" t="s">
        <v>40</v>
      </c>
      <c r="S2" s="21" t="s">
        <v>41</v>
      </c>
      <c r="T2" s="21" t="s">
        <v>42</v>
      </c>
      <c r="U2" s="21" t="s">
        <v>43</v>
      </c>
      <c r="V2" s="22" t="s">
        <v>9</v>
      </c>
      <c r="W2" s="22" t="s">
        <v>10</v>
      </c>
      <c r="X2" s="22" t="s">
        <v>11</v>
      </c>
      <c r="Y2" s="22" t="s">
        <v>12</v>
      </c>
      <c r="Z2" s="23" t="s">
        <v>44</v>
      </c>
    </row>
    <row r="3" customFormat="false" ht="15" hidden="false" customHeight="false" outlineLevel="0" collapsed="false">
      <c r="A3" s="24" t="n">
        <v>45771</v>
      </c>
      <c r="B3" s="25" t="n">
        <v>1360.4</v>
      </c>
      <c r="C3" s="25" t="n">
        <v>1367.42</v>
      </c>
      <c r="D3" s="25" t="n">
        <v>1342.58</v>
      </c>
      <c r="E3" s="25" t="n">
        <v>1355</v>
      </c>
      <c r="F3" s="26" t="n">
        <v>5852946</v>
      </c>
    </row>
    <row r="4" customFormat="false" ht="15" hidden="false" customHeight="false" outlineLevel="0" collapsed="false">
      <c r="A4" s="24" t="n">
        <v>45772</v>
      </c>
      <c r="B4" s="25" t="n">
        <v>1353.2</v>
      </c>
      <c r="C4" s="25" t="n">
        <v>1380.42</v>
      </c>
      <c r="D4" s="25" t="n">
        <v>1326.34</v>
      </c>
      <c r="E4" s="25" t="n">
        <v>1353.38</v>
      </c>
      <c r="F4" s="26" t="n">
        <v>6085611</v>
      </c>
      <c r="G4" s="27" t="n">
        <f aca="false">E4-E3</f>
        <v>-1.61999999999989</v>
      </c>
      <c r="H4" s="28" t="n">
        <f aca="false">G4/E3</f>
        <v>-0.00119557195571948</v>
      </c>
      <c r="I4" s="29" t="n">
        <f aca="false">MAX(G4,0)</f>
        <v>0</v>
      </c>
      <c r="J4" s="29" t="n">
        <f aca="false">MAX(-G4,0)</f>
        <v>1.61999999999989</v>
      </c>
    </row>
    <row r="5" customFormat="false" ht="15" hidden="false" customHeight="false" outlineLevel="0" collapsed="false">
      <c r="A5" s="24" t="n">
        <v>45775</v>
      </c>
      <c r="B5" s="25" t="n">
        <v>1350.21</v>
      </c>
      <c r="C5" s="25" t="n">
        <v>1353.9</v>
      </c>
      <c r="D5" s="25" t="n">
        <v>1348.92</v>
      </c>
      <c r="E5" s="25" t="n">
        <v>1351.41</v>
      </c>
      <c r="F5" s="26" t="n">
        <v>9053299</v>
      </c>
      <c r="G5" s="27" t="n">
        <f aca="false">E5-E4</f>
        <v>-1.97000000000003</v>
      </c>
      <c r="H5" s="28" t="n">
        <f aca="false">G5/E4</f>
        <v>-0.0014556148310157</v>
      </c>
      <c r="I5" s="29" t="n">
        <f aca="false">MAX(G5,0)</f>
        <v>0</v>
      </c>
      <c r="J5" s="29" t="n">
        <f aca="false">MAX(-G5,0)</f>
        <v>1.97000000000003</v>
      </c>
    </row>
    <row r="6" customFormat="false" ht="15" hidden="false" customHeight="false" outlineLevel="0" collapsed="false">
      <c r="A6" s="24" t="n">
        <v>45776</v>
      </c>
      <c r="B6" s="25" t="n">
        <v>1342.65</v>
      </c>
      <c r="C6" s="25" t="n">
        <v>1362.4</v>
      </c>
      <c r="D6" s="25" t="n">
        <v>1337.98</v>
      </c>
      <c r="E6" s="25" t="n">
        <v>1350.19</v>
      </c>
      <c r="F6" s="26" t="n">
        <v>4300268</v>
      </c>
      <c r="G6" s="27" t="n">
        <f aca="false">E6-E5</f>
        <v>-1.22000000000003</v>
      </c>
      <c r="H6" s="28" t="n">
        <f aca="false">G6/E5</f>
        <v>-0.000902760820180424</v>
      </c>
      <c r="I6" s="29" t="n">
        <f aca="false">MAX(G6,0)</f>
        <v>0</v>
      </c>
      <c r="J6" s="29" t="n">
        <f aca="false">MAX(-G6,0)</f>
        <v>1.22000000000003</v>
      </c>
    </row>
    <row r="7" customFormat="false" ht="15" hidden="false" customHeight="false" outlineLevel="0" collapsed="false">
      <c r="A7" s="24" t="n">
        <v>45777</v>
      </c>
      <c r="B7" s="25" t="n">
        <v>1362.37</v>
      </c>
      <c r="C7" s="25" t="n">
        <v>1362.37</v>
      </c>
      <c r="D7" s="25" t="n">
        <v>1355.39</v>
      </c>
      <c r="E7" s="25" t="n">
        <v>1358.88</v>
      </c>
      <c r="F7" s="26" t="n">
        <v>2640217</v>
      </c>
      <c r="G7" s="27" t="n">
        <f aca="false">E7-E6</f>
        <v>8.69000000000006</v>
      </c>
      <c r="H7" s="28" t="n">
        <f aca="false">G7/E6</f>
        <v>0.00643613121116291</v>
      </c>
      <c r="I7" s="29" t="n">
        <f aca="false">MAX(G7,0)</f>
        <v>8.69000000000006</v>
      </c>
      <c r="J7" s="29" t="n">
        <f aca="false">MAX(-G7,0)</f>
        <v>0</v>
      </c>
    </row>
    <row r="8" customFormat="false" ht="15" hidden="false" customHeight="false" outlineLevel="0" collapsed="false">
      <c r="A8" s="24" t="n">
        <v>45778</v>
      </c>
      <c r="B8" s="25" t="n">
        <v>1347.15</v>
      </c>
      <c r="C8" s="25" t="n">
        <v>1375.83</v>
      </c>
      <c r="D8" s="25" t="n">
        <v>1339.09</v>
      </c>
      <c r="E8" s="25" t="n">
        <v>1357.46</v>
      </c>
      <c r="F8" s="26" t="n">
        <v>4875554</v>
      </c>
      <c r="G8" s="27" t="n">
        <f aca="false">E8-E7</f>
        <v>-1.42000000000007</v>
      </c>
      <c r="H8" s="28" t="n">
        <f aca="false">G8/E7</f>
        <v>-0.00104497821735552</v>
      </c>
      <c r="I8" s="29" t="n">
        <f aca="false">MAX(G8,0)</f>
        <v>0</v>
      </c>
      <c r="J8" s="29" t="n">
        <f aca="false">MAX(-G8,0)</f>
        <v>1.42000000000007</v>
      </c>
    </row>
    <row r="9" customFormat="false" ht="15" hidden="false" customHeight="false" outlineLevel="0" collapsed="false">
      <c r="A9" s="24" t="n">
        <v>45779</v>
      </c>
      <c r="B9" s="25" t="n">
        <v>1340.25</v>
      </c>
      <c r="C9" s="25" t="n">
        <v>1340.25</v>
      </c>
      <c r="D9" s="25" t="n">
        <v>1338.59</v>
      </c>
      <c r="E9" s="25" t="n">
        <v>1339.42</v>
      </c>
      <c r="F9" s="26" t="n">
        <v>3653069</v>
      </c>
      <c r="G9" s="27" t="n">
        <f aca="false">E9-E8</f>
        <v>-18.04</v>
      </c>
      <c r="H9" s="28" t="n">
        <f aca="false">G9/E8</f>
        <v>-0.0132895260265496</v>
      </c>
      <c r="I9" s="29" t="n">
        <f aca="false">MAX(G9,0)</f>
        <v>0</v>
      </c>
      <c r="J9" s="29" t="n">
        <f aca="false">MAX(-G9,0)</f>
        <v>18.04</v>
      </c>
    </row>
    <row r="10" customFormat="false" ht="15" hidden="false" customHeight="false" outlineLevel="0" collapsed="false">
      <c r="A10" s="24" t="n">
        <v>45782</v>
      </c>
      <c r="B10" s="25" t="n">
        <v>1333.7</v>
      </c>
      <c r="C10" s="25" t="n">
        <v>1353.44</v>
      </c>
      <c r="D10" s="25" t="n">
        <v>1333.7</v>
      </c>
      <c r="E10" s="25" t="n">
        <v>1343.57</v>
      </c>
      <c r="F10" s="26" t="n">
        <v>5576077</v>
      </c>
      <c r="G10" s="27" t="n">
        <f aca="false">E10-E9</f>
        <v>4.14999999999986</v>
      </c>
      <c r="H10" s="28" t="n">
        <f aca="false">G10/E9</f>
        <v>0.00309835600483781</v>
      </c>
      <c r="I10" s="29" t="n">
        <f aca="false">MAX(G10,0)</f>
        <v>4.14999999999986</v>
      </c>
      <c r="J10" s="29" t="n">
        <f aca="false">MAX(-G10,0)</f>
        <v>0</v>
      </c>
    </row>
    <row r="11" customFormat="false" ht="15" hidden="false" customHeight="false" outlineLevel="0" collapsed="false">
      <c r="A11" s="24" t="n">
        <v>45783</v>
      </c>
      <c r="B11" s="25" t="n">
        <v>1343.46</v>
      </c>
      <c r="C11" s="25" t="n">
        <v>1343.46</v>
      </c>
      <c r="D11" s="25" t="n">
        <v>1337.5</v>
      </c>
      <c r="E11" s="25" t="n">
        <v>1340.48</v>
      </c>
      <c r="F11" s="26" t="n">
        <v>6383892</v>
      </c>
      <c r="G11" s="27" t="n">
        <f aca="false">E11-E10</f>
        <v>-3.08999999999992</v>
      </c>
      <c r="H11" s="28" t="n">
        <f aca="false">G11/E10</f>
        <v>-0.00229984295570749</v>
      </c>
      <c r="I11" s="29" t="n">
        <f aca="false">MAX(G11,0)</f>
        <v>0</v>
      </c>
      <c r="J11" s="29" t="n">
        <f aca="false">MAX(-G11,0)</f>
        <v>3.08999999999992</v>
      </c>
    </row>
    <row r="12" customFormat="false" ht="15" hidden="false" customHeight="false" outlineLevel="0" collapsed="false">
      <c r="A12" s="24" t="n">
        <v>45784</v>
      </c>
      <c r="B12" s="25" t="n">
        <v>1339.53</v>
      </c>
      <c r="C12" s="25" t="n">
        <v>1339.53</v>
      </c>
      <c r="D12" s="25" t="n">
        <v>1336.47</v>
      </c>
      <c r="E12" s="25" t="n">
        <v>1338</v>
      </c>
      <c r="F12" s="26" t="n">
        <v>4761357</v>
      </c>
      <c r="G12" s="27" t="n">
        <f aca="false">E12-E11</f>
        <v>-2.48000000000002</v>
      </c>
      <c r="H12" s="28" t="n">
        <f aca="false">G12/E11</f>
        <v>-0.00185008355216043</v>
      </c>
      <c r="I12" s="29" t="n">
        <f aca="false">MAX(G12,0)</f>
        <v>0</v>
      </c>
      <c r="J12" s="29" t="n">
        <f aca="false">MAX(-G12,0)</f>
        <v>2.48000000000002</v>
      </c>
    </row>
    <row r="13" customFormat="false" ht="15" hidden="false" customHeight="false" outlineLevel="0" collapsed="false">
      <c r="A13" s="24" t="n">
        <v>45785</v>
      </c>
      <c r="B13" s="25" t="n">
        <v>1336.74</v>
      </c>
      <c r="C13" s="25" t="n">
        <v>1344.84</v>
      </c>
      <c r="D13" s="25" t="n">
        <v>1334.22</v>
      </c>
      <c r="E13" s="25" t="n">
        <v>1339.53</v>
      </c>
      <c r="F13" s="26" t="n">
        <v>3976579</v>
      </c>
      <c r="G13" s="27" t="n">
        <f aca="false">E13-E12</f>
        <v>1.52999999999997</v>
      </c>
      <c r="H13" s="28" t="n">
        <f aca="false">G13/E12</f>
        <v>0.00114349775784751</v>
      </c>
      <c r="I13" s="29" t="n">
        <f aca="false">MAX(G13,0)</f>
        <v>1.52999999999997</v>
      </c>
      <c r="J13" s="29" t="n">
        <f aca="false">MAX(-G13,0)</f>
        <v>0</v>
      </c>
    </row>
    <row r="14" customFormat="false" ht="15" hidden="false" customHeight="false" outlineLevel="0" collapsed="false">
      <c r="A14" s="24" t="n">
        <v>45786</v>
      </c>
      <c r="B14" s="25" t="n">
        <v>1343.31</v>
      </c>
      <c r="C14" s="25" t="n">
        <v>1359.91</v>
      </c>
      <c r="D14" s="25" t="n">
        <v>1325.03</v>
      </c>
      <c r="E14" s="25" t="n">
        <v>1342.47</v>
      </c>
      <c r="F14" s="26" t="n">
        <v>5437299</v>
      </c>
      <c r="G14" s="27" t="n">
        <f aca="false">E14-E13</f>
        <v>2.94000000000005</v>
      </c>
      <c r="H14" s="28" t="n">
        <f aca="false">G14/E13</f>
        <v>0.0021947996685405</v>
      </c>
      <c r="I14" s="29" t="n">
        <f aca="false">MAX(G14,0)</f>
        <v>2.94000000000005</v>
      </c>
      <c r="J14" s="29" t="n">
        <f aca="false">MAX(-G14,0)</f>
        <v>0</v>
      </c>
      <c r="Q14" s="30" t="n">
        <f aca="false">AVERAGE(E3:E14)</f>
        <v>1347.4825</v>
      </c>
    </row>
    <row r="15" customFormat="false" ht="15" hidden="false" customHeight="false" outlineLevel="0" collapsed="false">
      <c r="A15" s="24" t="n">
        <v>45789</v>
      </c>
      <c r="B15" s="25" t="n">
        <v>1353.79</v>
      </c>
      <c r="C15" s="25" t="n">
        <v>1359.69</v>
      </c>
      <c r="D15" s="25" t="n">
        <v>1353.79</v>
      </c>
      <c r="E15" s="25" t="n">
        <v>1356.74</v>
      </c>
      <c r="F15" s="26" t="n">
        <v>5650656</v>
      </c>
      <c r="G15" s="27" t="n">
        <f aca="false">E15-E14</f>
        <v>14.27</v>
      </c>
      <c r="H15" s="28" t="n">
        <f aca="false">G15/E14</f>
        <v>0.0106296602531155</v>
      </c>
      <c r="I15" s="29" t="n">
        <f aca="false">MAX(G15,0)</f>
        <v>14.27</v>
      </c>
      <c r="J15" s="29" t="n">
        <f aca="false">MAX(-G15,0)</f>
        <v>0</v>
      </c>
      <c r="Q15" s="30" t="n">
        <f aca="false">Q14+(2/13)*(E15-Q14)</f>
        <v>1348.90673076923</v>
      </c>
    </row>
    <row r="16" customFormat="false" ht="15" hidden="false" customHeight="false" outlineLevel="0" collapsed="false">
      <c r="A16" s="24" t="n">
        <v>45790</v>
      </c>
      <c r="B16" s="25" t="n">
        <v>1365.13</v>
      </c>
      <c r="C16" s="25" t="n">
        <v>1378.98</v>
      </c>
      <c r="D16" s="25" t="n">
        <v>1350.86</v>
      </c>
      <c r="E16" s="25" t="n">
        <v>1364.92</v>
      </c>
      <c r="F16" s="26" t="n">
        <v>4111641</v>
      </c>
      <c r="G16" s="27" t="n">
        <f aca="false">E16-E15</f>
        <v>8.18000000000006</v>
      </c>
      <c r="H16" s="28" t="n">
        <f aca="false">G16/E15</f>
        <v>0.00602915812904467</v>
      </c>
      <c r="I16" s="29" t="n">
        <f aca="false">MAX(G16,0)</f>
        <v>8.18000000000006</v>
      </c>
      <c r="J16" s="29" t="n">
        <f aca="false">MAX(-G16,0)</f>
        <v>0</v>
      </c>
      <c r="Q16" s="30" t="n">
        <f aca="false">Q15+(2/13)*(E16-Q15)</f>
        <v>1351.37031065089</v>
      </c>
    </row>
    <row r="17" customFormat="false" ht="15" hidden="false" customHeight="false" outlineLevel="0" collapsed="false">
      <c r="A17" s="24" t="n">
        <v>45791</v>
      </c>
      <c r="B17" s="25" t="n">
        <v>1366.03</v>
      </c>
      <c r="C17" s="25" t="n">
        <v>1371.26</v>
      </c>
      <c r="D17" s="25" t="n">
        <v>1361.56</v>
      </c>
      <c r="E17" s="25" t="n">
        <v>1366.41</v>
      </c>
      <c r="F17" s="26" t="n">
        <v>2786660</v>
      </c>
      <c r="G17" s="27" t="n">
        <f aca="false">E17-E16</f>
        <v>1.49000000000001</v>
      </c>
      <c r="H17" s="28" t="n">
        <f aca="false">G17/E16</f>
        <v>0.00109163907042172</v>
      </c>
      <c r="I17" s="29" t="n">
        <f aca="false">MAX(G17,0)</f>
        <v>1.49000000000001</v>
      </c>
      <c r="J17" s="29" t="n">
        <f aca="false">MAX(-G17,0)</f>
        <v>0</v>
      </c>
      <c r="K17" s="29" t="n">
        <f aca="false">AVERAGE(I4:I17)</f>
        <v>2.94642857142857</v>
      </c>
      <c r="L17" s="29" t="n">
        <f aca="false">AVERAGE(J4:J17)</f>
        <v>2.13142857142857</v>
      </c>
      <c r="M17" s="31" t="n">
        <f aca="false">IF(L17=0,100,100-100/(1+K17/MAX(L17,0.000001)))</f>
        <v>58.0250386833592</v>
      </c>
      <c r="Q17" s="30" t="n">
        <f aca="false">Q16+(2/13)*(E17-Q16)</f>
        <v>1353.68410901229</v>
      </c>
      <c r="V17" s="32" t="str">
        <f aca="false">IF(M17="","",IF(M17&lt;Assumptions!$B$5,"BUY",IF(M17&gt;Assumptions!$B$4,"SELL","HOLD")))</f>
        <v>HOLD</v>
      </c>
    </row>
    <row r="18" customFormat="false" ht="15" hidden="false" customHeight="false" outlineLevel="0" collapsed="false">
      <c r="A18" s="24" t="n">
        <v>45792</v>
      </c>
      <c r="B18" s="25" t="n">
        <v>1357.83</v>
      </c>
      <c r="C18" s="25" t="n">
        <v>1358.52</v>
      </c>
      <c r="D18" s="25" t="n">
        <v>1356.48</v>
      </c>
      <c r="E18" s="25" t="n">
        <v>1357.5</v>
      </c>
      <c r="F18" s="26" t="n">
        <v>8228187</v>
      </c>
      <c r="G18" s="27" t="n">
        <f aca="false">E18-E17</f>
        <v>-8.91000000000008</v>
      </c>
      <c r="H18" s="28" t="n">
        <f aca="false">G18/E17</f>
        <v>-0.00652073682130552</v>
      </c>
      <c r="I18" s="29" t="n">
        <f aca="false">MAX(G18,0)</f>
        <v>0</v>
      </c>
      <c r="J18" s="29" t="n">
        <f aca="false">MAX(-G18,0)</f>
        <v>8.91000000000008</v>
      </c>
      <c r="K18" s="29" t="n">
        <f aca="false">(K17*13+I18)/14</f>
        <v>2.7359693877551</v>
      </c>
      <c r="L18" s="29" t="n">
        <f aca="false">(L17*13+J18)/14</f>
        <v>2.61561224489796</v>
      </c>
      <c r="M18" s="31" t="n">
        <f aca="false">IF(L18=0,100,100-100/(1+K18/MAX(L18,0.000001)))</f>
        <v>51.1245006721263</v>
      </c>
      <c r="Q18" s="30" t="n">
        <f aca="false">Q17+(2/13)*(E18-Q17)</f>
        <v>1354.27116916425</v>
      </c>
      <c r="V18" s="32" t="str">
        <f aca="false">IF(M18="","",IF(M18&lt;Assumptions!$B$5,"BUY",IF(M18&gt;Assumptions!$B$4,"SELL","HOLD")))</f>
        <v>HOLD</v>
      </c>
    </row>
    <row r="19" customFormat="false" ht="15" hidden="false" customHeight="false" outlineLevel="0" collapsed="false">
      <c r="A19" s="24" t="n">
        <v>45793</v>
      </c>
      <c r="B19" s="25" t="n">
        <v>1350.87</v>
      </c>
      <c r="C19" s="25" t="n">
        <v>1352.91</v>
      </c>
      <c r="D19" s="25" t="n">
        <v>1337.67</v>
      </c>
      <c r="E19" s="25" t="n">
        <v>1345.29</v>
      </c>
      <c r="F19" s="26" t="n">
        <v>3752340</v>
      </c>
      <c r="G19" s="27" t="n">
        <f aca="false">E19-E18</f>
        <v>-12.21</v>
      </c>
      <c r="H19" s="28" t="n">
        <f aca="false">G19/E18</f>
        <v>-0.00899447513812157</v>
      </c>
      <c r="I19" s="29" t="n">
        <f aca="false">MAX(G19,0)</f>
        <v>0</v>
      </c>
      <c r="J19" s="29" t="n">
        <f aca="false">MAX(-G19,0)</f>
        <v>12.21</v>
      </c>
      <c r="K19" s="29" t="n">
        <f aca="false">(K18*13+I19)/14</f>
        <v>2.54054300291545</v>
      </c>
      <c r="L19" s="29" t="n">
        <f aca="false">(L18*13+J19)/14</f>
        <v>3.30092565597668</v>
      </c>
      <c r="M19" s="31" t="n">
        <f aca="false">IF(L19=0,100,100-100/(1+K19/MAX(L19,0.000001)))</f>
        <v>43.4915113179308</v>
      </c>
      <c r="Q19" s="30" t="n">
        <f aca="false">Q18+(2/13)*(E19-Q18)</f>
        <v>1352.88945083128</v>
      </c>
      <c r="V19" s="32" t="str">
        <f aca="false">IF(M19="","",IF(M19&lt;Assumptions!$B$5,"BUY",IF(M19&gt;Assumptions!$B$4,"SELL","HOLD")))</f>
        <v>HOLD</v>
      </c>
    </row>
    <row r="20" customFormat="false" ht="15" hidden="false" customHeight="false" outlineLevel="0" collapsed="false">
      <c r="A20" s="24" t="n">
        <v>45796</v>
      </c>
      <c r="B20" s="25" t="n">
        <v>1342.99</v>
      </c>
      <c r="C20" s="25" t="n">
        <v>1353.83</v>
      </c>
      <c r="D20" s="25" t="n">
        <v>1342.99</v>
      </c>
      <c r="E20" s="25" t="n">
        <v>1348.41</v>
      </c>
      <c r="F20" s="26" t="n">
        <v>5545931</v>
      </c>
      <c r="G20" s="27" t="n">
        <f aca="false">E20-E19</f>
        <v>3.12000000000012</v>
      </c>
      <c r="H20" s="28" t="n">
        <f aca="false">G20/E19</f>
        <v>0.00231920255112289</v>
      </c>
      <c r="I20" s="29" t="n">
        <f aca="false">MAX(G20,0)</f>
        <v>3.12000000000012</v>
      </c>
      <c r="J20" s="29" t="n">
        <f aca="false">MAX(-G20,0)</f>
        <v>0</v>
      </c>
      <c r="K20" s="29" t="n">
        <f aca="false">(K19*13+I20)/14</f>
        <v>2.5819327884215</v>
      </c>
      <c r="L20" s="29" t="n">
        <f aca="false">(L19*13+J20)/14</f>
        <v>3.06514525197834</v>
      </c>
      <c r="M20" s="31" t="n">
        <f aca="false">IF(L20=0,100,100-100/(1+K20/MAX(L20,0.000001)))</f>
        <v>45.7215708716978</v>
      </c>
      <c r="Q20" s="30" t="n">
        <f aca="false">Q19+(2/13)*(E20-Q19)</f>
        <v>1352.20030454955</v>
      </c>
      <c r="V20" s="32" t="str">
        <f aca="false">IF(M20="","",IF(M20&lt;Assumptions!$B$5,"BUY",IF(M20&gt;Assumptions!$B$4,"SELL","HOLD")))</f>
        <v>HOLD</v>
      </c>
    </row>
    <row r="21" customFormat="false" ht="15" hidden="false" customHeight="false" outlineLevel="0" collapsed="false">
      <c r="A21" s="24" t="n">
        <v>45797</v>
      </c>
      <c r="B21" s="25" t="n">
        <v>1361.12</v>
      </c>
      <c r="C21" s="25" t="n">
        <v>1367.98</v>
      </c>
      <c r="D21" s="25" t="n">
        <v>1361.12</v>
      </c>
      <c r="E21" s="25" t="n">
        <v>1364.55</v>
      </c>
      <c r="F21" s="26" t="n">
        <v>8498914</v>
      </c>
      <c r="G21" s="27" t="n">
        <f aca="false">E21-E20</f>
        <v>16.1399999999999</v>
      </c>
      <c r="H21" s="28" t="n">
        <f aca="false">G21/E20</f>
        <v>0.0119696531470398</v>
      </c>
      <c r="I21" s="29" t="n">
        <f aca="false">MAX(G21,0)</f>
        <v>16.1399999999999</v>
      </c>
      <c r="J21" s="29" t="n">
        <f aca="false">MAX(-G21,0)</f>
        <v>0</v>
      </c>
      <c r="K21" s="29" t="n">
        <f aca="false">(K20*13+I21)/14</f>
        <v>3.5503661606771</v>
      </c>
      <c r="L21" s="29" t="n">
        <f aca="false">(L20*13+J21)/14</f>
        <v>2.84620630540846</v>
      </c>
      <c r="M21" s="31" t="n">
        <f aca="false">IF(L21=0,100,100-100/(1+K21/MAX(L21,0.000001)))</f>
        <v>55.504196653771</v>
      </c>
      <c r="Q21" s="30" t="n">
        <f aca="false">Q20+(2/13)*(E21-Q20)</f>
        <v>1354.10025769577</v>
      </c>
      <c r="V21" s="32" t="str">
        <f aca="false">IF(M21="","",IF(M21&lt;Assumptions!$B$5,"BUY",IF(M21&gt;Assumptions!$B$4,"SELL","HOLD")))</f>
        <v>HOLD</v>
      </c>
    </row>
    <row r="22" customFormat="false" ht="15" hidden="false" customHeight="false" outlineLevel="0" collapsed="false">
      <c r="A22" s="24" t="n">
        <v>45798</v>
      </c>
      <c r="B22" s="25" t="n">
        <v>1360.55</v>
      </c>
      <c r="C22" s="25" t="n">
        <v>1369.85</v>
      </c>
      <c r="D22" s="25" t="n">
        <v>1360.55</v>
      </c>
      <c r="E22" s="25" t="n">
        <v>1365.2</v>
      </c>
      <c r="F22" s="26" t="n">
        <v>5967504</v>
      </c>
      <c r="G22" s="27" t="n">
        <f aca="false">E22-E21</f>
        <v>0.650000000000091</v>
      </c>
      <c r="H22" s="28" t="n">
        <f aca="false">G22/E21</f>
        <v>0.000476347513832466</v>
      </c>
      <c r="I22" s="29" t="n">
        <f aca="false">MAX(G22,0)</f>
        <v>0.650000000000091</v>
      </c>
      <c r="J22" s="29" t="n">
        <f aca="false">MAX(-G22,0)</f>
        <v>0</v>
      </c>
      <c r="K22" s="29" t="n">
        <f aca="false">(K21*13+I22)/14</f>
        <v>3.34319714920017</v>
      </c>
      <c r="L22" s="29" t="n">
        <f aca="false">(L21*13+J22)/14</f>
        <v>2.64290585502214</v>
      </c>
      <c r="M22" s="31" t="n">
        <f aca="false">IF(L22=0,100,100-100/(1+K22/MAX(L22,0.000001)))</f>
        <v>55.8493087546612</v>
      </c>
      <c r="N22" s="30" t="n">
        <f aca="false">AVERAGE(E3:E22)</f>
        <v>1351.9405</v>
      </c>
      <c r="Q22" s="30" t="n">
        <f aca="false">Q21+(2/13)*(E22-Q21)</f>
        <v>1355.80791035796</v>
      </c>
      <c r="V22" s="32" t="str">
        <f aca="false">IF(M22="","",IF(M22&lt;Assumptions!$B$5,"BUY",IF(M22&gt;Assumptions!$B$4,"SELL","HOLD")))</f>
        <v>HOLD</v>
      </c>
    </row>
    <row r="23" customFormat="false" ht="15" hidden="false" customHeight="false" outlineLevel="0" collapsed="false">
      <c r="A23" s="24" t="n">
        <v>45799</v>
      </c>
      <c r="B23" s="25" t="n">
        <v>1364.04</v>
      </c>
      <c r="C23" s="25" t="n">
        <v>1367.36</v>
      </c>
      <c r="D23" s="25" t="n">
        <v>1360.7</v>
      </c>
      <c r="E23" s="25" t="n">
        <v>1364.03</v>
      </c>
      <c r="F23" s="26" t="n">
        <v>5815088</v>
      </c>
      <c r="G23" s="27" t="n">
        <f aca="false">E23-E22</f>
        <v>-1.17000000000007</v>
      </c>
      <c r="H23" s="28" t="n">
        <f aca="false">G23/E22</f>
        <v>-0.000857017286844472</v>
      </c>
      <c r="I23" s="29" t="n">
        <f aca="false">MAX(G23,0)</f>
        <v>0</v>
      </c>
      <c r="J23" s="29" t="n">
        <f aca="false">MAX(-G23,0)</f>
        <v>1.17000000000007</v>
      </c>
      <c r="K23" s="29" t="n">
        <f aca="false">(K22*13+I23)/14</f>
        <v>3.10439735282873</v>
      </c>
      <c r="L23" s="29" t="n">
        <f aca="false">(L22*13+J23)/14</f>
        <v>2.53769829394914</v>
      </c>
      <c r="M23" s="31" t="n">
        <f aca="false">IF(L23=0,100,100-100/(1+K23/MAX(L23,0.000001)))</f>
        <v>55.0220617865919</v>
      </c>
      <c r="N23" s="30" t="n">
        <f aca="false">AVERAGE(E4:E23)</f>
        <v>1352.392</v>
      </c>
      <c r="Q23" s="30" t="n">
        <f aca="false">Q22+(2/13)*(E23-Q22)</f>
        <v>1357.07284722597</v>
      </c>
      <c r="V23" s="32" t="str">
        <f aca="false">IF(M23="","",IF(M23&lt;Assumptions!$B$5,"BUY",IF(M23&gt;Assumptions!$B$4,"SELL","HOLD")))</f>
        <v>HOLD</v>
      </c>
    </row>
    <row r="24" customFormat="false" ht="15" hidden="false" customHeight="false" outlineLevel="0" collapsed="false">
      <c r="A24" s="24" t="n">
        <v>45800</v>
      </c>
      <c r="B24" s="25" t="n">
        <v>1367.5</v>
      </c>
      <c r="C24" s="25" t="n">
        <v>1373.92</v>
      </c>
      <c r="D24" s="25" t="n">
        <v>1367.5</v>
      </c>
      <c r="E24" s="25" t="n">
        <v>1370.71</v>
      </c>
      <c r="F24" s="26" t="n">
        <v>2972940</v>
      </c>
      <c r="G24" s="27" t="n">
        <f aca="false">E24-E23</f>
        <v>6.68000000000006</v>
      </c>
      <c r="H24" s="28" t="n">
        <f aca="false">G24/E23</f>
        <v>0.00489725299296941</v>
      </c>
      <c r="I24" s="29" t="n">
        <f aca="false">MAX(G24,0)</f>
        <v>6.68000000000006</v>
      </c>
      <c r="J24" s="29" t="n">
        <f aca="false">MAX(-G24,0)</f>
        <v>0</v>
      </c>
      <c r="K24" s="29" t="n">
        <f aca="false">(K23*13+I24)/14</f>
        <v>3.3597975419124</v>
      </c>
      <c r="L24" s="29" t="n">
        <f aca="false">(L23*13+J24)/14</f>
        <v>2.35643413009563</v>
      </c>
      <c r="M24" s="31" t="n">
        <f aca="false">IF(L24=0,100,100-100/(1+K24/MAX(L24,0.000001)))</f>
        <v>58.776441101313</v>
      </c>
      <c r="N24" s="30" t="n">
        <f aca="false">AVERAGE(E5:E24)</f>
        <v>1353.2585</v>
      </c>
      <c r="Q24" s="30" t="n">
        <f aca="false">Q23+(2/13)*(E24-Q23)</f>
        <v>1359.17087072966</v>
      </c>
      <c r="V24" s="32" t="str">
        <f aca="false">IF(M24="","",IF(M24&lt;Assumptions!$B$5,"BUY",IF(M24&gt;Assumptions!$B$4,"SELL","HOLD")))</f>
        <v>HOLD</v>
      </c>
    </row>
    <row r="25" customFormat="false" ht="15" hidden="false" customHeight="false" outlineLevel="0" collapsed="false">
      <c r="A25" s="24" t="n">
        <v>45803</v>
      </c>
      <c r="B25" s="25" t="n">
        <v>1359.3</v>
      </c>
      <c r="C25" s="25" t="n">
        <v>1359.3</v>
      </c>
      <c r="D25" s="25" t="n">
        <v>1346.76</v>
      </c>
      <c r="E25" s="25" t="n">
        <v>1353.03</v>
      </c>
      <c r="F25" s="26" t="n">
        <v>8330517</v>
      </c>
      <c r="G25" s="27" t="n">
        <f aca="false">E25-E24</f>
        <v>-17.6800000000001</v>
      </c>
      <c r="H25" s="28" t="n">
        <f aca="false">G25/E24</f>
        <v>-0.012898424903882</v>
      </c>
      <c r="I25" s="29" t="n">
        <f aca="false">MAX(G25,0)</f>
        <v>0</v>
      </c>
      <c r="J25" s="29" t="n">
        <f aca="false">MAX(-G25,0)</f>
        <v>17.6800000000001</v>
      </c>
      <c r="K25" s="29" t="n">
        <f aca="false">(K24*13+I25)/14</f>
        <v>3.11981200320437</v>
      </c>
      <c r="L25" s="29" t="n">
        <f aca="false">(L24*13+J25)/14</f>
        <v>3.45097454937452</v>
      </c>
      <c r="M25" s="31" t="n">
        <f aca="false">IF(L25=0,100,100-100/(1+K25/MAX(L25,0.000001)))</f>
        <v>47.480038778309</v>
      </c>
      <c r="N25" s="30" t="n">
        <f aca="false">AVERAGE(E6:E25)</f>
        <v>1353.3395</v>
      </c>
      <c r="Q25" s="30" t="n">
        <f aca="false">Q24+(2/13)*(E25-Q24)</f>
        <v>1358.22612138664</v>
      </c>
      <c r="V25" s="32" t="str">
        <f aca="false">IF(M25="","",IF(M25&lt;Assumptions!$B$5,"BUY",IF(M25&gt;Assumptions!$B$4,"SELL","HOLD")))</f>
        <v>HOLD</v>
      </c>
    </row>
    <row r="26" customFormat="false" ht="15" hidden="false" customHeight="false" outlineLevel="0" collapsed="false">
      <c r="A26" s="24" t="n">
        <v>45804</v>
      </c>
      <c r="B26" s="25" t="n">
        <v>1338.32</v>
      </c>
      <c r="C26" s="25" t="n">
        <v>1363.97</v>
      </c>
      <c r="D26" s="25" t="n">
        <v>1334.77</v>
      </c>
      <c r="E26" s="25" t="n">
        <v>1349.37</v>
      </c>
      <c r="F26" s="26" t="n">
        <v>6346593</v>
      </c>
      <c r="G26" s="27" t="n">
        <f aca="false">E26-E25</f>
        <v>-3.66000000000008</v>
      </c>
      <c r="H26" s="28" t="n">
        <f aca="false">G26/E25</f>
        <v>-0.00270503979956105</v>
      </c>
      <c r="I26" s="29" t="n">
        <f aca="false">MAX(G26,0)</f>
        <v>0</v>
      </c>
      <c r="J26" s="29" t="n">
        <f aca="false">MAX(-G26,0)</f>
        <v>3.66000000000008</v>
      </c>
      <c r="K26" s="29" t="n">
        <f aca="false">(K25*13+I26)/14</f>
        <v>2.89696828868977</v>
      </c>
      <c r="L26" s="29" t="n">
        <f aca="false">(L25*13+J26)/14</f>
        <v>3.46590493870491</v>
      </c>
      <c r="M26" s="31" t="n">
        <f aca="false">IF(L26=0,100,100-100/(1+K26/MAX(L26,0.000001)))</f>
        <v>45.5292473252049</v>
      </c>
      <c r="N26" s="30" t="n">
        <f aca="false">AVERAGE(E7:E26)</f>
        <v>1353.2985</v>
      </c>
      <c r="Q26" s="30" t="n">
        <f aca="false">Q25+(2/13)*(E26-Q25)</f>
        <v>1356.86364117331</v>
      </c>
      <c r="V26" s="32" t="str">
        <f aca="false">IF(M26="","",IF(M26&lt;Assumptions!$B$5,"BUY",IF(M26&gt;Assumptions!$B$4,"SELL","HOLD")))</f>
        <v>HOLD</v>
      </c>
    </row>
    <row r="27" customFormat="false" ht="15" hidden="false" customHeight="false" outlineLevel="0" collapsed="false">
      <c r="A27" s="24" t="n">
        <v>45805</v>
      </c>
      <c r="B27" s="25" t="n">
        <v>1364.25</v>
      </c>
      <c r="C27" s="25" t="n">
        <v>1371.05</v>
      </c>
      <c r="D27" s="25" t="n">
        <v>1339.89</v>
      </c>
      <c r="E27" s="25" t="n">
        <v>1355.47</v>
      </c>
      <c r="F27" s="26" t="n">
        <v>5443361</v>
      </c>
      <c r="G27" s="27" t="n">
        <f aca="false">E27-E26</f>
        <v>6.10000000000014</v>
      </c>
      <c r="H27" s="28" t="n">
        <f aca="false">G27/E26</f>
        <v>0.00452062814498628</v>
      </c>
      <c r="I27" s="29" t="n">
        <f aca="false">MAX(G27,0)</f>
        <v>6.10000000000014</v>
      </c>
      <c r="J27" s="29" t="n">
        <f aca="false">MAX(-G27,0)</f>
        <v>0</v>
      </c>
      <c r="K27" s="29" t="n">
        <f aca="false">(K26*13+I27)/14</f>
        <v>3.12575626806908</v>
      </c>
      <c r="L27" s="29" t="n">
        <f aca="false">(L26*13+J27)/14</f>
        <v>3.21834030022599</v>
      </c>
      <c r="M27" s="31" t="n">
        <f aca="false">IF(L27=0,100,100-100/(1+K27/MAX(L27,0.000001)))</f>
        <v>49.2703135020075</v>
      </c>
      <c r="N27" s="30" t="n">
        <f aca="false">AVERAGE(E8:E27)</f>
        <v>1353.128</v>
      </c>
      <c r="Q27" s="30" t="n">
        <f aca="false">Q26+(2/13)*(E27-Q26)</f>
        <v>1356.64923483895</v>
      </c>
      <c r="V27" s="32" t="str">
        <f aca="false">IF(M27="","",IF(M27&lt;Assumptions!$B$5,"BUY",IF(M27&gt;Assumptions!$B$4,"SELL","HOLD")))</f>
        <v>HOLD</v>
      </c>
    </row>
    <row r="28" customFormat="false" ht="15" hidden="false" customHeight="false" outlineLevel="0" collapsed="false">
      <c r="A28" s="24" t="n">
        <v>45806</v>
      </c>
      <c r="B28" s="25" t="n">
        <v>1375.66</v>
      </c>
      <c r="C28" s="25" t="n">
        <v>1375.66</v>
      </c>
      <c r="D28" s="25" t="n">
        <v>1356.94</v>
      </c>
      <c r="E28" s="25" t="n">
        <v>1366.3</v>
      </c>
      <c r="F28" s="26" t="n">
        <v>6126949</v>
      </c>
      <c r="G28" s="27" t="n">
        <f aca="false">E28-E27</f>
        <v>10.8299999999999</v>
      </c>
      <c r="H28" s="28" t="n">
        <f aca="false">G28/E27</f>
        <v>0.00798984853962089</v>
      </c>
      <c r="I28" s="29" t="n">
        <f aca="false">MAX(G28,0)</f>
        <v>10.8299999999999</v>
      </c>
      <c r="J28" s="29" t="n">
        <f aca="false">MAX(-G28,0)</f>
        <v>0</v>
      </c>
      <c r="K28" s="29" t="n">
        <f aca="false">(K27*13+I28)/14</f>
        <v>3.67605939177843</v>
      </c>
      <c r="L28" s="29" t="n">
        <f aca="false">(L27*13+J28)/14</f>
        <v>2.98845885020985</v>
      </c>
      <c r="M28" s="31" t="n">
        <f aca="false">IF(L28=0,100,100-100/(1+K28/MAX(L28,0.000001)))</f>
        <v>55.1586665127309</v>
      </c>
      <c r="N28" s="30" t="n">
        <f aca="false">AVERAGE(E9:E28)</f>
        <v>1353.57</v>
      </c>
      <c r="Q28" s="30" t="n">
        <f aca="false">Q27+(2/13)*(E28-Q27)</f>
        <v>1358.13396794065</v>
      </c>
      <c r="R28" s="30" t="n">
        <f aca="false">AVERAGE(E3:E28)</f>
        <v>1353.75846153846</v>
      </c>
      <c r="S28" s="33" t="n">
        <f aca="false">Q28-R28</f>
        <v>4.37550640219229</v>
      </c>
      <c r="V28" s="32" t="str">
        <f aca="false">IF(M28="","",IF(M28&lt;Assumptions!$B$5,"BUY",IF(M28&gt;Assumptions!$B$4,"SELL","HOLD")))</f>
        <v>HOLD</v>
      </c>
    </row>
    <row r="29" customFormat="false" ht="15" hidden="false" customHeight="false" outlineLevel="0" collapsed="false">
      <c r="A29" s="24" t="n">
        <v>45807</v>
      </c>
      <c r="B29" s="25" t="n">
        <v>1365.08</v>
      </c>
      <c r="C29" s="25" t="n">
        <v>1378.95</v>
      </c>
      <c r="D29" s="25" t="n">
        <v>1348.01</v>
      </c>
      <c r="E29" s="25" t="n">
        <v>1363.48</v>
      </c>
      <c r="F29" s="26" t="n">
        <v>3720505</v>
      </c>
      <c r="G29" s="27" t="n">
        <f aca="false">E29-E28</f>
        <v>-2.81999999999994</v>
      </c>
      <c r="H29" s="28" t="n">
        <f aca="false">G29/E28</f>
        <v>-0.00206396838176091</v>
      </c>
      <c r="I29" s="29" t="n">
        <f aca="false">MAX(G29,0)</f>
        <v>0</v>
      </c>
      <c r="J29" s="29" t="n">
        <f aca="false">MAX(-G29,0)</f>
        <v>2.81999999999994</v>
      </c>
      <c r="K29" s="29" t="n">
        <f aca="false">(K28*13+I29)/14</f>
        <v>3.41348372093711</v>
      </c>
      <c r="L29" s="29" t="n">
        <f aca="false">(L28*13+J29)/14</f>
        <v>2.97642607519486</v>
      </c>
      <c r="M29" s="31" t="n">
        <f aca="false">IF(L29=0,100,100-100/(1+K29/MAX(L29,0.000001)))</f>
        <v>53.4199046597404</v>
      </c>
      <c r="N29" s="30" t="n">
        <f aca="false">AVERAGE(E10:E29)</f>
        <v>1354.773</v>
      </c>
      <c r="Q29" s="30" t="n">
        <f aca="false">Q28+(2/13)*(E29-Q28)</f>
        <v>1358.95643441132</v>
      </c>
      <c r="R29" s="30" t="n">
        <f aca="false">R28+(2/27)*(E29-R28)</f>
        <v>1354.47857549858</v>
      </c>
      <c r="S29" s="33" t="n">
        <f aca="false">Q29-R29</f>
        <v>4.47785891274702</v>
      </c>
      <c r="V29" s="32" t="str">
        <f aca="false">IF(M29="","",IF(M29&lt;Assumptions!$B$5,"BUY",IF(M29&gt;Assumptions!$B$4,"SELL","HOLD")))</f>
        <v>HOLD</v>
      </c>
    </row>
    <row r="30" customFormat="false" ht="15" hidden="false" customHeight="false" outlineLevel="0" collapsed="false">
      <c r="A30" s="24" t="n">
        <v>45810</v>
      </c>
      <c r="B30" s="25" t="n">
        <v>1367.34</v>
      </c>
      <c r="C30" s="25" t="n">
        <v>1369.16</v>
      </c>
      <c r="D30" s="25" t="n">
        <v>1367.34</v>
      </c>
      <c r="E30" s="25" t="n">
        <v>1368.25</v>
      </c>
      <c r="F30" s="26" t="n">
        <v>7403614</v>
      </c>
      <c r="G30" s="27" t="n">
        <f aca="false">E30-E29</f>
        <v>4.76999999999998</v>
      </c>
      <c r="H30" s="28" t="n">
        <f aca="false">G30/E29</f>
        <v>0.00349840114999852</v>
      </c>
      <c r="I30" s="29" t="n">
        <f aca="false">MAX(G30,0)</f>
        <v>4.76999999999998</v>
      </c>
      <c r="J30" s="29" t="n">
        <f aca="false">MAX(-G30,0)</f>
        <v>0</v>
      </c>
      <c r="K30" s="29" t="n">
        <f aca="false">(K29*13+I30)/14</f>
        <v>3.51037774087017</v>
      </c>
      <c r="L30" s="29" t="n">
        <f aca="false">(L29*13+J30)/14</f>
        <v>2.76382421268094</v>
      </c>
      <c r="M30" s="31" t="n">
        <f aca="false">IF(L30=0,100,100-100/(1+K30/MAX(L30,0.000001)))</f>
        <v>55.9493903265793</v>
      </c>
      <c r="N30" s="30" t="n">
        <f aca="false">AVERAGE(E11:E30)</f>
        <v>1356.007</v>
      </c>
      <c r="Q30" s="30" t="n">
        <f aca="false">Q29+(2/13)*(E30-Q29)</f>
        <v>1360.38621373266</v>
      </c>
      <c r="R30" s="30" t="n">
        <f aca="false">R29+(2/27)*(E30-R29)</f>
        <v>1355.4986810172</v>
      </c>
      <c r="S30" s="33" t="n">
        <f aca="false">Q30-R30</f>
        <v>4.88753271545807</v>
      </c>
      <c r="V30" s="32" t="str">
        <f aca="false">IF(M30="","",IF(M30&lt;Assumptions!$B$5,"BUY",IF(M30&gt;Assumptions!$B$4,"SELL","HOLD")))</f>
        <v>HOLD</v>
      </c>
    </row>
    <row r="31" customFormat="false" ht="15" hidden="false" customHeight="false" outlineLevel="0" collapsed="false">
      <c r="A31" s="24" t="n">
        <v>45811</v>
      </c>
      <c r="B31" s="25" t="n">
        <v>1373.19</v>
      </c>
      <c r="C31" s="25" t="n">
        <v>1383.16</v>
      </c>
      <c r="D31" s="25" t="n">
        <v>1359.74</v>
      </c>
      <c r="E31" s="25" t="n">
        <v>1371.45</v>
      </c>
      <c r="F31" s="26" t="n">
        <v>8174829</v>
      </c>
      <c r="G31" s="27" t="n">
        <f aca="false">E31-E30</f>
        <v>3.20000000000005</v>
      </c>
      <c r="H31" s="28" t="n">
        <f aca="false">G31/E30</f>
        <v>0.00233875388269691</v>
      </c>
      <c r="I31" s="29" t="n">
        <f aca="false">MAX(G31,0)</f>
        <v>3.20000000000005</v>
      </c>
      <c r="J31" s="29" t="n">
        <f aca="false">MAX(-G31,0)</f>
        <v>0</v>
      </c>
      <c r="K31" s="29" t="n">
        <f aca="false">(K30*13+I31)/14</f>
        <v>3.48820790223659</v>
      </c>
      <c r="L31" s="29" t="n">
        <f aca="false">(L30*13+J31)/14</f>
        <v>2.56640819748944</v>
      </c>
      <c r="M31" s="31" t="n">
        <f aca="false">IF(L31=0,100,100-100/(1+K31/MAX(L31,0.000001)))</f>
        <v>57.6123712021053</v>
      </c>
      <c r="N31" s="30" t="n">
        <f aca="false">AVERAGE(E12:E31)</f>
        <v>1357.5555</v>
      </c>
      <c r="Q31" s="30" t="n">
        <f aca="false">Q30+(2/13)*(E31-Q30)</f>
        <v>1362.08833469686</v>
      </c>
      <c r="R31" s="30" t="n">
        <f aca="false">R30+(2/27)*(E31-R30)</f>
        <v>1356.68026020111</v>
      </c>
      <c r="S31" s="33" t="n">
        <f aca="false">Q31-R31</f>
        <v>5.40807449575345</v>
      </c>
      <c r="V31" s="32" t="str">
        <f aca="false">IF(M31="","",IF(M31&lt;Assumptions!$B$5,"BUY",IF(M31&gt;Assumptions!$B$4,"SELL","HOLD")))</f>
        <v>HOLD</v>
      </c>
    </row>
    <row r="32" customFormat="false" ht="15" hidden="false" customHeight="false" outlineLevel="0" collapsed="false">
      <c r="A32" s="24" t="n">
        <v>45812</v>
      </c>
      <c r="B32" s="25" t="n">
        <v>1382.44</v>
      </c>
      <c r="C32" s="25" t="n">
        <v>1388.13</v>
      </c>
      <c r="D32" s="25" t="n">
        <v>1374.43</v>
      </c>
      <c r="E32" s="25" t="n">
        <v>1381.28</v>
      </c>
      <c r="F32" s="26" t="n">
        <v>5353502</v>
      </c>
      <c r="G32" s="27" t="n">
        <f aca="false">E32-E31</f>
        <v>9.82999999999993</v>
      </c>
      <c r="H32" s="28" t="n">
        <f aca="false">G32/E31</f>
        <v>0.00716759633964047</v>
      </c>
      <c r="I32" s="29" t="n">
        <f aca="false">MAX(G32,0)</f>
        <v>9.82999999999993</v>
      </c>
      <c r="J32" s="29" t="n">
        <f aca="false">MAX(-G32,0)</f>
        <v>0</v>
      </c>
      <c r="K32" s="29" t="n">
        <f aca="false">(K31*13+I32)/14</f>
        <v>3.94119305207683</v>
      </c>
      <c r="L32" s="29" t="n">
        <f aca="false">(L31*13+J32)/14</f>
        <v>2.3830933262402</v>
      </c>
      <c r="M32" s="31" t="n">
        <f aca="false">IF(L32=0,100,100-100/(1+K32/MAX(L32,0.000001)))</f>
        <v>62.3183837087028</v>
      </c>
      <c r="N32" s="30" t="n">
        <f aca="false">AVERAGE(E13:E32)</f>
        <v>1359.7195</v>
      </c>
      <c r="Q32" s="30" t="n">
        <f aca="false">Q31+(2/13)*(E32-Q31)</f>
        <v>1365.04089858965</v>
      </c>
      <c r="R32" s="30" t="n">
        <f aca="false">R31+(2/27)*(E32-R31)</f>
        <v>1358.50246314918</v>
      </c>
      <c r="S32" s="33" t="n">
        <f aca="false">Q32-R32</f>
        <v>6.53843544047754</v>
      </c>
      <c r="V32" s="32" t="str">
        <f aca="false">IF(M32="","",IF(M32&lt;Assumptions!$B$5,"BUY",IF(M32&gt;Assumptions!$B$4,"SELL","HOLD")))</f>
        <v>HOLD</v>
      </c>
    </row>
    <row r="33" customFormat="false" ht="15" hidden="false" customHeight="false" outlineLevel="0" collapsed="false">
      <c r="A33" s="24" t="n">
        <v>45813</v>
      </c>
      <c r="B33" s="25" t="n">
        <v>1371.2</v>
      </c>
      <c r="C33" s="25" t="n">
        <v>1373.31</v>
      </c>
      <c r="D33" s="25" t="n">
        <v>1361.99</v>
      </c>
      <c r="E33" s="25" t="n">
        <v>1367.65</v>
      </c>
      <c r="F33" s="26" t="n">
        <v>5169837</v>
      </c>
      <c r="G33" s="27" t="n">
        <f aca="false">E33-E32</f>
        <v>-13.6299999999999</v>
      </c>
      <c r="H33" s="28" t="n">
        <f aca="false">G33/E32</f>
        <v>-0.00986765898297223</v>
      </c>
      <c r="I33" s="29" t="n">
        <f aca="false">MAX(G33,0)</f>
        <v>0</v>
      </c>
      <c r="J33" s="29" t="n">
        <f aca="false">MAX(-G33,0)</f>
        <v>13.6299999999999</v>
      </c>
      <c r="K33" s="29" t="n">
        <f aca="false">(K32*13+I33)/14</f>
        <v>3.65967926264277</v>
      </c>
      <c r="L33" s="29" t="n">
        <f aca="false">(L32*13+J33)/14</f>
        <v>3.18644380293732</v>
      </c>
      <c r="M33" s="31" t="n">
        <f aca="false">IF(L33=0,100,100-100/(1+K33/MAX(L33,0.000001)))</f>
        <v>53.4562295708992</v>
      </c>
      <c r="N33" s="30" t="n">
        <f aca="false">AVERAGE(E14:E33)</f>
        <v>1361.1255</v>
      </c>
      <c r="Q33" s="30" t="n">
        <f aca="false">Q32+(2/13)*(E33-Q32)</f>
        <v>1365.44229880663</v>
      </c>
      <c r="R33" s="30" t="n">
        <f aca="false">R32+(2/27)*(E33-R32)</f>
        <v>1359.18005847146</v>
      </c>
      <c r="S33" s="33" t="n">
        <f aca="false">Q33-R33</f>
        <v>6.26224033517065</v>
      </c>
      <c r="V33" s="32" t="str">
        <f aca="false">IF(M33="","",IF(M33&lt;Assumptions!$B$5,"BUY",IF(M33&gt;Assumptions!$B$4,"SELL","HOLD")))</f>
        <v>HOLD</v>
      </c>
    </row>
    <row r="34" customFormat="false" ht="15" hidden="false" customHeight="false" outlineLevel="0" collapsed="false">
      <c r="A34" s="24" t="n">
        <v>45814</v>
      </c>
      <c r="B34" s="25" t="n">
        <v>1382.58</v>
      </c>
      <c r="C34" s="25" t="n">
        <v>1382.58</v>
      </c>
      <c r="D34" s="25" t="n">
        <v>1367.02</v>
      </c>
      <c r="E34" s="25" t="n">
        <v>1374.8</v>
      </c>
      <c r="F34" s="26" t="n">
        <v>6385326</v>
      </c>
      <c r="G34" s="27" t="n">
        <f aca="false">E34-E33</f>
        <v>7.14999999999986</v>
      </c>
      <c r="H34" s="28" t="n">
        <f aca="false">G34/E33</f>
        <v>0.00522794574635313</v>
      </c>
      <c r="I34" s="29" t="n">
        <f aca="false">MAX(G34,0)</f>
        <v>7.14999999999986</v>
      </c>
      <c r="J34" s="29" t="n">
        <f aca="false">MAX(-G34,0)</f>
        <v>0</v>
      </c>
      <c r="K34" s="29" t="n">
        <f aca="false">(K33*13+I34)/14</f>
        <v>3.90898788673971</v>
      </c>
      <c r="L34" s="29" t="n">
        <f aca="false">(L33*13+J34)/14</f>
        <v>2.95884067415608</v>
      </c>
      <c r="M34" s="31" t="n">
        <f aca="false">IF(L34=0,100,100-100/(1+K34/MAX(L34,0.000001)))</f>
        <v>56.9173771895938</v>
      </c>
      <c r="N34" s="30" t="n">
        <f aca="false">AVERAGE(E15:E34)</f>
        <v>1362.742</v>
      </c>
      <c r="Q34" s="30" t="n">
        <f aca="false">Q33+(2/13)*(E34-Q33)</f>
        <v>1366.88194514407</v>
      </c>
      <c r="R34" s="30" t="n">
        <f aca="false">R33+(2/27)*(E34-R33)</f>
        <v>1360.33709117728</v>
      </c>
      <c r="S34" s="33" t="n">
        <f aca="false">Q34-R34</f>
        <v>6.54485396679434</v>
      </c>
      <c r="V34" s="32" t="str">
        <f aca="false">IF(M34="","",IF(M34&lt;Assumptions!$B$5,"BUY",IF(M34&gt;Assumptions!$B$4,"SELL","HOLD")))</f>
        <v>HOLD</v>
      </c>
    </row>
    <row r="35" customFormat="false" ht="15" hidden="false" customHeight="false" outlineLevel="0" collapsed="false">
      <c r="A35" s="24" t="n">
        <v>45817</v>
      </c>
      <c r="B35" s="25" t="n">
        <v>1354.96</v>
      </c>
      <c r="C35" s="25" t="n">
        <v>1357.68</v>
      </c>
      <c r="D35" s="25" t="n">
        <v>1354.96</v>
      </c>
      <c r="E35" s="25" t="n">
        <v>1356.32</v>
      </c>
      <c r="F35" s="26" t="n">
        <v>3627365</v>
      </c>
      <c r="G35" s="27" t="n">
        <f aca="false">E35-E34</f>
        <v>-18.48</v>
      </c>
      <c r="H35" s="28" t="n">
        <f aca="false">G35/E34</f>
        <v>-0.0134419551934827</v>
      </c>
      <c r="I35" s="29" t="n">
        <f aca="false">MAX(G35,0)</f>
        <v>0</v>
      </c>
      <c r="J35" s="29" t="n">
        <f aca="false">MAX(-G35,0)</f>
        <v>18.48</v>
      </c>
      <c r="K35" s="29" t="n">
        <f aca="false">(K34*13+I35)/14</f>
        <v>3.6297744662583</v>
      </c>
      <c r="L35" s="29" t="n">
        <f aca="false">(L34*13+J35)/14</f>
        <v>4.06749491171636</v>
      </c>
      <c r="M35" s="31" t="n">
        <f aca="false">IF(L35=0,100,100-100/(1+K35/MAX(L35,0.000001)))</f>
        <v>47.1566511189632</v>
      </c>
      <c r="N35" s="30" t="n">
        <f aca="false">AVERAGE(E16:E35)</f>
        <v>1362.721</v>
      </c>
      <c r="Q35" s="30" t="n">
        <f aca="false">Q34+(2/13)*(E35-Q34)</f>
        <v>1365.25703050652</v>
      </c>
      <c r="R35" s="30" t="n">
        <f aca="false">R34+(2/27)*(E35-R34)</f>
        <v>1360.03952886785</v>
      </c>
      <c r="S35" s="33" t="n">
        <f aca="false">Q35-R35</f>
        <v>5.21750163867273</v>
      </c>
      <c r="V35" s="32" t="str">
        <f aca="false">IF(M35="","",IF(M35&lt;Assumptions!$B$5,"BUY",IF(M35&gt;Assumptions!$B$4,"SELL","HOLD")))</f>
        <v>HOLD</v>
      </c>
    </row>
    <row r="36" customFormat="false" ht="15" hidden="false" customHeight="false" outlineLevel="0" collapsed="false">
      <c r="A36" s="24" t="n">
        <v>45818</v>
      </c>
      <c r="B36" s="25" t="n">
        <v>1324.07</v>
      </c>
      <c r="C36" s="25" t="n">
        <v>1334.63</v>
      </c>
      <c r="D36" s="25" t="n">
        <v>1315.07</v>
      </c>
      <c r="E36" s="25" t="n">
        <v>1324.85</v>
      </c>
      <c r="F36" s="26" t="n">
        <v>5804016</v>
      </c>
      <c r="G36" s="27" t="n">
        <f aca="false">E36-E35</f>
        <v>-31.47</v>
      </c>
      <c r="H36" s="28" t="n">
        <f aca="false">G36/E35</f>
        <v>-0.0232024890881208</v>
      </c>
      <c r="I36" s="29" t="n">
        <f aca="false">MAX(G36,0)</f>
        <v>0</v>
      </c>
      <c r="J36" s="29" t="n">
        <f aca="false">MAX(-G36,0)</f>
        <v>31.47</v>
      </c>
      <c r="K36" s="29" t="n">
        <f aca="false">(K35*13+I36)/14</f>
        <v>3.37050486152556</v>
      </c>
      <c r="L36" s="29" t="n">
        <f aca="false">(L35*13+J36)/14</f>
        <v>6.02481670373662</v>
      </c>
      <c r="M36" s="31" t="n">
        <f aca="false">IF(L36=0,100,100-100/(1+K36/MAX(L36,0.000001)))</f>
        <v>35.8742895398866</v>
      </c>
      <c r="N36" s="30" t="n">
        <f aca="false">AVERAGE(E17:E36)</f>
        <v>1360.7175</v>
      </c>
      <c r="Q36" s="30" t="n">
        <f aca="false">Q35+(2/13)*(E36-Q35)</f>
        <v>1359.04056427475</v>
      </c>
      <c r="R36" s="30" t="n">
        <f aca="false">R35+(2/27)*(E36-R35)</f>
        <v>1357.43289709986</v>
      </c>
      <c r="S36" s="33" t="n">
        <f aca="false">Q36-R36</f>
        <v>1.60766717488877</v>
      </c>
      <c r="T36" s="33" t="n">
        <f aca="false">AVERAGE(S28:S36)</f>
        <v>5.03551900912832</v>
      </c>
      <c r="U36" s="33" t="n">
        <f aca="false">S36-T36</f>
        <v>-3.42785183423954</v>
      </c>
      <c r="V36" s="32" t="str">
        <f aca="false">IF(M36="","",IF(M36&lt;Assumptions!$B$5,"BUY",IF(M36&gt;Assumptions!$B$4,"SELL","HOLD")))</f>
        <v>HOLD</v>
      </c>
      <c r="X36" s="32" t="str">
        <f aca="false">IF(T36="","",IF(S36&gt;T36,"BUY","SELL"))</f>
        <v>SELL</v>
      </c>
    </row>
    <row r="37" customFormat="false" ht="15" hidden="false" customHeight="false" outlineLevel="0" collapsed="false">
      <c r="A37" s="24" t="n">
        <v>45819</v>
      </c>
      <c r="B37" s="25" t="n">
        <v>1319.23</v>
      </c>
      <c r="C37" s="25" t="n">
        <v>1319.23</v>
      </c>
      <c r="D37" s="25" t="n">
        <v>1316.31</v>
      </c>
      <c r="E37" s="25" t="n">
        <v>1317.77</v>
      </c>
      <c r="F37" s="26" t="n">
        <v>4797036</v>
      </c>
      <c r="G37" s="27" t="n">
        <f aca="false">E37-E36</f>
        <v>-7.07999999999993</v>
      </c>
      <c r="H37" s="28" t="n">
        <f aca="false">G37/E36</f>
        <v>-0.00534400120768383</v>
      </c>
      <c r="I37" s="29" t="n">
        <f aca="false">MAX(G37,0)</f>
        <v>0</v>
      </c>
      <c r="J37" s="29" t="n">
        <f aca="false">MAX(-G37,0)</f>
        <v>7.07999999999993</v>
      </c>
      <c r="K37" s="29" t="n">
        <f aca="false">(K36*13+I37)/14</f>
        <v>3.12975451427374</v>
      </c>
      <c r="L37" s="29" t="n">
        <f aca="false">(L36*13+J37)/14</f>
        <v>6.100186939184</v>
      </c>
      <c r="M37" s="31" t="n">
        <f aca="false">IF(L37=0,100,100-100/(1+K37/MAX(L37,0.000001)))</f>
        <v>33.9087146983068</v>
      </c>
      <c r="N37" s="30" t="n">
        <f aca="false">AVERAGE(E18:E37)</f>
        <v>1358.2855</v>
      </c>
      <c r="Q37" s="30" t="n">
        <f aca="false">Q36+(2/13)*(E37-Q36)</f>
        <v>1352.69124669402</v>
      </c>
      <c r="R37" s="30" t="n">
        <f aca="false">R36+(2/27)*(E37-R36)</f>
        <v>1354.49490472209</v>
      </c>
      <c r="S37" s="33" t="n">
        <f aca="false">Q37-R37</f>
        <v>-1.80365802807455</v>
      </c>
      <c r="T37" s="33" t="n">
        <f aca="false">T36+(2/10)*(S37-T36)</f>
        <v>3.66768360168774</v>
      </c>
      <c r="U37" s="33" t="n">
        <f aca="false">S37-T37</f>
        <v>-5.47134162976229</v>
      </c>
      <c r="V37" s="32" t="str">
        <f aca="false">IF(M37="","",IF(M37&lt;Assumptions!$B$5,"BUY",IF(M37&gt;Assumptions!$B$4,"SELL","HOLD")))</f>
        <v>HOLD</v>
      </c>
      <c r="X37" s="32" t="str">
        <f aca="false">IF(T37="","",IF(S37&gt;T37,"BUY","SELL"))</f>
        <v>SELL</v>
      </c>
    </row>
    <row r="38" customFormat="false" ht="15" hidden="false" customHeight="false" outlineLevel="0" collapsed="false">
      <c r="A38" s="24" t="n">
        <v>45820</v>
      </c>
      <c r="B38" s="25" t="n">
        <v>1306.12</v>
      </c>
      <c r="C38" s="25" t="n">
        <v>1313.07</v>
      </c>
      <c r="D38" s="25" t="n">
        <v>1301.09</v>
      </c>
      <c r="E38" s="25" t="n">
        <v>1307.08</v>
      </c>
      <c r="F38" s="26" t="n">
        <v>6451777</v>
      </c>
      <c r="G38" s="27" t="n">
        <f aca="false">E38-E37</f>
        <v>-10.6900000000001</v>
      </c>
      <c r="H38" s="28" t="n">
        <f aca="false">G38/E37</f>
        <v>-0.008112189532316</v>
      </c>
      <c r="I38" s="29" t="n">
        <f aca="false">MAX(G38,0)</f>
        <v>0</v>
      </c>
      <c r="J38" s="29" t="n">
        <f aca="false">MAX(-G38,0)</f>
        <v>10.6900000000001</v>
      </c>
      <c r="K38" s="29" t="n">
        <f aca="false">(K37*13+I38)/14</f>
        <v>2.90620062039704</v>
      </c>
      <c r="L38" s="29" t="n">
        <f aca="false">(L37*13+J38)/14</f>
        <v>6.42803072924229</v>
      </c>
      <c r="M38" s="31" t="n">
        <f aca="false">IF(L38=0,100,100-100/(1+K38/MAX(L38,0.000001)))</f>
        <v>31.1348681164768</v>
      </c>
      <c r="N38" s="30" t="n">
        <f aca="false">AVERAGE(E19:E38)</f>
        <v>1355.7645</v>
      </c>
      <c r="Q38" s="30" t="n">
        <f aca="false">Q37+(2/13)*(E38-Q37)</f>
        <v>1345.67413181802</v>
      </c>
      <c r="R38" s="30" t="n">
        <f aca="false">R37+(2/27)*(E38-R37)</f>
        <v>1350.98268955749</v>
      </c>
      <c r="S38" s="33" t="n">
        <f aca="false">Q38-R38</f>
        <v>-5.30855773947815</v>
      </c>
      <c r="T38" s="33" t="n">
        <f aca="false">T37+(2/10)*(S38-T37)</f>
        <v>1.87243533345457</v>
      </c>
      <c r="U38" s="33" t="n">
        <f aca="false">S38-T38</f>
        <v>-7.18099307293271</v>
      </c>
      <c r="V38" s="32" t="str">
        <f aca="false">IF(M38="","",IF(M38&lt;Assumptions!$B$5,"BUY",IF(M38&gt;Assumptions!$B$4,"SELL","HOLD")))</f>
        <v>HOLD</v>
      </c>
      <c r="X38" s="32" t="str">
        <f aca="false">IF(T38="","",IF(S38&gt;T38,"BUY","SELL"))</f>
        <v>SELL</v>
      </c>
    </row>
    <row r="39" customFormat="false" ht="15" hidden="false" customHeight="false" outlineLevel="0" collapsed="false">
      <c r="A39" s="24" t="n">
        <v>45821</v>
      </c>
      <c r="B39" s="25" t="n">
        <v>1316.95</v>
      </c>
      <c r="C39" s="25" t="n">
        <v>1322.88</v>
      </c>
      <c r="D39" s="25" t="n">
        <v>1312.24</v>
      </c>
      <c r="E39" s="25" t="n">
        <v>1317.56</v>
      </c>
      <c r="F39" s="26" t="n">
        <v>3495389</v>
      </c>
      <c r="G39" s="27" t="n">
        <f aca="false">E39-E38</f>
        <v>10.48</v>
      </c>
      <c r="H39" s="28" t="n">
        <f aca="false">G39/E38</f>
        <v>0.00801787189766504</v>
      </c>
      <c r="I39" s="29" t="n">
        <f aca="false">MAX(G39,0)</f>
        <v>10.48</v>
      </c>
      <c r="J39" s="29" t="n">
        <f aca="false">MAX(-G39,0)</f>
        <v>0</v>
      </c>
      <c r="K39" s="29" t="n">
        <f aca="false">(K38*13+I39)/14</f>
        <v>3.44718629036868</v>
      </c>
      <c r="L39" s="29" t="n">
        <f aca="false">(L38*13+J39)/14</f>
        <v>5.96888567715356</v>
      </c>
      <c r="M39" s="31" t="n">
        <f aca="false">IF(L39=0,100,100-100/(1+K39/MAX(L39,0.000001)))</f>
        <v>36.6096000780226</v>
      </c>
      <c r="N39" s="30" t="n">
        <f aca="false">AVERAGE(E20:E39)</f>
        <v>1354.378</v>
      </c>
      <c r="Q39" s="30" t="n">
        <f aca="false">Q38+(2/13)*(E39-Q38)</f>
        <v>1341.34888076909</v>
      </c>
      <c r="R39" s="30" t="n">
        <f aca="false">R38+(2/27)*(E39-R38)</f>
        <v>1348.50693477546</v>
      </c>
      <c r="S39" s="33" t="n">
        <f aca="false">Q39-R39</f>
        <v>-7.15805400636714</v>
      </c>
      <c r="T39" s="33" t="n">
        <f aca="false">T38+(2/10)*(S39-T38)</f>
        <v>0.0663374654902247</v>
      </c>
      <c r="U39" s="33" t="n">
        <f aca="false">S39-T39</f>
        <v>-7.22439147185736</v>
      </c>
      <c r="V39" s="32" t="str">
        <f aca="false">IF(M39="","",IF(M39&lt;Assumptions!$B$5,"BUY",IF(M39&gt;Assumptions!$B$4,"SELL","HOLD")))</f>
        <v>HOLD</v>
      </c>
      <c r="X39" s="32" t="str">
        <f aca="false">IF(T39="","",IF(S39&gt;T39,"BUY","SELL"))</f>
        <v>SELL</v>
      </c>
    </row>
    <row r="40" customFormat="false" ht="15" hidden="false" customHeight="false" outlineLevel="0" collapsed="false">
      <c r="A40" s="24" t="n">
        <v>45824</v>
      </c>
      <c r="B40" s="25" t="n">
        <v>1321.67</v>
      </c>
      <c r="C40" s="25" t="n">
        <v>1333.07</v>
      </c>
      <c r="D40" s="25" t="n">
        <v>1318.11</v>
      </c>
      <c r="E40" s="25" t="n">
        <v>1325.59</v>
      </c>
      <c r="F40" s="26" t="n">
        <v>3277146</v>
      </c>
      <c r="G40" s="27" t="n">
        <f aca="false">E40-E39</f>
        <v>8.02999999999997</v>
      </c>
      <c r="H40" s="28" t="n">
        <f aca="false">G40/E39</f>
        <v>0.00609459910744101</v>
      </c>
      <c r="I40" s="29" t="n">
        <f aca="false">MAX(G40,0)</f>
        <v>8.02999999999997</v>
      </c>
      <c r="J40" s="29" t="n">
        <f aca="false">MAX(-G40,0)</f>
        <v>0</v>
      </c>
      <c r="K40" s="29" t="n">
        <f aca="false">(K39*13+I40)/14</f>
        <v>3.77453012677092</v>
      </c>
      <c r="L40" s="29" t="n">
        <f aca="false">(L39*13+J40)/14</f>
        <v>5.54253670021402</v>
      </c>
      <c r="M40" s="31" t="n">
        <f aca="false">IF(L40=0,100,100-100/(1+K40/MAX(L40,0.000001)))</f>
        <v>40.5120001483598</v>
      </c>
      <c r="N40" s="30" t="n">
        <f aca="false">AVERAGE(E21:E40)</f>
        <v>1353.237</v>
      </c>
      <c r="Q40" s="30" t="n">
        <f aca="false">Q39+(2/13)*(E40-Q39)</f>
        <v>1338.92443757385</v>
      </c>
      <c r="R40" s="30" t="n">
        <f aca="false">R39+(2/27)*(E40-R39)</f>
        <v>1346.80938405135</v>
      </c>
      <c r="S40" s="33" t="n">
        <f aca="false">Q40-R40</f>
        <v>-7.88494647750395</v>
      </c>
      <c r="T40" s="33" t="n">
        <f aca="false">T39+(2/10)*(S40-T39)</f>
        <v>-1.52391932310861</v>
      </c>
      <c r="U40" s="33" t="n">
        <f aca="false">S40-T40</f>
        <v>-6.36102715439534</v>
      </c>
      <c r="V40" s="32" t="str">
        <f aca="false">IF(M40="","",IF(M40&lt;Assumptions!$B$5,"BUY",IF(M40&gt;Assumptions!$B$4,"SELL","HOLD")))</f>
        <v>HOLD</v>
      </c>
      <c r="X40" s="32" t="str">
        <f aca="false">IF(T40="","",IF(S40&gt;T40,"BUY","SELL"))</f>
        <v>SELL</v>
      </c>
    </row>
    <row r="41" customFormat="false" ht="15" hidden="false" customHeight="false" outlineLevel="0" collapsed="false">
      <c r="A41" s="24" t="n">
        <v>45825</v>
      </c>
      <c r="B41" s="25" t="n">
        <v>1311.02</v>
      </c>
      <c r="C41" s="25" t="n">
        <v>1318.07</v>
      </c>
      <c r="D41" s="25" t="n">
        <v>1304.45</v>
      </c>
      <c r="E41" s="25" t="n">
        <v>1311.26</v>
      </c>
      <c r="F41" s="26" t="n">
        <v>7747676</v>
      </c>
      <c r="G41" s="27" t="n">
        <f aca="false">E41-E40</f>
        <v>-14.3299999999999</v>
      </c>
      <c r="H41" s="28" t="n">
        <f aca="false">G41/E40</f>
        <v>-0.0108102807051954</v>
      </c>
      <c r="I41" s="29" t="n">
        <f aca="false">MAX(G41,0)</f>
        <v>0</v>
      </c>
      <c r="J41" s="29" t="n">
        <f aca="false">MAX(-G41,0)</f>
        <v>14.3299999999999</v>
      </c>
      <c r="K41" s="29" t="n">
        <f aca="false">(K40*13+I41)/14</f>
        <v>3.50492083200157</v>
      </c>
      <c r="L41" s="29" t="n">
        <f aca="false">(L40*13+J41)/14</f>
        <v>6.17021265019872</v>
      </c>
      <c r="M41" s="31" t="n">
        <f aca="false">IF(L41=0,100,100-100/(1+K41/MAX(L41,0.000001)))</f>
        <v>36.2260721100097</v>
      </c>
      <c r="N41" s="30" t="n">
        <f aca="false">AVERAGE(E22:E41)</f>
        <v>1350.5725</v>
      </c>
      <c r="Q41" s="30" t="n">
        <f aca="false">Q40+(2/13)*(E41-Q40)</f>
        <v>1334.66837025479</v>
      </c>
      <c r="R41" s="30" t="n">
        <f aca="false">R40+(2/27)*(E41-R40)</f>
        <v>1344.17609634384</v>
      </c>
      <c r="S41" s="33" t="n">
        <f aca="false">Q41-R41</f>
        <v>-9.50772608904981</v>
      </c>
      <c r="T41" s="33" t="n">
        <f aca="false">T40+(2/10)*(S41-T40)</f>
        <v>-3.12068067629685</v>
      </c>
      <c r="U41" s="33" t="n">
        <f aca="false">S41-T41</f>
        <v>-6.38704541275296</v>
      </c>
      <c r="V41" s="32" t="str">
        <f aca="false">IF(M41="","",IF(M41&lt;Assumptions!$B$5,"BUY",IF(M41&gt;Assumptions!$B$4,"SELL","HOLD")))</f>
        <v>HOLD</v>
      </c>
      <c r="X41" s="32" t="str">
        <f aca="false">IF(T41="","",IF(S41&gt;T41,"BUY","SELL"))</f>
        <v>SELL</v>
      </c>
    </row>
    <row r="42" customFormat="false" ht="15" hidden="false" customHeight="false" outlineLevel="0" collapsed="false">
      <c r="A42" s="24" t="n">
        <v>45826</v>
      </c>
      <c r="B42" s="25" t="n">
        <v>1321.56</v>
      </c>
      <c r="C42" s="25" t="n">
        <v>1339.5</v>
      </c>
      <c r="D42" s="25" t="n">
        <v>1303.36</v>
      </c>
      <c r="E42" s="25" t="n">
        <v>1321.43</v>
      </c>
      <c r="F42" s="26" t="n">
        <v>2290969</v>
      </c>
      <c r="G42" s="27" t="n">
        <f aca="false">E42-E41</f>
        <v>10.1700000000001</v>
      </c>
      <c r="H42" s="28" t="n">
        <f aca="false">G42/E41</f>
        <v>0.00775589890639543</v>
      </c>
      <c r="I42" s="29" t="n">
        <f aca="false">MAX(G42,0)</f>
        <v>10.1700000000001</v>
      </c>
      <c r="J42" s="29" t="n">
        <f aca="false">MAX(-G42,0)</f>
        <v>0</v>
      </c>
      <c r="K42" s="29" t="n">
        <f aca="false">(K41*13+I42)/14</f>
        <v>3.98099791543003</v>
      </c>
      <c r="L42" s="29" t="n">
        <f aca="false">(L41*13+J42)/14</f>
        <v>5.72948317518453</v>
      </c>
      <c r="M42" s="31" t="n">
        <f aca="false">IF(L42=0,100,100-100/(1+K42/MAX(L42,0.000001)))</f>
        <v>40.9969174367455</v>
      </c>
      <c r="N42" s="30" t="n">
        <f aca="false">AVERAGE(E23:E42)</f>
        <v>1348.384</v>
      </c>
      <c r="Q42" s="30" t="n">
        <f aca="false">Q41+(2/13)*(E42-Q41)</f>
        <v>1332.6316979079</v>
      </c>
      <c r="R42" s="30" t="n">
        <f aca="false">R41+(2/27)*(E42-R41)</f>
        <v>1342.49120031837</v>
      </c>
      <c r="S42" s="33" t="n">
        <f aca="false">Q42-R42</f>
        <v>-9.85950241047112</v>
      </c>
      <c r="T42" s="33" t="n">
        <f aca="false">T41+(2/10)*(S42-T41)</f>
        <v>-4.4684450231317</v>
      </c>
      <c r="U42" s="33" t="n">
        <f aca="false">S42-T42</f>
        <v>-5.39105738733942</v>
      </c>
      <c r="V42" s="32" t="str">
        <f aca="false">IF(M42="","",IF(M42&lt;Assumptions!$B$5,"BUY",IF(M42&gt;Assumptions!$B$4,"SELL","HOLD")))</f>
        <v>HOLD</v>
      </c>
      <c r="X42" s="32" t="str">
        <f aca="false">IF(T42="","",IF(S42&gt;T42,"BUY","SELL"))</f>
        <v>SELL</v>
      </c>
    </row>
    <row r="43" customFormat="false" ht="15" hidden="false" customHeight="false" outlineLevel="0" collapsed="false">
      <c r="A43" s="24" t="n">
        <v>45827</v>
      </c>
      <c r="B43" s="25" t="n">
        <v>1309.31</v>
      </c>
      <c r="C43" s="25" t="n">
        <v>1312.7</v>
      </c>
      <c r="D43" s="25" t="n">
        <v>1306.7</v>
      </c>
      <c r="E43" s="25" t="n">
        <v>1309.7</v>
      </c>
      <c r="F43" s="26" t="n">
        <v>2395225</v>
      </c>
      <c r="G43" s="27" t="n">
        <f aca="false">E43-E42</f>
        <v>-11.73</v>
      </c>
      <c r="H43" s="28" t="n">
        <f aca="false">G43/E42</f>
        <v>-0.00887674716027335</v>
      </c>
      <c r="I43" s="29" t="n">
        <f aca="false">MAX(G43,0)</f>
        <v>0</v>
      </c>
      <c r="J43" s="29" t="n">
        <f aca="false">MAX(-G43,0)</f>
        <v>11.73</v>
      </c>
      <c r="K43" s="29" t="n">
        <f aca="false">(K42*13+I43)/14</f>
        <v>3.69664092147074</v>
      </c>
      <c r="L43" s="29" t="n">
        <f aca="false">(L42*13+J43)/14</f>
        <v>6.15809151981421</v>
      </c>
      <c r="M43" s="31" t="n">
        <f aca="false">IF(L43=0,100,100-100/(1+K43/MAX(L43,0.000001)))</f>
        <v>37.5113271059924</v>
      </c>
      <c r="N43" s="30" t="n">
        <f aca="false">AVERAGE(E24:E43)</f>
        <v>1345.6675</v>
      </c>
      <c r="Q43" s="30" t="n">
        <f aca="false">Q42+(2/13)*(E43-Q42)</f>
        <v>1329.10374438361</v>
      </c>
      <c r="R43" s="30" t="n">
        <f aca="false">R42+(2/27)*(E43-R42)</f>
        <v>1340.06222251701</v>
      </c>
      <c r="S43" s="33" t="n">
        <f aca="false">Q43-R43</f>
        <v>-10.9584781334029</v>
      </c>
      <c r="T43" s="33" t="n">
        <f aca="false">T42+(2/10)*(S43-T42)</f>
        <v>-5.76645164518594</v>
      </c>
      <c r="U43" s="33" t="n">
        <f aca="false">S43-T43</f>
        <v>-5.19202648821694</v>
      </c>
      <c r="V43" s="32" t="str">
        <f aca="false">IF(M43="","",IF(M43&lt;Assumptions!$B$5,"BUY",IF(M43&gt;Assumptions!$B$4,"SELL","HOLD")))</f>
        <v>HOLD</v>
      </c>
      <c r="X43" s="32" t="str">
        <f aca="false">IF(T43="","",IF(S43&gt;T43,"BUY","SELL"))</f>
        <v>SELL</v>
      </c>
    </row>
    <row r="44" customFormat="false" ht="15" hidden="false" customHeight="false" outlineLevel="0" collapsed="false">
      <c r="A44" s="24" t="n">
        <v>45828</v>
      </c>
      <c r="B44" s="25" t="n">
        <v>1310.31</v>
      </c>
      <c r="C44" s="25" t="n">
        <v>1310.78</v>
      </c>
      <c r="D44" s="25" t="n">
        <v>1306.84</v>
      </c>
      <c r="E44" s="25" t="n">
        <v>1308.81</v>
      </c>
      <c r="F44" s="26" t="n">
        <v>4196001</v>
      </c>
      <c r="G44" s="27" t="n">
        <f aca="false">E44-E43</f>
        <v>-0.8900000000001</v>
      </c>
      <c r="H44" s="28" t="n">
        <f aca="false">G44/E43</f>
        <v>-0.000679544933954417</v>
      </c>
      <c r="I44" s="29" t="n">
        <f aca="false">MAX(G44,0)</f>
        <v>0</v>
      </c>
      <c r="J44" s="29" t="n">
        <f aca="false">MAX(-G44,0)</f>
        <v>0.8900000000001</v>
      </c>
      <c r="K44" s="29" t="n">
        <f aca="false">(K43*13+I44)/14</f>
        <v>3.43259514136569</v>
      </c>
      <c r="L44" s="29" t="n">
        <f aca="false">(L43*13+J44)/14</f>
        <v>5.78179926839891</v>
      </c>
      <c r="M44" s="31" t="n">
        <f aca="false">IF(L44=0,100,100-100/(1+K44/MAX(L44,0.000001)))</f>
        <v>37.2525310803728</v>
      </c>
      <c r="N44" s="30" t="n">
        <f aca="false">AVERAGE(E25:E44)</f>
        <v>1342.5725</v>
      </c>
      <c r="Q44" s="30" t="n">
        <f aca="false">Q43+(2/13)*(E44-Q43)</f>
        <v>1325.98162986305</v>
      </c>
      <c r="R44" s="30" t="n">
        <f aca="false">R43+(2/27)*(E44-R43)</f>
        <v>1337.74724307131</v>
      </c>
      <c r="S44" s="33" t="n">
        <f aca="false">Q44-R44</f>
        <v>-11.7656132082536</v>
      </c>
      <c r="T44" s="33" t="n">
        <f aca="false">T43+(2/10)*(S44-T43)</f>
        <v>-6.96628395779948</v>
      </c>
      <c r="U44" s="33" t="n">
        <f aca="false">S44-T44</f>
        <v>-4.79932925045415</v>
      </c>
      <c r="V44" s="32" t="str">
        <f aca="false">IF(M44="","",IF(M44&lt;Assumptions!$B$5,"BUY",IF(M44&gt;Assumptions!$B$4,"SELL","HOLD")))</f>
        <v>HOLD</v>
      </c>
      <c r="X44" s="32" t="str">
        <f aca="false">IF(T44="","",IF(S44&gt;T44,"BUY","SELL"))</f>
        <v>SELL</v>
      </c>
    </row>
    <row r="45" customFormat="false" ht="15" hidden="false" customHeight="false" outlineLevel="0" collapsed="false">
      <c r="A45" s="24" t="n">
        <v>45831</v>
      </c>
      <c r="B45" s="25" t="n">
        <v>1301.52</v>
      </c>
      <c r="C45" s="25" t="n">
        <v>1311.5</v>
      </c>
      <c r="D45" s="25" t="n">
        <v>1299.46</v>
      </c>
      <c r="E45" s="25" t="n">
        <v>1305.48</v>
      </c>
      <c r="F45" s="26" t="n">
        <v>8126696</v>
      </c>
      <c r="G45" s="27" t="n">
        <f aca="false">E45-E44</f>
        <v>-3.32999999999993</v>
      </c>
      <c r="H45" s="28" t="n">
        <f aca="false">G45/E44</f>
        <v>-0.00254429596350878</v>
      </c>
      <c r="I45" s="29" t="n">
        <f aca="false">MAX(G45,0)</f>
        <v>0</v>
      </c>
      <c r="J45" s="29" t="n">
        <f aca="false">MAX(-G45,0)</f>
        <v>3.32999999999993</v>
      </c>
      <c r="K45" s="29" t="n">
        <f aca="false">(K44*13+I45)/14</f>
        <v>3.18740977412529</v>
      </c>
      <c r="L45" s="29" t="n">
        <f aca="false">(L44*13+J45)/14</f>
        <v>5.60667074922756</v>
      </c>
      <c r="M45" s="31" t="n">
        <f aca="false">IF(L45=0,100,100-100/(1+K45/MAX(L45,0.000001)))</f>
        <v>36.2449464234613</v>
      </c>
      <c r="N45" s="30" t="n">
        <f aca="false">AVERAGE(E26:E45)</f>
        <v>1340.195</v>
      </c>
      <c r="Q45" s="30" t="n">
        <f aca="false">Q44+(2/13)*(E45-Q44)</f>
        <v>1322.82753296105</v>
      </c>
      <c r="R45" s="30" t="n">
        <f aca="false">R44+(2/27)*(E45-R44)</f>
        <v>1335.35707691788</v>
      </c>
      <c r="S45" s="33" t="n">
        <f aca="false">Q45-R45</f>
        <v>-12.5295439568317</v>
      </c>
      <c r="T45" s="33" t="n">
        <f aca="false">T44+(2/10)*(S45-T44)</f>
        <v>-8.07893595760593</v>
      </c>
      <c r="U45" s="33" t="n">
        <f aca="false">S45-T45</f>
        <v>-4.4506079992258</v>
      </c>
      <c r="V45" s="32" t="str">
        <f aca="false">IF(M45="","",IF(M45&lt;Assumptions!$B$5,"BUY",IF(M45&gt;Assumptions!$B$4,"SELL","HOLD")))</f>
        <v>HOLD</v>
      </c>
      <c r="X45" s="32" t="str">
        <f aca="false">IF(T45="","",IF(S45&gt;T45,"BUY","SELL"))</f>
        <v>SELL</v>
      </c>
    </row>
    <row r="46" customFormat="false" ht="15" hidden="false" customHeight="false" outlineLevel="0" collapsed="false">
      <c r="A46" s="24" t="n">
        <v>45832</v>
      </c>
      <c r="B46" s="25" t="n">
        <v>1305.71</v>
      </c>
      <c r="C46" s="25" t="n">
        <v>1308.21</v>
      </c>
      <c r="D46" s="25" t="n">
        <v>1305.71</v>
      </c>
      <c r="E46" s="25" t="n">
        <v>1306.96</v>
      </c>
      <c r="F46" s="26" t="n">
        <v>4347427</v>
      </c>
      <c r="G46" s="27" t="n">
        <f aca="false">E46-E45</f>
        <v>1.48000000000002</v>
      </c>
      <c r="H46" s="28" t="n">
        <f aca="false">G46/E45</f>
        <v>0.00113368263014372</v>
      </c>
      <c r="I46" s="29" t="n">
        <f aca="false">MAX(G46,0)</f>
        <v>1.48000000000002</v>
      </c>
      <c r="J46" s="29" t="n">
        <f aca="false">MAX(-G46,0)</f>
        <v>0</v>
      </c>
      <c r="K46" s="29" t="n">
        <f aca="false">(K45*13+I46)/14</f>
        <v>3.06545193311634</v>
      </c>
      <c r="L46" s="29" t="n">
        <f aca="false">(L45*13+J46)/14</f>
        <v>5.20619426713987</v>
      </c>
      <c r="M46" s="31" t="n">
        <f aca="false">IF(L46=0,100,100-100/(1+K46/MAX(L46,0.000001)))</f>
        <v>37.0597564124707</v>
      </c>
      <c r="N46" s="30" t="n">
        <f aca="false">AVERAGE(E27:E46)</f>
        <v>1338.0745</v>
      </c>
      <c r="Q46" s="30" t="n">
        <f aca="false">Q45+(2/13)*(E46-Q45)</f>
        <v>1320.38637404396</v>
      </c>
      <c r="R46" s="30" t="n">
        <f aca="false">R45+(2/27)*(E46-R45)</f>
        <v>1333.25358973878</v>
      </c>
      <c r="S46" s="33" t="n">
        <f aca="false">Q46-R46</f>
        <v>-12.8672156948135</v>
      </c>
      <c r="T46" s="33" t="n">
        <f aca="false">T45+(2/10)*(S46-T45)</f>
        <v>-9.03659190504744</v>
      </c>
      <c r="U46" s="33" t="n">
        <f aca="false">S46-T46</f>
        <v>-3.83062378976603</v>
      </c>
      <c r="V46" s="32" t="str">
        <f aca="false">IF(M46="","",IF(M46&lt;Assumptions!$B$5,"BUY",IF(M46&gt;Assumptions!$B$4,"SELL","HOLD")))</f>
        <v>HOLD</v>
      </c>
      <c r="X46" s="32" t="str">
        <f aca="false">IF(T46="","",IF(S46&gt;T46,"BUY","SELL"))</f>
        <v>SELL</v>
      </c>
    </row>
    <row r="47" customFormat="false" ht="15" hidden="false" customHeight="false" outlineLevel="0" collapsed="false">
      <c r="A47" s="24" t="n">
        <v>45833</v>
      </c>
      <c r="B47" s="25" t="n">
        <v>1313.16</v>
      </c>
      <c r="C47" s="25" t="n">
        <v>1324.3</v>
      </c>
      <c r="D47" s="25" t="n">
        <v>1309.22</v>
      </c>
      <c r="E47" s="25" t="n">
        <v>1316.76</v>
      </c>
      <c r="F47" s="26" t="n">
        <v>5843232</v>
      </c>
      <c r="G47" s="27" t="n">
        <f aca="false">E47-E46</f>
        <v>9.79999999999996</v>
      </c>
      <c r="H47" s="28" t="n">
        <f aca="false">G47/E46</f>
        <v>0.00749831670441326</v>
      </c>
      <c r="I47" s="29" t="n">
        <f aca="false">MAX(G47,0)</f>
        <v>9.79999999999996</v>
      </c>
      <c r="J47" s="29" t="n">
        <f aca="false">MAX(-G47,0)</f>
        <v>0</v>
      </c>
      <c r="K47" s="29" t="n">
        <f aca="false">(K46*13+I47)/14</f>
        <v>3.54649108075088</v>
      </c>
      <c r="L47" s="29" t="n">
        <f aca="false">(L46*13+J47)/14</f>
        <v>4.83432324805845</v>
      </c>
      <c r="M47" s="31" t="n">
        <f aca="false">IF(L47=0,100,100-100/(1+K47/MAX(L47,0.000001)))</f>
        <v>42.3167838065532</v>
      </c>
      <c r="N47" s="30" t="n">
        <f aca="false">AVERAGE(E28:E47)</f>
        <v>1336.139</v>
      </c>
      <c r="Q47" s="30" t="n">
        <f aca="false">Q46+(2/13)*(E47-Q46)</f>
        <v>1319.82847034489</v>
      </c>
      <c r="R47" s="30" t="n">
        <f aca="false">R46+(2/27)*(E47-R46)</f>
        <v>1332.03184235072</v>
      </c>
      <c r="S47" s="33" t="n">
        <f aca="false">Q47-R47</f>
        <v>-12.2033720058271</v>
      </c>
      <c r="T47" s="33" t="n">
        <f aca="false">T46+(2/10)*(S47-T46)</f>
        <v>-9.66994792520336</v>
      </c>
      <c r="U47" s="33" t="n">
        <f aca="false">S47-T47</f>
        <v>-2.53342408062371</v>
      </c>
      <c r="V47" s="32" t="str">
        <f aca="false">IF(M47="","",IF(M47&lt;Assumptions!$B$5,"BUY",IF(M47&gt;Assumptions!$B$4,"SELL","HOLD")))</f>
        <v>HOLD</v>
      </c>
      <c r="X47" s="32" t="str">
        <f aca="false">IF(T47="","",IF(S47&gt;T47,"BUY","SELL"))</f>
        <v>SELL</v>
      </c>
    </row>
    <row r="48" customFormat="false" ht="15" hidden="false" customHeight="false" outlineLevel="0" collapsed="false">
      <c r="A48" s="24" t="n">
        <v>45834</v>
      </c>
      <c r="B48" s="25" t="n">
        <v>1328.45</v>
      </c>
      <c r="C48" s="25" t="n">
        <v>1330.26</v>
      </c>
      <c r="D48" s="25" t="n">
        <v>1318.7</v>
      </c>
      <c r="E48" s="25" t="n">
        <v>1324.48</v>
      </c>
      <c r="F48" s="26" t="n">
        <v>7449465</v>
      </c>
      <c r="G48" s="27" t="n">
        <f aca="false">E48-E47</f>
        <v>7.72000000000003</v>
      </c>
      <c r="H48" s="28" t="n">
        <f aca="false">G48/E47</f>
        <v>0.00586287554299951</v>
      </c>
      <c r="I48" s="29" t="n">
        <f aca="false">MAX(G48,0)</f>
        <v>7.72000000000003</v>
      </c>
      <c r="J48" s="29" t="n">
        <f aca="false">MAX(-G48,0)</f>
        <v>0</v>
      </c>
      <c r="K48" s="29" t="n">
        <f aca="false">(K47*13+I48)/14</f>
        <v>3.84459886069725</v>
      </c>
      <c r="L48" s="29" t="n">
        <f aca="false">(L47*13+J48)/14</f>
        <v>4.48901444462571</v>
      </c>
      <c r="M48" s="31" t="n">
        <f aca="false">IF(L48=0,100,100-100/(1+K48/MAX(L48,0.000001)))</f>
        <v>46.1336363932506</v>
      </c>
      <c r="N48" s="30" t="n">
        <f aca="false">AVERAGE(E29:E48)</f>
        <v>1334.048</v>
      </c>
      <c r="Q48" s="30" t="n">
        <f aca="false">Q47+(2/13)*(E48-Q47)</f>
        <v>1320.54409029183</v>
      </c>
      <c r="R48" s="30" t="n">
        <f aca="false">R47+(2/27)*(E48-R47)</f>
        <v>1331.47244662103</v>
      </c>
      <c r="S48" s="33" t="n">
        <f aca="false">Q48-R48</f>
        <v>-10.9283563292042</v>
      </c>
      <c r="T48" s="33" t="n">
        <f aca="false">T47+(2/10)*(S48-T47)</f>
        <v>-9.92162960600354</v>
      </c>
      <c r="U48" s="33" t="n">
        <f aca="false">S48-T48</f>
        <v>-1.0067267232007</v>
      </c>
      <c r="V48" s="32" t="str">
        <f aca="false">IF(M48="","",IF(M48&lt;Assumptions!$B$5,"BUY",IF(M48&gt;Assumptions!$B$4,"SELL","HOLD")))</f>
        <v>HOLD</v>
      </c>
      <c r="X48" s="32" t="str">
        <f aca="false">IF(T48="","",IF(S48&gt;T48,"BUY","SELL"))</f>
        <v>SELL</v>
      </c>
    </row>
    <row r="49" customFormat="false" ht="15" hidden="false" customHeight="false" outlineLevel="0" collapsed="false">
      <c r="A49" s="24" t="n">
        <v>45835</v>
      </c>
      <c r="B49" s="25" t="n">
        <v>1333.18</v>
      </c>
      <c r="C49" s="25" t="n">
        <v>1333.18</v>
      </c>
      <c r="D49" s="25" t="n">
        <v>1324.4</v>
      </c>
      <c r="E49" s="25" t="n">
        <v>1328.79</v>
      </c>
      <c r="F49" s="26" t="n">
        <v>3612506</v>
      </c>
      <c r="G49" s="27" t="n">
        <f aca="false">E49-E48</f>
        <v>4.30999999999995</v>
      </c>
      <c r="H49" s="28" t="n">
        <f aca="false">G49/E48</f>
        <v>0.00325410727228795</v>
      </c>
      <c r="I49" s="29" t="n">
        <f aca="false">MAX(G49,0)</f>
        <v>4.30999999999995</v>
      </c>
      <c r="J49" s="29" t="n">
        <f aca="false">MAX(-G49,0)</f>
        <v>0</v>
      </c>
      <c r="K49" s="29" t="n">
        <f aca="false">(K48*13+I49)/14</f>
        <v>3.87784179921887</v>
      </c>
      <c r="L49" s="29" t="n">
        <f aca="false">(L48*13+J49)/14</f>
        <v>4.16837055572387</v>
      </c>
      <c r="M49" s="31" t="n">
        <f aca="false">IF(L49=0,100,100-100/(1+K49/MAX(L49,0.000001)))</f>
        <v>48.1946241057972</v>
      </c>
      <c r="N49" s="30" t="n">
        <f aca="false">AVERAGE(E30:E49)</f>
        <v>1332.3135</v>
      </c>
      <c r="Q49" s="30" t="n">
        <f aca="false">Q48+(2/13)*(E49-Q48)</f>
        <v>1321.8126917854</v>
      </c>
      <c r="R49" s="30" t="n">
        <f aca="false">R48+(2/27)*(E49-R48)</f>
        <v>1331.27374687133</v>
      </c>
      <c r="S49" s="33" t="n">
        <f aca="false">Q49-R49</f>
        <v>-9.46105508593337</v>
      </c>
      <c r="T49" s="33" t="n">
        <f aca="false">T48+(2/10)*(S49-T48)</f>
        <v>-9.8295147019895</v>
      </c>
      <c r="U49" s="33" t="n">
        <f aca="false">S49-T49</f>
        <v>0.368459616056137</v>
      </c>
      <c r="V49" s="32" t="str">
        <f aca="false">IF(M49="","",IF(M49&lt;Assumptions!$B$5,"BUY",IF(M49&gt;Assumptions!$B$4,"SELL","HOLD")))</f>
        <v>HOLD</v>
      </c>
      <c r="X49" s="32" t="str">
        <f aca="false">IF(T49="","",IF(S49&gt;T49,"BUY","SELL"))</f>
        <v>BUY</v>
      </c>
    </row>
    <row r="50" customFormat="false" ht="15" hidden="false" customHeight="false" outlineLevel="0" collapsed="false">
      <c r="A50" s="24" t="n">
        <v>45838</v>
      </c>
      <c r="B50" s="25" t="n">
        <v>1339.9</v>
      </c>
      <c r="C50" s="25" t="n">
        <v>1339.9</v>
      </c>
      <c r="D50" s="25" t="n">
        <v>1333.54</v>
      </c>
      <c r="E50" s="25" t="n">
        <v>1336.72</v>
      </c>
      <c r="F50" s="26" t="n">
        <v>6439156</v>
      </c>
      <c r="G50" s="27" t="n">
        <f aca="false">E50-E49</f>
        <v>7.93000000000006</v>
      </c>
      <c r="H50" s="28" t="n">
        <f aca="false">G50/E49</f>
        <v>0.00596783539912256</v>
      </c>
      <c r="I50" s="29" t="n">
        <f aca="false">MAX(G50,0)</f>
        <v>7.93000000000006</v>
      </c>
      <c r="J50" s="29" t="n">
        <f aca="false">MAX(-G50,0)</f>
        <v>0</v>
      </c>
      <c r="K50" s="29" t="n">
        <f aca="false">(K49*13+I50)/14</f>
        <v>4.16728167070324</v>
      </c>
      <c r="L50" s="29" t="n">
        <f aca="false">(L49*13+J50)/14</f>
        <v>3.87062980174359</v>
      </c>
      <c r="M50" s="31" t="n">
        <f aca="false">IF(L50=0,100,100-100/(1+K50/MAX(L50,0.000001)))</f>
        <v>51.8453292871944</v>
      </c>
      <c r="N50" s="30" t="n">
        <f aca="false">AVERAGE(E31:E50)</f>
        <v>1330.737</v>
      </c>
      <c r="Q50" s="30" t="n">
        <f aca="false">Q49+(2/13)*(E50-Q49)</f>
        <v>1324.10612381841</v>
      </c>
      <c r="R50" s="30" t="n">
        <f aca="false">R49+(2/27)*(E50-R49)</f>
        <v>1331.67717302901</v>
      </c>
      <c r="S50" s="33" t="n">
        <f aca="false">Q50-R50</f>
        <v>-7.57104921059658</v>
      </c>
      <c r="T50" s="33" t="n">
        <f aca="false">T49+(2/10)*(S50-T49)</f>
        <v>-9.37782160371092</v>
      </c>
      <c r="U50" s="33" t="n">
        <f aca="false">S50-T50</f>
        <v>1.80677239311434</v>
      </c>
      <c r="V50" s="32" t="str">
        <f aca="false">IF(M50="","",IF(M50&lt;Assumptions!$B$5,"BUY",IF(M50&gt;Assumptions!$B$4,"SELL","HOLD")))</f>
        <v>HOLD</v>
      </c>
      <c r="X50" s="32" t="str">
        <f aca="false">IF(T50="","",IF(S50&gt;T50,"BUY","SELL"))</f>
        <v>BUY</v>
      </c>
    </row>
    <row r="51" customFormat="false" ht="15" hidden="false" customHeight="false" outlineLevel="0" collapsed="false">
      <c r="A51" s="24" t="n">
        <v>45839</v>
      </c>
      <c r="B51" s="25" t="n">
        <v>1342.6</v>
      </c>
      <c r="C51" s="25" t="n">
        <v>1342.64</v>
      </c>
      <c r="D51" s="25" t="n">
        <v>1342.6</v>
      </c>
      <c r="E51" s="25" t="n">
        <v>1342.62</v>
      </c>
      <c r="F51" s="26" t="n">
        <v>5982904</v>
      </c>
      <c r="G51" s="27" t="n">
        <f aca="false">E51-E50</f>
        <v>5.89999999999986</v>
      </c>
      <c r="H51" s="28" t="n">
        <f aca="false">G51/E50</f>
        <v>0.00441378897600086</v>
      </c>
      <c r="I51" s="29" t="n">
        <f aca="false">MAX(G51,0)</f>
        <v>5.89999999999986</v>
      </c>
      <c r="J51" s="29" t="n">
        <f aca="false">MAX(-G51,0)</f>
        <v>0</v>
      </c>
      <c r="K51" s="29" t="n">
        <f aca="false">(K50*13+I51)/14</f>
        <v>4.291047265653</v>
      </c>
      <c r="L51" s="29" t="n">
        <f aca="false">(L50*13+J51)/14</f>
        <v>3.5941562444762</v>
      </c>
      <c r="M51" s="31" t="n">
        <f aca="false">IF(L51=0,100,100-100/(1+K51/MAX(L51,0.000001)))</f>
        <v>54.4189792963593</v>
      </c>
      <c r="N51" s="30" t="n">
        <f aca="false">AVERAGE(E32:E51)</f>
        <v>1329.2955</v>
      </c>
      <c r="Q51" s="30" t="n">
        <f aca="false">Q50+(2/13)*(E51-Q50)</f>
        <v>1326.95441246173</v>
      </c>
      <c r="R51" s="30" t="n">
        <f aca="false">R50+(2/27)*(E51-R50)</f>
        <v>1332.48775280464</v>
      </c>
      <c r="S51" s="33" t="n">
        <f aca="false">Q51-R51</f>
        <v>-5.53334034290447</v>
      </c>
      <c r="T51" s="33" t="n">
        <f aca="false">T50+(2/10)*(S51-T50)</f>
        <v>-8.60892535154963</v>
      </c>
      <c r="U51" s="33" t="n">
        <f aca="false">S51-T51</f>
        <v>3.07558500864516</v>
      </c>
      <c r="V51" s="32" t="str">
        <f aca="false">IF(M51="","",IF(M51&lt;Assumptions!$B$5,"BUY",IF(M51&gt;Assumptions!$B$4,"SELL","HOLD")))</f>
        <v>HOLD</v>
      </c>
      <c r="X51" s="32" t="str">
        <f aca="false">IF(T51="","",IF(S51&gt;T51,"BUY","SELL"))</f>
        <v>BUY</v>
      </c>
    </row>
    <row r="52" customFormat="false" ht="15" hidden="false" customHeight="false" outlineLevel="0" collapsed="false">
      <c r="A52" s="24" t="n">
        <v>45840</v>
      </c>
      <c r="B52" s="25" t="n">
        <v>1330.27</v>
      </c>
      <c r="C52" s="25" t="n">
        <v>1340.25</v>
      </c>
      <c r="D52" s="25" t="n">
        <v>1330.15</v>
      </c>
      <c r="E52" s="25" t="n">
        <v>1335.2</v>
      </c>
      <c r="F52" s="26" t="n">
        <v>3865765</v>
      </c>
      <c r="G52" s="27" t="n">
        <f aca="false">E52-E51</f>
        <v>-7.41999999999985</v>
      </c>
      <c r="H52" s="28" t="n">
        <f aca="false">G52/E51</f>
        <v>-0.00552650787266676</v>
      </c>
      <c r="I52" s="29" t="n">
        <f aca="false">MAX(G52,0)</f>
        <v>0</v>
      </c>
      <c r="J52" s="29" t="n">
        <f aca="false">MAX(-G52,0)</f>
        <v>7.41999999999985</v>
      </c>
      <c r="K52" s="29" t="n">
        <f aca="false">(K51*13+I52)/14</f>
        <v>3.98454388953493</v>
      </c>
      <c r="L52" s="29" t="n">
        <f aca="false">(L51*13+J52)/14</f>
        <v>3.86743079844217</v>
      </c>
      <c r="M52" s="31" t="n">
        <f aca="false">IF(L52=0,100,100-100/(1+K52/MAX(L52,0.000001)))</f>
        <v>50.7457556585866</v>
      </c>
      <c r="N52" s="30" t="n">
        <f aca="false">AVERAGE(E33:E52)</f>
        <v>1326.9915</v>
      </c>
      <c r="O52" s="30" t="n">
        <f aca="false">AVERAGE(E3:E52)</f>
        <v>1344.4402</v>
      </c>
      <c r="Q52" s="30" t="n">
        <f aca="false">Q51+(2/13)*(E52-Q51)</f>
        <v>1328.2229643907</v>
      </c>
      <c r="R52" s="30" t="n">
        <f aca="false">R51+(2/27)*(E52-R51)</f>
        <v>1332.68866000429</v>
      </c>
      <c r="S52" s="33" t="n">
        <f aca="false">Q52-R52</f>
        <v>-4.46569561359684</v>
      </c>
      <c r="T52" s="33" t="n">
        <f aca="false">T51+(2/10)*(S52-T51)</f>
        <v>-7.78027940395907</v>
      </c>
      <c r="U52" s="33" t="n">
        <f aca="false">S52-T52</f>
        <v>3.31458379036224</v>
      </c>
      <c r="V52" s="32" t="str">
        <f aca="false">IF(M52="","",IF(M52&lt;Assumptions!$B$5,"BUY",IF(M52&gt;Assumptions!$B$4,"SELL","HOLD")))</f>
        <v>HOLD</v>
      </c>
      <c r="W52" s="32" t="str">
        <f aca="false">IF(O52="","",IF(E52&gt;O52,"BUY","SELL"))</f>
        <v>SELL</v>
      </c>
      <c r="X52" s="32" t="str">
        <f aca="false">IF(T52="","",IF(S52&gt;T52,"BUY","SELL"))</f>
        <v>BUY</v>
      </c>
      <c r="Y52" s="34" t="n">
        <f aca="false">IF(OR(V52="",W52="",X52=""),"",IFERROR(IF(V52="BUY",1,IF(V52="SELL",-1,0))+IF(W52="BUY",1,IF(W52="SELL",-1,0))+IF(X52="BUY",1,IF(X52="SELL",-1,0)),0))</f>
        <v>0</v>
      </c>
      <c r="Z52" s="32" t="str">
        <f aca="false">IF(Y52="","",IF(Y52&gt;=2,"STRONG BUY",IF(Y52=1,"BUY",IF(Y52=0,"HOLD",IF(Y52=-1,"SELL","STRONG SELL")))))</f>
        <v>HOLD</v>
      </c>
    </row>
    <row r="53" customFormat="false" ht="15" hidden="false" customHeight="false" outlineLevel="0" collapsed="false">
      <c r="A53" s="24" t="n">
        <v>45841</v>
      </c>
      <c r="B53" s="25" t="n">
        <v>1324.78</v>
      </c>
      <c r="C53" s="25" t="n">
        <v>1328.7</v>
      </c>
      <c r="D53" s="25" t="n">
        <v>1324.78</v>
      </c>
      <c r="E53" s="25" t="n">
        <v>1326.74</v>
      </c>
      <c r="F53" s="26" t="n">
        <v>5631335</v>
      </c>
      <c r="G53" s="27" t="n">
        <f aca="false">E53-E52</f>
        <v>-8.46000000000004</v>
      </c>
      <c r="H53" s="28" t="n">
        <f aca="false">G53/E52</f>
        <v>-0.00633612941881369</v>
      </c>
      <c r="I53" s="29" t="n">
        <f aca="false">MAX(G53,0)</f>
        <v>0</v>
      </c>
      <c r="J53" s="29" t="n">
        <f aca="false">MAX(-G53,0)</f>
        <v>8.46000000000004</v>
      </c>
      <c r="K53" s="29" t="n">
        <f aca="false">(K52*13+I53)/14</f>
        <v>3.69993361171101</v>
      </c>
      <c r="L53" s="29" t="n">
        <f aca="false">(L52*13+J53)/14</f>
        <v>4.1954714556963</v>
      </c>
      <c r="M53" s="31" t="n">
        <f aca="false">IF(L53=0,100,100-100/(1+K53/MAX(L53,0.000001)))</f>
        <v>46.8618592728642</v>
      </c>
      <c r="N53" s="30" t="n">
        <f aca="false">AVERAGE(E34:E53)</f>
        <v>1324.946</v>
      </c>
      <c r="O53" s="30" t="n">
        <f aca="false">AVERAGE(E4:E53)</f>
        <v>1343.875</v>
      </c>
      <c r="Q53" s="30" t="n">
        <f aca="false">Q52+(2/13)*(E53-Q52)</f>
        <v>1327.9948160229</v>
      </c>
      <c r="R53" s="30" t="n">
        <f aca="false">R52+(2/27)*(E53-R52)</f>
        <v>1332.24801852249</v>
      </c>
      <c r="S53" s="33" t="n">
        <f aca="false">Q53-R53</f>
        <v>-4.25320249959691</v>
      </c>
      <c r="T53" s="33" t="n">
        <f aca="false">T52+(2/10)*(S53-T52)</f>
        <v>-7.07486402308664</v>
      </c>
      <c r="U53" s="33" t="n">
        <f aca="false">S53-T53</f>
        <v>2.82166152348973</v>
      </c>
      <c r="V53" s="32" t="str">
        <f aca="false">IF(M53="","",IF(M53&lt;Assumptions!$B$5,"BUY",IF(M53&gt;Assumptions!$B$4,"SELL","HOLD")))</f>
        <v>HOLD</v>
      </c>
      <c r="W53" s="32" t="str">
        <f aca="false">IF(O53="","",IF(E53&gt;O53,"BUY","SELL"))</f>
        <v>SELL</v>
      </c>
      <c r="X53" s="32" t="str">
        <f aca="false">IF(T53="","",IF(S53&gt;T53,"BUY","SELL"))</f>
        <v>BUY</v>
      </c>
      <c r="Y53" s="34" t="n">
        <f aca="false">IF(OR(V53="",W53="",X53=""),"",IFERROR(IF(V53="BUY",1,IF(V53="SELL",-1,0))+IF(W53="BUY",1,IF(W53="SELL",-1,0))+IF(X53="BUY",1,IF(X53="SELL",-1,0)),0))</f>
        <v>0</v>
      </c>
      <c r="Z53" s="32" t="str">
        <f aca="false">IF(Y53="","",IF(Y53&gt;=2,"STRONG BUY",IF(Y53=1,"BUY",IF(Y53=0,"HOLD",IF(Y53=-1,"SELL","STRONG SELL")))))</f>
        <v>HOLD</v>
      </c>
    </row>
    <row r="54" customFormat="false" ht="15" hidden="false" customHeight="false" outlineLevel="0" collapsed="false">
      <c r="A54" s="24" t="n">
        <v>45842</v>
      </c>
      <c r="B54" s="25" t="n">
        <v>1319.89</v>
      </c>
      <c r="C54" s="25" t="n">
        <v>1322.65</v>
      </c>
      <c r="D54" s="25" t="n">
        <v>1319.89</v>
      </c>
      <c r="E54" s="25" t="n">
        <v>1321.27</v>
      </c>
      <c r="F54" s="26" t="n">
        <v>6814622</v>
      </c>
      <c r="G54" s="27" t="n">
        <f aca="false">E54-E53</f>
        <v>-5.47000000000003</v>
      </c>
      <c r="H54" s="28" t="n">
        <f aca="false">G54/E53</f>
        <v>-0.00412288767957552</v>
      </c>
      <c r="I54" s="29" t="n">
        <f aca="false">MAX(G54,0)</f>
        <v>0</v>
      </c>
      <c r="J54" s="29" t="n">
        <f aca="false">MAX(-G54,0)</f>
        <v>5.47000000000003</v>
      </c>
      <c r="K54" s="29" t="n">
        <f aca="false">(K53*13+I54)/14</f>
        <v>3.43565263944593</v>
      </c>
      <c r="L54" s="29" t="n">
        <f aca="false">(L53*13+J54)/14</f>
        <v>4.28650920886086</v>
      </c>
      <c r="M54" s="31" t="n">
        <f aca="false">IF(L54=0,100,100-100/(1+K54/MAX(L54,0.000001)))</f>
        <v>44.4908136728481</v>
      </c>
      <c r="N54" s="30" t="n">
        <f aca="false">AVERAGE(E35:E54)</f>
        <v>1322.2695</v>
      </c>
      <c r="O54" s="30" t="n">
        <f aca="false">AVERAGE(E5:E54)</f>
        <v>1343.2328</v>
      </c>
      <c r="Q54" s="30" t="n">
        <f aca="false">Q53+(2/13)*(E54-Q53)</f>
        <v>1326.96022894245</v>
      </c>
      <c r="R54" s="30" t="n">
        <f aca="false">R53+(2/27)*(E54-R53)</f>
        <v>1331.43483196527</v>
      </c>
      <c r="S54" s="33" t="n">
        <f aca="false">Q54-R54</f>
        <v>-4.47460302282093</v>
      </c>
      <c r="T54" s="33" t="n">
        <f aca="false">T53+(2/10)*(S54-T53)</f>
        <v>-6.5548118230335</v>
      </c>
      <c r="U54" s="33" t="n">
        <f aca="false">S54-T54</f>
        <v>2.08020880021257</v>
      </c>
      <c r="V54" s="32" t="str">
        <f aca="false">IF(M54="","",IF(M54&lt;Assumptions!$B$5,"BUY",IF(M54&gt;Assumptions!$B$4,"SELL","HOLD")))</f>
        <v>HOLD</v>
      </c>
      <c r="W54" s="32" t="str">
        <f aca="false">IF(O54="","",IF(E54&gt;O54,"BUY","SELL"))</f>
        <v>SELL</v>
      </c>
      <c r="X54" s="32" t="str">
        <f aca="false">IF(T54="","",IF(S54&gt;T54,"BUY","SELL"))</f>
        <v>BUY</v>
      </c>
      <c r="Y54" s="34" t="n">
        <f aca="false">IF(OR(V54="",W54="",X54=""),"",IFERROR(IF(V54="BUY",1,IF(V54="SELL",-1,0))+IF(W54="BUY",1,IF(W54="SELL",-1,0))+IF(X54="BUY",1,IF(X54="SELL",-1,0)),0))</f>
        <v>0</v>
      </c>
      <c r="Z54" s="32" t="str">
        <f aca="false">IF(Y54="","",IF(Y54&gt;=2,"STRONG BUY",IF(Y54=1,"BUY",IF(Y54=0,"HOLD",IF(Y54=-1,"SELL","STRONG SELL")))))</f>
        <v>HOLD</v>
      </c>
    </row>
    <row r="55" customFormat="false" ht="15" hidden="false" customHeight="false" outlineLevel="0" collapsed="false">
      <c r="A55" s="24" t="n">
        <v>45845</v>
      </c>
      <c r="B55" s="25" t="n">
        <v>1324.13</v>
      </c>
      <c r="C55" s="25" t="n">
        <v>1332.22</v>
      </c>
      <c r="D55" s="25" t="n">
        <v>1322.48</v>
      </c>
      <c r="E55" s="25" t="n">
        <v>1327.35</v>
      </c>
      <c r="F55" s="26" t="n">
        <v>3827470</v>
      </c>
      <c r="G55" s="27" t="n">
        <f aca="false">E55-E54</f>
        <v>6.07999999999993</v>
      </c>
      <c r="H55" s="28" t="n">
        <f aca="false">G55/E54</f>
        <v>0.00460163327707428</v>
      </c>
      <c r="I55" s="29" t="n">
        <f aca="false">MAX(G55,0)</f>
        <v>6.07999999999993</v>
      </c>
      <c r="J55" s="29" t="n">
        <f aca="false">MAX(-G55,0)</f>
        <v>0</v>
      </c>
      <c r="K55" s="29" t="n">
        <f aca="false">(K54*13+I55)/14</f>
        <v>3.62453459377122</v>
      </c>
      <c r="L55" s="29" t="n">
        <f aca="false">(L54*13+J55)/14</f>
        <v>3.98032997965651</v>
      </c>
      <c r="M55" s="31" t="n">
        <f aca="false">IF(L55=0,100,100-100/(1+K55/MAX(L55,0.000001)))</f>
        <v>47.660738186394</v>
      </c>
      <c r="N55" s="30" t="n">
        <f aca="false">AVERAGE(E36:E55)</f>
        <v>1320.821</v>
      </c>
      <c r="O55" s="30" t="n">
        <f aca="false">AVERAGE(E6:E55)</f>
        <v>1342.7516</v>
      </c>
      <c r="Q55" s="30" t="n">
        <f aca="false">Q54+(2/13)*(E55-Q54)</f>
        <v>1327.02019372054</v>
      </c>
      <c r="R55" s="30" t="n">
        <f aca="false">R54+(2/27)*(E55-R54)</f>
        <v>1331.1322518197</v>
      </c>
      <c r="S55" s="33" t="n">
        <f aca="false">Q55-R55</f>
        <v>-4.11205809916078</v>
      </c>
      <c r="T55" s="33" t="n">
        <f aca="false">T54+(2/10)*(S55-T54)</f>
        <v>-6.06626107825895</v>
      </c>
      <c r="U55" s="33" t="n">
        <f aca="false">S55-T55</f>
        <v>1.95420297909818</v>
      </c>
      <c r="V55" s="32" t="str">
        <f aca="false">IF(M55="","",IF(M55&lt;Assumptions!$B$5,"BUY",IF(M55&gt;Assumptions!$B$4,"SELL","HOLD")))</f>
        <v>HOLD</v>
      </c>
      <c r="W55" s="32" t="str">
        <f aca="false">IF(O55="","",IF(E55&gt;O55,"BUY","SELL"))</f>
        <v>SELL</v>
      </c>
      <c r="X55" s="32" t="str">
        <f aca="false">IF(T55="","",IF(S55&gt;T55,"BUY","SELL"))</f>
        <v>BUY</v>
      </c>
      <c r="Y55" s="34" t="n">
        <f aca="false">IF(OR(V55="",W55="",X55=""),"",IFERROR(IF(V55="BUY",1,IF(V55="SELL",-1,0))+IF(W55="BUY",1,IF(W55="SELL",-1,0))+IF(X55="BUY",1,IF(X55="SELL",-1,0)),0))</f>
        <v>0</v>
      </c>
      <c r="Z55" s="32" t="str">
        <f aca="false">IF(Y55="","",IF(Y55&gt;=2,"STRONG BUY",IF(Y55=1,"BUY",IF(Y55=0,"HOLD",IF(Y55=-1,"SELL","STRONG SELL")))))</f>
        <v>HOLD</v>
      </c>
    </row>
    <row r="56" customFormat="false" ht="15" hidden="false" customHeight="false" outlineLevel="0" collapsed="false">
      <c r="A56" s="24" t="n">
        <v>45846</v>
      </c>
      <c r="B56" s="25" t="n">
        <v>1318.98</v>
      </c>
      <c r="C56" s="25" t="n">
        <v>1330.02</v>
      </c>
      <c r="D56" s="25" t="n">
        <v>1318.98</v>
      </c>
      <c r="E56" s="25" t="n">
        <v>1324.5</v>
      </c>
      <c r="F56" s="26" t="n">
        <v>4417910</v>
      </c>
      <c r="G56" s="27" t="n">
        <f aca="false">E56-E55</f>
        <v>-2.84999999999991</v>
      </c>
      <c r="H56" s="28" t="n">
        <f aca="false">G56/E55</f>
        <v>-0.00214713526952191</v>
      </c>
      <c r="I56" s="29" t="n">
        <f aca="false">MAX(G56,0)</f>
        <v>0</v>
      </c>
      <c r="J56" s="29" t="n">
        <f aca="false">MAX(-G56,0)</f>
        <v>2.84999999999991</v>
      </c>
      <c r="K56" s="29" t="n">
        <f aca="false">(K55*13+I56)/14</f>
        <v>3.3656392656447</v>
      </c>
      <c r="L56" s="29" t="n">
        <f aca="false">(L55*13+J56)/14</f>
        <v>3.89959212396675</v>
      </c>
      <c r="M56" s="31" t="n">
        <f aca="false">IF(L56=0,100,100-100/(1+K56/MAX(L56,0.000001)))</f>
        <v>46.3252866310249</v>
      </c>
      <c r="N56" s="30" t="n">
        <f aca="false">AVERAGE(E37:E56)</f>
        <v>1320.8035</v>
      </c>
      <c r="O56" s="30" t="n">
        <f aca="false">AVERAGE(E7:E56)</f>
        <v>1342.2378</v>
      </c>
      <c r="Q56" s="30" t="n">
        <f aca="false">Q55+(2/13)*(E56-Q55)</f>
        <v>1326.63247160968</v>
      </c>
      <c r="R56" s="30" t="n">
        <f aca="false">R55+(2/27)*(E56-R55)</f>
        <v>1330.64097390713</v>
      </c>
      <c r="S56" s="33" t="n">
        <f aca="false">Q56-R56</f>
        <v>-4.00850229744242</v>
      </c>
      <c r="T56" s="33" t="n">
        <f aca="false">T55+(2/10)*(S56-T55)</f>
        <v>-5.65470932209565</v>
      </c>
      <c r="U56" s="33" t="n">
        <f aca="false">S56-T56</f>
        <v>1.64620702465323</v>
      </c>
      <c r="V56" s="32" t="str">
        <f aca="false">IF(M56="","",IF(M56&lt;Assumptions!$B$5,"BUY",IF(M56&gt;Assumptions!$B$4,"SELL","HOLD")))</f>
        <v>HOLD</v>
      </c>
      <c r="W56" s="32" t="str">
        <f aca="false">IF(O56="","",IF(E56&gt;O56,"BUY","SELL"))</f>
        <v>SELL</v>
      </c>
      <c r="X56" s="32" t="str">
        <f aca="false">IF(T56="","",IF(S56&gt;T56,"BUY","SELL"))</f>
        <v>BUY</v>
      </c>
      <c r="Y56" s="34" t="n">
        <f aca="false">IF(OR(V56="",W56="",X56=""),"",IFERROR(IF(V56="BUY",1,IF(V56="SELL",-1,0))+IF(W56="BUY",1,IF(W56="SELL",-1,0))+IF(X56="BUY",1,IF(X56="SELL",-1,0)),0))</f>
        <v>0</v>
      </c>
      <c r="Z56" s="32" t="str">
        <f aca="false">IF(Y56="","",IF(Y56&gt;=2,"STRONG BUY",IF(Y56=1,"BUY",IF(Y56=0,"HOLD",IF(Y56=-1,"SELL","STRONG SELL")))))</f>
        <v>HOLD</v>
      </c>
    </row>
    <row r="57" customFormat="false" ht="15" hidden="false" customHeight="false" outlineLevel="0" collapsed="false">
      <c r="A57" s="24" t="n">
        <v>45847</v>
      </c>
      <c r="B57" s="25" t="n">
        <v>1353.15</v>
      </c>
      <c r="C57" s="25" t="n">
        <v>1357.89</v>
      </c>
      <c r="D57" s="25" t="n">
        <v>1347.65</v>
      </c>
      <c r="E57" s="25" t="n">
        <v>1352.77</v>
      </c>
      <c r="F57" s="26" t="n">
        <v>5369471</v>
      </c>
      <c r="G57" s="27" t="n">
        <f aca="false">E57-E56</f>
        <v>28.27</v>
      </c>
      <c r="H57" s="28" t="n">
        <f aca="false">G57/E56</f>
        <v>0.0213439033597584</v>
      </c>
      <c r="I57" s="29" t="n">
        <f aca="false">MAX(G57,0)</f>
        <v>28.27</v>
      </c>
      <c r="J57" s="29" t="n">
        <f aca="false">MAX(-G57,0)</f>
        <v>0</v>
      </c>
      <c r="K57" s="29" t="n">
        <f aca="false">(K56*13+I57)/14</f>
        <v>5.14452217524151</v>
      </c>
      <c r="L57" s="29" t="n">
        <f aca="false">(L56*13+J57)/14</f>
        <v>3.6210498293977</v>
      </c>
      <c r="M57" s="31" t="n">
        <f aca="false">IF(L57=0,100,100-100/(1+K57/MAX(L57,0.000001)))</f>
        <v>58.6900908750593</v>
      </c>
      <c r="N57" s="30" t="n">
        <f aca="false">AVERAGE(E38:E57)</f>
        <v>1322.5535</v>
      </c>
      <c r="O57" s="30" t="n">
        <f aca="false">AVERAGE(E8:E57)</f>
        <v>1342.1156</v>
      </c>
      <c r="Q57" s="30" t="n">
        <f aca="false">Q56+(2/13)*(E57-Q56)</f>
        <v>1330.65362982358</v>
      </c>
      <c r="R57" s="30" t="n">
        <f aca="false">R56+(2/27)*(E57-R56)</f>
        <v>1332.28016102512</v>
      </c>
      <c r="S57" s="33" t="n">
        <f aca="false">Q57-R57</f>
        <v>-1.62653120153823</v>
      </c>
      <c r="T57" s="33" t="n">
        <f aca="false">T56+(2/10)*(S57-T56)</f>
        <v>-4.84907369798416</v>
      </c>
      <c r="U57" s="33" t="n">
        <f aca="false">S57-T57</f>
        <v>3.22254249644593</v>
      </c>
      <c r="V57" s="32" t="str">
        <f aca="false">IF(M57="","",IF(M57&lt;Assumptions!$B$5,"BUY",IF(M57&gt;Assumptions!$B$4,"SELL","HOLD")))</f>
        <v>HOLD</v>
      </c>
      <c r="W57" s="32" t="str">
        <f aca="false">IF(O57="","",IF(E57&gt;O57,"BUY","SELL"))</f>
        <v>BUY</v>
      </c>
      <c r="X57" s="32" t="str">
        <f aca="false">IF(T57="","",IF(S57&gt;T57,"BUY","SELL"))</f>
        <v>BUY</v>
      </c>
      <c r="Y57" s="34" t="n">
        <f aca="false">IF(OR(V57="",W57="",X57=""),"",IFERROR(IF(V57="BUY",1,IF(V57="SELL",-1,0))+IF(W57="BUY",1,IF(W57="SELL",-1,0))+IF(X57="BUY",1,IF(X57="SELL",-1,0)),0))</f>
        <v>2</v>
      </c>
      <c r="Z57" s="32" t="str">
        <f aca="false">IF(Y57="","",IF(Y57&gt;=2,"STRONG BUY",IF(Y57=1,"BUY",IF(Y57=0,"HOLD",IF(Y57=-1,"SELL","STRONG SELL")))))</f>
        <v>STRONG BUY</v>
      </c>
    </row>
    <row r="58" customFormat="false" ht="15" hidden="false" customHeight="false" outlineLevel="0" collapsed="false">
      <c r="A58" s="24" t="n">
        <v>45848</v>
      </c>
      <c r="B58" s="25" t="n">
        <v>1343.27</v>
      </c>
      <c r="C58" s="25" t="n">
        <v>1343.27</v>
      </c>
      <c r="D58" s="25" t="n">
        <v>1342.67</v>
      </c>
      <c r="E58" s="25" t="n">
        <v>1342.97</v>
      </c>
      <c r="F58" s="26" t="n">
        <v>5399110</v>
      </c>
      <c r="G58" s="27" t="n">
        <f aca="false">E58-E57</f>
        <v>-9.79999999999996</v>
      </c>
      <c r="H58" s="28" t="n">
        <f aca="false">G58/E57</f>
        <v>-0.00724439483430292</v>
      </c>
      <c r="I58" s="29" t="n">
        <f aca="false">MAX(G58,0)</f>
        <v>0</v>
      </c>
      <c r="J58" s="29" t="n">
        <f aca="false">MAX(-G58,0)</f>
        <v>9.79999999999996</v>
      </c>
      <c r="K58" s="29" t="n">
        <f aca="false">(K57*13+I58)/14</f>
        <v>4.7770563055814</v>
      </c>
      <c r="L58" s="29" t="n">
        <f aca="false">(L57*13+J58)/14</f>
        <v>4.06240341301215</v>
      </c>
      <c r="M58" s="31" t="n">
        <f aca="false">IF(L58=0,100,100-100/(1+K58/MAX(L58,0.000001)))</f>
        <v>54.0424014324428</v>
      </c>
      <c r="N58" s="30" t="n">
        <f aca="false">AVERAGE(E39:E58)</f>
        <v>1324.348</v>
      </c>
      <c r="O58" s="30" t="n">
        <f aca="false">AVERAGE(E9:E58)</f>
        <v>1341.8258</v>
      </c>
      <c r="Q58" s="30" t="n">
        <f aca="false">Q57+(2/13)*(E58-Q57)</f>
        <v>1332.54845600457</v>
      </c>
      <c r="R58" s="30" t="n">
        <f aca="false">R57+(2/27)*(E58-R57)</f>
        <v>1333.07200094918</v>
      </c>
      <c r="S58" s="33" t="n">
        <f aca="false">Q58-R58</f>
        <v>-0.523544944615878</v>
      </c>
      <c r="T58" s="33" t="n">
        <f aca="false">T57+(2/10)*(S58-T57)</f>
        <v>-3.98396794731051</v>
      </c>
      <c r="U58" s="33" t="n">
        <f aca="false">S58-T58</f>
        <v>3.46042300269463</v>
      </c>
      <c r="V58" s="32" t="str">
        <f aca="false">IF(M58="","",IF(M58&lt;Assumptions!$B$5,"BUY",IF(M58&gt;Assumptions!$B$4,"SELL","HOLD")))</f>
        <v>HOLD</v>
      </c>
      <c r="W58" s="32" t="str">
        <f aca="false">IF(O58="","",IF(E58&gt;O58,"BUY","SELL"))</f>
        <v>BUY</v>
      </c>
      <c r="X58" s="32" t="str">
        <f aca="false">IF(T58="","",IF(S58&gt;T58,"BUY","SELL"))</f>
        <v>BUY</v>
      </c>
      <c r="Y58" s="34" t="n">
        <f aca="false">IF(OR(V58="",W58="",X58=""),"",IFERROR(IF(V58="BUY",1,IF(V58="SELL",-1,0))+IF(W58="BUY",1,IF(W58="SELL",-1,0))+IF(X58="BUY",1,IF(X58="SELL",-1,0)),0))</f>
        <v>2</v>
      </c>
      <c r="Z58" s="32" t="str">
        <f aca="false">IF(Y58="","",IF(Y58&gt;=2,"STRONG BUY",IF(Y58=1,"BUY",IF(Y58=0,"HOLD",IF(Y58=-1,"SELL","STRONG SELL")))))</f>
        <v>STRONG BUY</v>
      </c>
    </row>
    <row r="59" customFormat="false" ht="15" hidden="false" customHeight="false" outlineLevel="0" collapsed="false">
      <c r="A59" s="24" t="n">
        <v>45849</v>
      </c>
      <c r="B59" s="25" t="n">
        <v>1327.38</v>
      </c>
      <c r="C59" s="25" t="n">
        <v>1332.4</v>
      </c>
      <c r="D59" s="25" t="n">
        <v>1327.38</v>
      </c>
      <c r="E59" s="25" t="n">
        <v>1329.89</v>
      </c>
      <c r="F59" s="26" t="n">
        <v>6263237</v>
      </c>
      <c r="G59" s="27" t="n">
        <f aca="false">E59-E58</f>
        <v>-13.0799999999999</v>
      </c>
      <c r="H59" s="28" t="n">
        <f aca="false">G59/E58</f>
        <v>-0.00973960699047628</v>
      </c>
      <c r="I59" s="29" t="n">
        <f aca="false">MAX(G59,0)</f>
        <v>0</v>
      </c>
      <c r="J59" s="29" t="n">
        <f aca="false">MAX(-G59,0)</f>
        <v>13.0799999999999</v>
      </c>
      <c r="K59" s="29" t="n">
        <f aca="false">(K58*13+I59)/14</f>
        <v>4.43583799803987</v>
      </c>
      <c r="L59" s="29" t="n">
        <f aca="false">(L58*13+J59)/14</f>
        <v>4.70651745493984</v>
      </c>
      <c r="M59" s="31" t="n">
        <f aca="false">IF(L59=0,100,100-100/(1+K59/MAX(L59,0.000001)))</f>
        <v>48.5196404893022</v>
      </c>
      <c r="N59" s="30" t="n">
        <f aca="false">AVERAGE(E40:E59)</f>
        <v>1324.9645</v>
      </c>
      <c r="O59" s="30" t="n">
        <f aca="false">AVERAGE(E10:E59)</f>
        <v>1341.6352</v>
      </c>
      <c r="Q59" s="30" t="n">
        <f aca="false">Q58+(2/13)*(E59-Q58)</f>
        <v>1332.13946277309</v>
      </c>
      <c r="R59" s="30" t="n">
        <f aca="false">R58+(2/27)*(E59-R58)</f>
        <v>1332.83629717517</v>
      </c>
      <c r="S59" s="33" t="n">
        <f aca="false">Q59-R59</f>
        <v>-0.696834402074273</v>
      </c>
      <c r="T59" s="33" t="n">
        <f aca="false">T58+(2/10)*(S59-T58)</f>
        <v>-3.32654123826326</v>
      </c>
      <c r="U59" s="33" t="n">
        <f aca="false">S59-T59</f>
        <v>2.62970683618899</v>
      </c>
      <c r="V59" s="32" t="str">
        <f aca="false">IF(M59="","",IF(M59&lt;Assumptions!$B$5,"BUY",IF(M59&gt;Assumptions!$B$4,"SELL","HOLD")))</f>
        <v>HOLD</v>
      </c>
      <c r="W59" s="32" t="str">
        <f aca="false">IF(O59="","",IF(E59&gt;O59,"BUY","SELL"))</f>
        <v>SELL</v>
      </c>
      <c r="X59" s="32" t="str">
        <f aca="false">IF(T59="","",IF(S59&gt;T59,"BUY","SELL"))</f>
        <v>BUY</v>
      </c>
      <c r="Y59" s="34" t="n">
        <f aca="false">IF(OR(V59="",W59="",X59=""),"",IFERROR(IF(V59="BUY",1,IF(V59="SELL",-1,0))+IF(W59="BUY",1,IF(W59="SELL",-1,0))+IF(X59="BUY",1,IF(X59="SELL",-1,0)),0))</f>
        <v>0</v>
      </c>
      <c r="Z59" s="32" t="str">
        <f aca="false">IF(Y59="","",IF(Y59&gt;=2,"STRONG BUY",IF(Y59=1,"BUY",IF(Y59=0,"HOLD",IF(Y59=-1,"SELL","STRONG SELL")))))</f>
        <v>HOLD</v>
      </c>
    </row>
    <row r="60" customFormat="false" ht="15" hidden="false" customHeight="false" outlineLevel="0" collapsed="false">
      <c r="A60" s="24" t="n">
        <v>45852</v>
      </c>
      <c r="B60" s="25" t="n">
        <v>1343.49</v>
      </c>
      <c r="C60" s="25" t="n">
        <v>1343.49</v>
      </c>
      <c r="D60" s="25" t="n">
        <v>1335.01</v>
      </c>
      <c r="E60" s="25" t="n">
        <v>1339.25</v>
      </c>
      <c r="F60" s="26" t="n">
        <v>3691954</v>
      </c>
      <c r="G60" s="27" t="n">
        <f aca="false">E60-E59</f>
        <v>9.3599999999999</v>
      </c>
      <c r="H60" s="28" t="n">
        <f aca="false">G60/E59</f>
        <v>0.00703817608975171</v>
      </c>
      <c r="I60" s="29" t="n">
        <f aca="false">MAX(G60,0)</f>
        <v>9.3599999999999</v>
      </c>
      <c r="J60" s="29" t="n">
        <f aca="false">MAX(-G60,0)</f>
        <v>0</v>
      </c>
      <c r="K60" s="29" t="n">
        <f aca="false">(K59*13+I60)/14</f>
        <v>4.78756385532273</v>
      </c>
      <c r="L60" s="29" t="n">
        <f aca="false">(L59*13+J60)/14</f>
        <v>4.37033763672986</v>
      </c>
      <c r="M60" s="31" t="n">
        <f aca="false">IF(L60=0,100,100-100/(1+K60/MAX(L60,0.000001)))</f>
        <v>52.277957559136</v>
      </c>
      <c r="N60" s="30" t="n">
        <f aca="false">AVERAGE(E41:E60)</f>
        <v>1325.6475</v>
      </c>
      <c r="O60" s="30" t="n">
        <f aca="false">AVERAGE(E11:E60)</f>
        <v>1341.5488</v>
      </c>
      <c r="Q60" s="30" t="n">
        <f aca="false">Q59+(2/13)*(E60-Q59)</f>
        <v>1333.23339157723</v>
      </c>
      <c r="R60" s="30" t="n">
        <f aca="false">R59+(2/27)*(E60-R59)</f>
        <v>1333.3113862733</v>
      </c>
      <c r="S60" s="33" t="n">
        <f aca="false">Q60-R60</f>
        <v>-0.0779946960706184</v>
      </c>
      <c r="T60" s="33" t="n">
        <f aca="false">T59+(2/10)*(S60-T59)</f>
        <v>-2.67683192982473</v>
      </c>
      <c r="U60" s="33" t="n">
        <f aca="false">S60-T60</f>
        <v>2.59883723375411</v>
      </c>
      <c r="V60" s="32" t="str">
        <f aca="false">IF(M60="","",IF(M60&lt;Assumptions!$B$5,"BUY",IF(M60&gt;Assumptions!$B$4,"SELL","HOLD")))</f>
        <v>HOLD</v>
      </c>
      <c r="W60" s="32" t="str">
        <f aca="false">IF(O60="","",IF(E60&gt;O60,"BUY","SELL"))</f>
        <v>SELL</v>
      </c>
      <c r="X60" s="32" t="str">
        <f aca="false">IF(T60="","",IF(S60&gt;T60,"BUY","SELL"))</f>
        <v>BUY</v>
      </c>
      <c r="Y60" s="34" t="n">
        <f aca="false">IF(OR(V60="",W60="",X60=""),"",IFERROR(IF(V60="BUY",1,IF(V60="SELL",-1,0))+IF(W60="BUY",1,IF(W60="SELL",-1,0))+IF(X60="BUY",1,IF(X60="SELL",-1,0)),0))</f>
        <v>0</v>
      </c>
      <c r="Z60" s="32" t="str">
        <f aca="false">IF(Y60="","",IF(Y60&gt;=2,"STRONG BUY",IF(Y60=1,"BUY",IF(Y60=0,"HOLD",IF(Y60=-1,"SELL","STRONG SELL")))))</f>
        <v>HOLD</v>
      </c>
    </row>
    <row r="61" customFormat="false" ht="15" hidden="false" customHeight="false" outlineLevel="0" collapsed="false">
      <c r="A61" s="24" t="n">
        <v>45853</v>
      </c>
      <c r="B61" s="25" t="n">
        <v>1356.41</v>
      </c>
      <c r="C61" s="25" t="n">
        <v>1356.85</v>
      </c>
      <c r="D61" s="25" t="n">
        <v>1356.41</v>
      </c>
      <c r="E61" s="25" t="n">
        <v>1356.63</v>
      </c>
      <c r="F61" s="26" t="n">
        <v>4846680</v>
      </c>
      <c r="G61" s="27" t="n">
        <f aca="false">E61-E60</f>
        <v>17.3800000000001</v>
      </c>
      <c r="H61" s="28" t="n">
        <f aca="false">G61/E60</f>
        <v>0.0129774127310062</v>
      </c>
      <c r="I61" s="29" t="n">
        <f aca="false">MAX(G61,0)</f>
        <v>17.3800000000001</v>
      </c>
      <c r="J61" s="29" t="n">
        <f aca="false">MAX(-G61,0)</f>
        <v>0</v>
      </c>
      <c r="K61" s="29" t="n">
        <f aca="false">(K60*13+I61)/14</f>
        <v>5.68702357994255</v>
      </c>
      <c r="L61" s="29" t="n">
        <f aca="false">(L60*13+J61)/14</f>
        <v>4.05817066267772</v>
      </c>
      <c r="M61" s="31" t="n">
        <f aca="false">IF(L61=0,100,100-100/(1+K61/MAX(L61,0.000001)))</f>
        <v>58.3572111376759</v>
      </c>
      <c r="N61" s="30" t="n">
        <f aca="false">AVERAGE(E42:E61)</f>
        <v>1327.916</v>
      </c>
      <c r="O61" s="30" t="n">
        <f aca="false">AVERAGE(E12:E61)</f>
        <v>1341.8718</v>
      </c>
      <c r="Q61" s="30" t="n">
        <f aca="false">Q60+(2/13)*(E61-Q60)</f>
        <v>1336.83286979612</v>
      </c>
      <c r="R61" s="30" t="n">
        <f aca="false">R60+(2/27)*(E61-R60)</f>
        <v>1335.0386909938</v>
      </c>
      <c r="S61" s="33" t="n">
        <f aca="false">Q61-R61</f>
        <v>1.7941788023204</v>
      </c>
      <c r="T61" s="33" t="n">
        <f aca="false">T60+(2/10)*(S61-T60)</f>
        <v>-1.7826297833957</v>
      </c>
      <c r="U61" s="33" t="n">
        <f aca="false">S61-T61</f>
        <v>3.57680858571611</v>
      </c>
      <c r="V61" s="32" t="str">
        <f aca="false">IF(M61="","",IF(M61&lt;Assumptions!$B$5,"BUY",IF(M61&gt;Assumptions!$B$4,"SELL","HOLD")))</f>
        <v>HOLD</v>
      </c>
      <c r="W61" s="32" t="str">
        <f aca="false">IF(O61="","",IF(E61&gt;O61,"BUY","SELL"))</f>
        <v>BUY</v>
      </c>
      <c r="X61" s="32" t="str">
        <f aca="false">IF(T61="","",IF(S61&gt;T61,"BUY","SELL"))</f>
        <v>BUY</v>
      </c>
      <c r="Y61" s="34" t="n">
        <f aca="false">IF(OR(V61="",W61="",X61=""),"",IFERROR(IF(V61="BUY",1,IF(V61="SELL",-1,0))+IF(W61="BUY",1,IF(W61="SELL",-1,0))+IF(X61="BUY",1,IF(X61="SELL",-1,0)),0))</f>
        <v>2</v>
      </c>
      <c r="Z61" s="32" t="str">
        <f aca="false">IF(Y61="","",IF(Y61&gt;=2,"STRONG BUY",IF(Y61=1,"BUY",IF(Y61=0,"HOLD",IF(Y61=-1,"SELL","STRONG SELL")))))</f>
        <v>STRONG BUY</v>
      </c>
    </row>
    <row r="62" customFormat="false" ht="15" hidden="false" customHeight="false" outlineLevel="0" collapsed="false">
      <c r="A62" s="24" t="n">
        <v>45854</v>
      </c>
      <c r="B62" s="25" t="n">
        <v>1362.87</v>
      </c>
      <c r="C62" s="25" t="n">
        <v>1363.03</v>
      </c>
      <c r="D62" s="25" t="n">
        <v>1362.87</v>
      </c>
      <c r="E62" s="25" t="n">
        <v>1362.95</v>
      </c>
      <c r="F62" s="26" t="n">
        <v>6443724</v>
      </c>
      <c r="G62" s="27" t="n">
        <f aca="false">E62-E61</f>
        <v>6.31999999999994</v>
      </c>
      <c r="H62" s="28" t="n">
        <f aca="false">G62/E61</f>
        <v>0.00465860256665409</v>
      </c>
      <c r="I62" s="29" t="n">
        <f aca="false">MAX(G62,0)</f>
        <v>6.31999999999994</v>
      </c>
      <c r="J62" s="29" t="n">
        <f aca="false">MAX(-G62,0)</f>
        <v>0</v>
      </c>
      <c r="K62" s="29" t="n">
        <f aca="false">(K61*13+I62)/14</f>
        <v>5.73223618137522</v>
      </c>
      <c r="L62" s="29" t="n">
        <f aca="false">(L61*13+J62)/14</f>
        <v>3.76830132962931</v>
      </c>
      <c r="M62" s="31" t="n">
        <f aca="false">IF(L62=0,100,100-100/(1+K62/MAX(L62,0.000001)))</f>
        <v>60.3359144125849</v>
      </c>
      <c r="N62" s="30" t="n">
        <f aca="false">AVERAGE(E43:E62)</f>
        <v>1329.992</v>
      </c>
      <c r="O62" s="30" t="n">
        <f aca="false">AVERAGE(E13:E62)</f>
        <v>1342.3708</v>
      </c>
      <c r="Q62" s="30" t="n">
        <f aca="false">Q61+(2/13)*(E62-Q61)</f>
        <v>1340.85088982749</v>
      </c>
      <c r="R62" s="30" t="n">
        <f aca="false">R61+(2/27)*(E62-R61)</f>
        <v>1337.10619536463</v>
      </c>
      <c r="S62" s="33" t="n">
        <f aca="false">Q62-R62</f>
        <v>3.74469446285684</v>
      </c>
      <c r="T62" s="33" t="n">
        <f aca="false">T61+(2/10)*(S62-T61)</f>
        <v>-0.677164934145195</v>
      </c>
      <c r="U62" s="33" t="n">
        <f aca="false">S62-T62</f>
        <v>4.42185939700204</v>
      </c>
      <c r="V62" s="32" t="str">
        <f aca="false">IF(M62="","",IF(M62&lt;Assumptions!$B$5,"BUY",IF(M62&gt;Assumptions!$B$4,"SELL","HOLD")))</f>
        <v>HOLD</v>
      </c>
      <c r="W62" s="32" t="str">
        <f aca="false">IF(O62="","",IF(E62&gt;O62,"BUY","SELL"))</f>
        <v>BUY</v>
      </c>
      <c r="X62" s="32" t="str">
        <f aca="false">IF(T62="","",IF(S62&gt;T62,"BUY","SELL"))</f>
        <v>BUY</v>
      </c>
      <c r="Y62" s="34" t="n">
        <f aca="false">IF(OR(V62="",W62="",X62=""),"",IFERROR(IF(V62="BUY",1,IF(V62="SELL",-1,0))+IF(W62="BUY",1,IF(W62="SELL",-1,0))+IF(X62="BUY",1,IF(X62="SELL",-1,0)),0))</f>
        <v>2</v>
      </c>
      <c r="Z62" s="32" t="str">
        <f aca="false">IF(Y62="","",IF(Y62&gt;=2,"STRONG BUY",IF(Y62=1,"BUY",IF(Y62=0,"HOLD",IF(Y62=-1,"SELL","STRONG SELL")))))</f>
        <v>STRONG BUY</v>
      </c>
    </row>
    <row r="63" customFormat="false" ht="15" hidden="false" customHeight="false" outlineLevel="0" collapsed="false">
      <c r="A63" s="24" t="n">
        <v>45855</v>
      </c>
      <c r="B63" s="25" t="n">
        <v>1378.76</v>
      </c>
      <c r="C63" s="25" t="n">
        <v>1378.76</v>
      </c>
      <c r="D63" s="25" t="n">
        <v>1368</v>
      </c>
      <c r="E63" s="25" t="n">
        <v>1373.38</v>
      </c>
      <c r="F63" s="26" t="n">
        <v>8936755</v>
      </c>
      <c r="G63" s="27" t="n">
        <f aca="false">E63-E62</f>
        <v>10.4300000000001</v>
      </c>
      <c r="H63" s="28" t="n">
        <f aca="false">G63/E62</f>
        <v>0.00765251843427863</v>
      </c>
      <c r="I63" s="29" t="n">
        <f aca="false">MAX(G63,0)</f>
        <v>10.4300000000001</v>
      </c>
      <c r="J63" s="29" t="n">
        <f aca="false">MAX(-G63,0)</f>
        <v>0</v>
      </c>
      <c r="K63" s="29" t="n">
        <f aca="false">(K62*13+I63)/14</f>
        <v>6.06779073984842</v>
      </c>
      <c r="L63" s="29" t="n">
        <f aca="false">(L62*13+J63)/14</f>
        <v>3.49913694894151</v>
      </c>
      <c r="M63" s="31" t="n">
        <f aca="false">IF(L63=0,100,100-100/(1+K63/MAX(L63,0.000001)))</f>
        <v>63.4246535275726</v>
      </c>
      <c r="N63" s="30" t="n">
        <f aca="false">AVERAGE(E44:E63)</f>
        <v>1333.176</v>
      </c>
      <c r="O63" s="30" t="n">
        <f aca="false">AVERAGE(E14:E63)</f>
        <v>1343.0478</v>
      </c>
      <c r="Q63" s="30" t="n">
        <f aca="false">Q62+(2/13)*(E63-Q62)</f>
        <v>1345.85536831557</v>
      </c>
      <c r="R63" s="30" t="n">
        <f aca="false">R62+(2/27)*(E63-R62)</f>
        <v>1339.79314385614</v>
      </c>
      <c r="S63" s="33" t="n">
        <f aca="false">Q63-R63</f>
        <v>6.06222445942694</v>
      </c>
      <c r="T63" s="33" t="n">
        <f aca="false">T62+(2/10)*(S63-T62)</f>
        <v>0.670712944569233</v>
      </c>
      <c r="U63" s="33" t="n">
        <f aca="false">S63-T63</f>
        <v>5.39151151485771</v>
      </c>
      <c r="V63" s="32" t="str">
        <f aca="false">IF(M63="","",IF(M63&lt;Assumptions!$B$5,"BUY",IF(M63&gt;Assumptions!$B$4,"SELL","HOLD")))</f>
        <v>HOLD</v>
      </c>
      <c r="W63" s="32" t="str">
        <f aca="false">IF(O63="","",IF(E63&gt;O63,"BUY","SELL"))</f>
        <v>BUY</v>
      </c>
      <c r="X63" s="32" t="str">
        <f aca="false">IF(T63="","",IF(S63&gt;T63,"BUY","SELL"))</f>
        <v>BUY</v>
      </c>
      <c r="Y63" s="34" t="n">
        <f aca="false">IF(OR(V63="",W63="",X63=""),"",IFERROR(IF(V63="BUY",1,IF(V63="SELL",-1,0))+IF(W63="BUY",1,IF(W63="SELL",-1,0))+IF(X63="BUY",1,IF(X63="SELL",-1,0)),0))</f>
        <v>2</v>
      </c>
      <c r="Z63" s="32" t="str">
        <f aca="false">IF(Y63="","",IF(Y63&gt;=2,"STRONG BUY",IF(Y63=1,"BUY",IF(Y63=0,"HOLD",IF(Y63=-1,"SELL","STRONG SELL")))))</f>
        <v>STRONG BUY</v>
      </c>
    </row>
    <row r="64" customFormat="false" ht="15" hidden="false" customHeight="false" outlineLevel="0" collapsed="false">
      <c r="A64" s="24" t="n">
        <v>45856</v>
      </c>
      <c r="B64" s="25" t="n">
        <v>1391.06</v>
      </c>
      <c r="C64" s="25" t="n">
        <v>1393.92</v>
      </c>
      <c r="D64" s="25" t="n">
        <v>1388.6</v>
      </c>
      <c r="E64" s="25" t="n">
        <v>1391.26</v>
      </c>
      <c r="F64" s="26" t="n">
        <v>5017121</v>
      </c>
      <c r="G64" s="27" t="n">
        <f aca="false">E64-E63</f>
        <v>17.8799999999999</v>
      </c>
      <c r="H64" s="28" t="n">
        <f aca="false">G64/E63</f>
        <v>0.0130189750833709</v>
      </c>
      <c r="I64" s="29" t="n">
        <f aca="false">MAX(G64,0)</f>
        <v>17.8799999999999</v>
      </c>
      <c r="J64" s="29" t="n">
        <f aca="false">MAX(-G64,0)</f>
        <v>0</v>
      </c>
      <c r="K64" s="29" t="n">
        <f aca="false">(K63*13+I64)/14</f>
        <v>6.91151997271638</v>
      </c>
      <c r="L64" s="29" t="n">
        <f aca="false">(L63*13+J64)/14</f>
        <v>3.24919859544568</v>
      </c>
      <c r="M64" s="31" t="n">
        <f aca="false">IF(L64=0,100,100-100/(1+K64/MAX(L64,0.000001)))</f>
        <v>68.021960517371</v>
      </c>
      <c r="N64" s="30" t="n">
        <f aca="false">AVERAGE(E45:E64)</f>
        <v>1337.2985</v>
      </c>
      <c r="O64" s="30" t="n">
        <f aca="false">AVERAGE(E15:E64)</f>
        <v>1344.0236</v>
      </c>
      <c r="Q64" s="30" t="n">
        <f aca="false">Q63+(2/13)*(E64-Q63)</f>
        <v>1352.84069626702</v>
      </c>
      <c r="R64" s="30" t="n">
        <f aca="false">R63+(2/27)*(E64-R63)</f>
        <v>1343.6055035705</v>
      </c>
      <c r="S64" s="33" t="n">
        <f aca="false">Q64-R64</f>
        <v>9.2351926965182</v>
      </c>
      <c r="T64" s="33" t="n">
        <f aca="false">T63+(2/10)*(S64-T63)</f>
        <v>2.38360889495903</v>
      </c>
      <c r="U64" s="33" t="n">
        <f aca="false">S64-T64</f>
        <v>6.85158380155917</v>
      </c>
      <c r="V64" s="32" t="str">
        <f aca="false">IF(M64="","",IF(M64&lt;Assumptions!$B$5,"BUY",IF(M64&gt;Assumptions!$B$4,"SELL","HOLD")))</f>
        <v>HOLD</v>
      </c>
      <c r="W64" s="32" t="str">
        <f aca="false">IF(O64="","",IF(E64&gt;O64,"BUY","SELL"))</f>
        <v>BUY</v>
      </c>
      <c r="X64" s="32" t="str">
        <f aca="false">IF(T64="","",IF(S64&gt;T64,"BUY","SELL"))</f>
        <v>BUY</v>
      </c>
      <c r="Y64" s="34" t="n">
        <f aca="false">IF(OR(V64="",W64="",X64=""),"",IFERROR(IF(V64="BUY",1,IF(V64="SELL",-1,0))+IF(W64="BUY",1,IF(W64="SELL",-1,0))+IF(X64="BUY",1,IF(X64="SELL",-1,0)),0))</f>
        <v>2</v>
      </c>
      <c r="Z64" s="32" t="str">
        <f aca="false">IF(Y64="","",IF(Y64&gt;=2,"STRONG BUY",IF(Y64=1,"BUY",IF(Y64=0,"HOLD",IF(Y64=-1,"SELL","STRONG SELL")))))</f>
        <v>STRONG BUY</v>
      </c>
    </row>
    <row r="65" customFormat="false" ht="15" hidden="false" customHeight="false" outlineLevel="0" collapsed="false">
      <c r="A65" s="24" t="n">
        <v>45859</v>
      </c>
      <c r="B65" s="25" t="n">
        <v>1380.63</v>
      </c>
      <c r="C65" s="25" t="n">
        <v>1406.42</v>
      </c>
      <c r="D65" s="25" t="n">
        <v>1374.02</v>
      </c>
      <c r="E65" s="25" t="n">
        <v>1390.22</v>
      </c>
      <c r="F65" s="26" t="n">
        <v>5850093</v>
      </c>
      <c r="G65" s="27" t="n">
        <f aca="false">E65-E64</f>
        <v>-1.03999999999996</v>
      </c>
      <c r="H65" s="28" t="n">
        <f aca="false">G65/E64</f>
        <v>-0.00074752382732197</v>
      </c>
      <c r="I65" s="29" t="n">
        <f aca="false">MAX(G65,0)</f>
        <v>0</v>
      </c>
      <c r="J65" s="29" t="n">
        <f aca="false">MAX(-G65,0)</f>
        <v>1.03999999999996</v>
      </c>
      <c r="K65" s="29" t="n">
        <f aca="false">(K64*13+I65)/14</f>
        <v>6.41783997466521</v>
      </c>
      <c r="L65" s="29" t="n">
        <f aca="false">(L64*13+J65)/14</f>
        <v>3.09139869577099</v>
      </c>
      <c r="M65" s="31" t="n">
        <f aca="false">IF(L65=0,100,100-100/(1+K65/MAX(L65,0.000001)))</f>
        <v>67.4905762394837</v>
      </c>
      <c r="N65" s="30" t="n">
        <f aca="false">AVERAGE(E46:E65)</f>
        <v>1341.5355</v>
      </c>
      <c r="O65" s="30" t="n">
        <f aca="false">AVERAGE(E16:E65)</f>
        <v>1344.6932</v>
      </c>
      <c r="Q65" s="30" t="n">
        <f aca="false">Q64+(2/13)*(E65-Q64)</f>
        <v>1358.59135837978</v>
      </c>
      <c r="R65" s="30" t="n">
        <f aca="false">R64+(2/27)*(E65-R64)</f>
        <v>1347.05842923194</v>
      </c>
      <c r="S65" s="33" t="n">
        <f aca="false">Q65-R65</f>
        <v>11.5329291478404</v>
      </c>
      <c r="T65" s="33" t="n">
        <f aca="false">T64+(2/10)*(S65-T64)</f>
        <v>4.2134729455353</v>
      </c>
      <c r="U65" s="33" t="n">
        <f aca="false">S65-T65</f>
        <v>7.31945620230508</v>
      </c>
      <c r="V65" s="32" t="str">
        <f aca="false">IF(M65="","",IF(M65&lt;Assumptions!$B$5,"BUY",IF(M65&gt;Assumptions!$B$4,"SELL","HOLD")))</f>
        <v>HOLD</v>
      </c>
      <c r="W65" s="32" t="str">
        <f aca="false">IF(O65="","",IF(E65&gt;O65,"BUY","SELL"))</f>
        <v>BUY</v>
      </c>
      <c r="X65" s="32" t="str">
        <f aca="false">IF(T65="","",IF(S65&gt;T65,"BUY","SELL"))</f>
        <v>BUY</v>
      </c>
      <c r="Y65" s="34" t="n">
        <f aca="false">IF(OR(V65="",W65="",X65=""),"",IFERROR(IF(V65="BUY",1,IF(V65="SELL",-1,0))+IF(W65="BUY",1,IF(W65="SELL",-1,0))+IF(X65="BUY",1,IF(X65="SELL",-1,0)),0))</f>
        <v>2</v>
      </c>
      <c r="Z65" s="32" t="str">
        <f aca="false">IF(Y65="","",IF(Y65&gt;=2,"STRONG BUY",IF(Y65=1,"BUY",IF(Y65=0,"HOLD",IF(Y65=-1,"SELL","STRONG SELL")))))</f>
        <v>STRONG BUY</v>
      </c>
    </row>
    <row r="66" customFormat="false" ht="15" hidden="false" customHeight="false" outlineLevel="0" collapsed="false">
      <c r="A66" s="24" t="n">
        <v>45860</v>
      </c>
      <c r="B66" s="25" t="n">
        <v>1360.56</v>
      </c>
      <c r="C66" s="25" t="n">
        <v>1384.78</v>
      </c>
      <c r="D66" s="25" t="n">
        <v>1360.56</v>
      </c>
      <c r="E66" s="25" t="n">
        <v>1372.67</v>
      </c>
      <c r="F66" s="26" t="n">
        <v>1463542</v>
      </c>
      <c r="G66" s="27" t="n">
        <f aca="false">E66-E65</f>
        <v>-17.55</v>
      </c>
      <c r="H66" s="28" t="n">
        <f aca="false">G66/E65</f>
        <v>-0.0126239012530391</v>
      </c>
      <c r="I66" s="29" t="n">
        <f aca="false">MAX(G66,0)</f>
        <v>0</v>
      </c>
      <c r="J66" s="29" t="n">
        <f aca="false">MAX(-G66,0)</f>
        <v>17.55</v>
      </c>
      <c r="K66" s="29" t="n">
        <f aca="false">(K65*13+I66)/14</f>
        <v>5.9594228336177</v>
      </c>
      <c r="L66" s="29" t="n">
        <f aca="false">(L65*13+J66)/14</f>
        <v>4.12415593178734</v>
      </c>
      <c r="M66" s="31" t="n">
        <f aca="false">IF(L66=0,100,100-100/(1+K66/MAX(L66,0.000001)))</f>
        <v>59.1002755297892</v>
      </c>
      <c r="N66" s="30" t="n">
        <f aca="false">AVERAGE(E47:E66)</f>
        <v>1344.821</v>
      </c>
      <c r="O66" s="30" t="n">
        <f aca="false">AVERAGE(E17:E66)</f>
        <v>1344.8482</v>
      </c>
      <c r="Q66" s="30" t="n">
        <f aca="false">Q65+(2/13)*(E66-Q65)</f>
        <v>1360.75730324443</v>
      </c>
      <c r="R66" s="30" t="n">
        <f aca="false">R65+(2/27)*(E66-R65)</f>
        <v>1348.95558262217</v>
      </c>
      <c r="S66" s="33" t="n">
        <f aca="false">Q66-R66</f>
        <v>11.8017206222628</v>
      </c>
      <c r="T66" s="33" t="n">
        <f aca="false">T65+(2/10)*(S66-T65)</f>
        <v>5.7311224808808</v>
      </c>
      <c r="U66" s="33" t="n">
        <f aca="false">S66-T66</f>
        <v>6.070598141382</v>
      </c>
      <c r="V66" s="32" t="str">
        <f aca="false">IF(M66="","",IF(M66&lt;Assumptions!$B$5,"BUY",IF(M66&gt;Assumptions!$B$4,"SELL","HOLD")))</f>
        <v>HOLD</v>
      </c>
      <c r="W66" s="32" t="str">
        <f aca="false">IF(O66="","",IF(E66&gt;O66,"BUY","SELL"))</f>
        <v>BUY</v>
      </c>
      <c r="X66" s="32" t="str">
        <f aca="false">IF(T66="","",IF(S66&gt;T66,"BUY","SELL"))</f>
        <v>BUY</v>
      </c>
      <c r="Y66" s="34" t="n">
        <f aca="false">IF(OR(V66="",W66="",X66=""),"",IFERROR(IF(V66="BUY",1,IF(V66="SELL",-1,0))+IF(W66="BUY",1,IF(W66="SELL",-1,0))+IF(X66="BUY",1,IF(X66="SELL",-1,0)),0))</f>
        <v>2</v>
      </c>
      <c r="Z66" s="32" t="str">
        <f aca="false">IF(Y66="","",IF(Y66&gt;=2,"STRONG BUY",IF(Y66=1,"BUY",IF(Y66=0,"HOLD",IF(Y66=-1,"SELL","STRONG SELL")))))</f>
        <v>STRONG BUY</v>
      </c>
    </row>
    <row r="67" customFormat="false" ht="15" hidden="false" customHeight="false" outlineLevel="0" collapsed="false">
      <c r="A67" s="24" t="n">
        <v>45861</v>
      </c>
      <c r="B67" s="25" t="n">
        <v>1372.1</v>
      </c>
      <c r="C67" s="25" t="n">
        <v>1377.58</v>
      </c>
      <c r="D67" s="25" t="n">
        <v>1354.92</v>
      </c>
      <c r="E67" s="25" t="n">
        <v>1366.25</v>
      </c>
      <c r="F67" s="26" t="n">
        <v>3480369</v>
      </c>
      <c r="G67" s="27" t="n">
        <f aca="false">E67-E66</f>
        <v>-6.42000000000007</v>
      </c>
      <c r="H67" s="28" t="n">
        <f aca="false">G67/E66</f>
        <v>-0.00467701632584676</v>
      </c>
      <c r="I67" s="29" t="n">
        <f aca="false">MAX(G67,0)</f>
        <v>0</v>
      </c>
      <c r="J67" s="29" t="n">
        <f aca="false">MAX(-G67,0)</f>
        <v>6.42000000000007</v>
      </c>
      <c r="K67" s="29" t="n">
        <f aca="false">(K66*13+I67)/14</f>
        <v>5.53374977407358</v>
      </c>
      <c r="L67" s="29" t="n">
        <f aca="false">(L66*13+J67)/14</f>
        <v>4.28814479380254</v>
      </c>
      <c r="M67" s="31" t="n">
        <f aca="false">IF(L67=0,100,100-100/(1+K67/MAX(L67,0.000001)))</f>
        <v>56.3409608587378</v>
      </c>
      <c r="N67" s="30" t="n">
        <f aca="false">AVERAGE(E48:E67)</f>
        <v>1347.2955</v>
      </c>
      <c r="O67" s="30" t="n">
        <f aca="false">AVERAGE(E18:E67)</f>
        <v>1344.845</v>
      </c>
      <c r="Q67" s="30" t="n">
        <f aca="false">Q66+(2/13)*(E67-Q66)</f>
        <v>1361.60233351452</v>
      </c>
      <c r="R67" s="30" t="n">
        <f aca="false">R66+(2/27)*(E67-R66)</f>
        <v>1350.23665057608</v>
      </c>
      <c r="S67" s="33" t="n">
        <f aca="false">Q67-R67</f>
        <v>11.3656829384367</v>
      </c>
      <c r="T67" s="33" t="n">
        <f aca="false">T66+(2/10)*(S67-T66)</f>
        <v>6.85803457239199</v>
      </c>
      <c r="U67" s="33" t="n">
        <f aca="false">S67-T67</f>
        <v>4.50764836604476</v>
      </c>
      <c r="V67" s="32" t="str">
        <f aca="false">IF(M67="","",IF(M67&lt;Assumptions!$B$5,"BUY",IF(M67&gt;Assumptions!$B$4,"SELL","HOLD")))</f>
        <v>HOLD</v>
      </c>
      <c r="W67" s="32" t="str">
        <f aca="false">IF(O67="","",IF(E67&gt;O67,"BUY","SELL"))</f>
        <v>BUY</v>
      </c>
      <c r="X67" s="32" t="str">
        <f aca="false">IF(T67="","",IF(S67&gt;T67,"BUY","SELL"))</f>
        <v>BUY</v>
      </c>
      <c r="Y67" s="34" t="n">
        <f aca="false">IF(OR(V67="",W67="",X67=""),"",IFERROR(IF(V67="BUY",1,IF(V67="SELL",-1,0))+IF(W67="BUY",1,IF(W67="SELL",-1,0))+IF(X67="BUY",1,IF(X67="SELL",-1,0)),0))</f>
        <v>2</v>
      </c>
      <c r="Z67" s="32" t="str">
        <f aca="false">IF(Y67="","",IF(Y67&gt;=2,"STRONG BUY",IF(Y67=1,"BUY",IF(Y67=0,"HOLD",IF(Y67=-1,"SELL","STRONG SELL")))))</f>
        <v>STRONG BUY</v>
      </c>
    </row>
    <row r="68" customFormat="false" ht="15" hidden="false" customHeight="false" outlineLevel="0" collapsed="false">
      <c r="A68" s="24" t="n">
        <v>45862</v>
      </c>
      <c r="B68" s="25" t="n">
        <v>1376.28</v>
      </c>
      <c r="C68" s="25" t="n">
        <v>1380.04</v>
      </c>
      <c r="D68" s="25" t="n">
        <v>1376.28</v>
      </c>
      <c r="E68" s="25" t="n">
        <v>1378.16</v>
      </c>
      <c r="F68" s="26" t="n">
        <v>6069163</v>
      </c>
      <c r="G68" s="27" t="n">
        <f aca="false">E68-E67</f>
        <v>11.9100000000001</v>
      </c>
      <c r="H68" s="28" t="n">
        <f aca="false">G68/E67</f>
        <v>0.00871729185727362</v>
      </c>
      <c r="I68" s="29" t="n">
        <f aca="false">MAX(G68,0)</f>
        <v>11.9100000000001</v>
      </c>
      <c r="J68" s="29" t="n">
        <f aca="false">MAX(-G68,0)</f>
        <v>0</v>
      </c>
      <c r="K68" s="29" t="n">
        <f aca="false">(K67*13+I68)/14</f>
        <v>5.98919621878261</v>
      </c>
      <c r="L68" s="29" t="n">
        <f aca="false">(L67*13+J68)/14</f>
        <v>3.98184873710236</v>
      </c>
      <c r="M68" s="31" t="n">
        <f aca="false">IF(L68=0,100,100-100/(1+K68/MAX(L68,0.000001)))</f>
        <v>60.0658832176637</v>
      </c>
      <c r="N68" s="30" t="n">
        <f aca="false">AVERAGE(E49:E68)</f>
        <v>1349.9795</v>
      </c>
      <c r="O68" s="30" t="n">
        <f aca="false">AVERAGE(E19:E68)</f>
        <v>1345.2582</v>
      </c>
      <c r="Q68" s="30" t="n">
        <f aca="false">Q67+(2/13)*(E68-Q67)</f>
        <v>1364.14966681998</v>
      </c>
      <c r="R68" s="30" t="n">
        <f aca="false">R67+(2/27)*(E68-R67)</f>
        <v>1352.30504682971</v>
      </c>
      <c r="S68" s="33" t="n">
        <f aca="false">Q68-R68</f>
        <v>11.8446199902719</v>
      </c>
      <c r="T68" s="33" t="n">
        <f aca="false">T67+(2/10)*(S68-T67)</f>
        <v>7.85535165596797</v>
      </c>
      <c r="U68" s="33" t="n">
        <f aca="false">S68-T68</f>
        <v>3.98926833430393</v>
      </c>
      <c r="V68" s="32" t="str">
        <f aca="false">IF(M68="","",IF(M68&lt;Assumptions!$B$5,"BUY",IF(M68&gt;Assumptions!$B$4,"SELL","HOLD")))</f>
        <v>HOLD</v>
      </c>
      <c r="W68" s="32" t="str">
        <f aca="false">IF(O68="","",IF(E68&gt;O68,"BUY","SELL"))</f>
        <v>BUY</v>
      </c>
      <c r="X68" s="32" t="str">
        <f aca="false">IF(T68="","",IF(S68&gt;T68,"BUY","SELL"))</f>
        <v>BUY</v>
      </c>
      <c r="Y68" s="34" t="n">
        <f aca="false">IF(OR(V68="",W68="",X68=""),"",IFERROR(IF(V68="BUY",1,IF(V68="SELL",-1,0))+IF(W68="BUY",1,IF(W68="SELL",-1,0))+IF(X68="BUY",1,IF(X68="SELL",-1,0)),0))</f>
        <v>2</v>
      </c>
      <c r="Z68" s="32" t="str">
        <f aca="false">IF(Y68="","",IF(Y68&gt;=2,"STRONG BUY",IF(Y68=1,"BUY",IF(Y68=0,"HOLD",IF(Y68=-1,"SELL","STRONG SELL")))))</f>
        <v>STRONG BUY</v>
      </c>
    </row>
    <row r="69" customFormat="false" ht="15" hidden="false" customHeight="false" outlineLevel="0" collapsed="false">
      <c r="A69" s="24" t="n">
        <v>45863</v>
      </c>
      <c r="B69" s="25" t="n">
        <v>1367.7</v>
      </c>
      <c r="C69" s="25" t="n">
        <v>1369.51</v>
      </c>
      <c r="D69" s="25" t="n">
        <v>1351.51</v>
      </c>
      <c r="E69" s="25" t="n">
        <v>1360.51</v>
      </c>
      <c r="F69" s="26" t="n">
        <v>3262065</v>
      </c>
      <c r="G69" s="27" t="n">
        <f aca="false">E69-E68</f>
        <v>-17.6500000000001</v>
      </c>
      <c r="H69" s="28" t="n">
        <f aca="false">G69/E68</f>
        <v>-0.0128069309804378</v>
      </c>
      <c r="I69" s="29" t="n">
        <f aca="false">MAX(G69,0)</f>
        <v>0</v>
      </c>
      <c r="J69" s="29" t="n">
        <f aca="false">MAX(-G69,0)</f>
        <v>17.6500000000001</v>
      </c>
      <c r="K69" s="29" t="n">
        <f aca="false">(K68*13+I69)/14</f>
        <v>5.56139648886957</v>
      </c>
      <c r="L69" s="29" t="n">
        <f aca="false">(L68*13+J69)/14</f>
        <v>4.95814525588077</v>
      </c>
      <c r="M69" s="31" t="n">
        <f aca="false">IF(L69=0,100,100-100/(1+K69/MAX(L69,0.000001)))</f>
        <v>52.867288555083</v>
      </c>
      <c r="N69" s="30" t="n">
        <f aca="false">AVERAGE(E50:E69)</f>
        <v>1351.5655</v>
      </c>
      <c r="O69" s="30" t="n">
        <f aca="false">AVERAGE(E20:E69)</f>
        <v>1345.5626</v>
      </c>
      <c r="Q69" s="30" t="n">
        <f aca="false">Q68+(2/13)*(E69-Q68)</f>
        <v>1363.58971807844</v>
      </c>
      <c r="R69" s="30" t="n">
        <f aca="false">R68+(2/27)*(E69-R68)</f>
        <v>1352.91282113862</v>
      </c>
      <c r="S69" s="33" t="n">
        <f aca="false">Q69-R69</f>
        <v>10.6768969398261</v>
      </c>
      <c r="T69" s="33" t="n">
        <f aca="false">T68+(2/10)*(S69-T68)</f>
        <v>8.41966071273959</v>
      </c>
      <c r="U69" s="33" t="n">
        <f aca="false">S69-T69</f>
        <v>2.25723622708648</v>
      </c>
      <c r="V69" s="32" t="str">
        <f aca="false">IF(M69="","",IF(M69&lt;Assumptions!$B$5,"BUY",IF(M69&gt;Assumptions!$B$4,"SELL","HOLD")))</f>
        <v>HOLD</v>
      </c>
      <c r="W69" s="32" t="str">
        <f aca="false">IF(O69="","",IF(E69&gt;O69,"BUY","SELL"))</f>
        <v>BUY</v>
      </c>
      <c r="X69" s="32" t="str">
        <f aca="false">IF(T69="","",IF(S69&gt;T69,"BUY","SELL"))</f>
        <v>BUY</v>
      </c>
      <c r="Y69" s="34" t="n">
        <f aca="false">IF(OR(V69="",W69="",X69=""),"",IFERROR(IF(V69="BUY",1,IF(V69="SELL",-1,0))+IF(W69="BUY",1,IF(W69="SELL",-1,0))+IF(X69="BUY",1,IF(X69="SELL",-1,0)),0))</f>
        <v>2</v>
      </c>
      <c r="Z69" s="32" t="str">
        <f aca="false">IF(Y69="","",IF(Y69&gt;=2,"STRONG BUY",IF(Y69=1,"BUY",IF(Y69=0,"HOLD",IF(Y69=-1,"SELL","STRONG SELL")))))</f>
        <v>STRONG BUY</v>
      </c>
    </row>
    <row r="70" customFormat="false" ht="15" hidden="false" customHeight="false" outlineLevel="0" collapsed="false">
      <c r="A70" s="24" t="n">
        <v>45866</v>
      </c>
      <c r="B70" s="25" t="n">
        <v>1361.73</v>
      </c>
      <c r="C70" s="25" t="n">
        <v>1367.31</v>
      </c>
      <c r="D70" s="25" t="n">
        <v>1354.81</v>
      </c>
      <c r="E70" s="25" t="n">
        <v>1361.06</v>
      </c>
      <c r="F70" s="26" t="n">
        <v>5043244</v>
      </c>
      <c r="G70" s="27" t="n">
        <f aca="false">E70-E69</f>
        <v>0.549999999999955</v>
      </c>
      <c r="H70" s="28" t="n">
        <f aca="false">G70/E69</f>
        <v>0.00040426016714317</v>
      </c>
      <c r="I70" s="29" t="n">
        <f aca="false">MAX(G70,0)</f>
        <v>0.549999999999955</v>
      </c>
      <c r="J70" s="29" t="n">
        <f aca="false">MAX(-G70,0)</f>
        <v>0</v>
      </c>
      <c r="K70" s="29" t="n">
        <f aca="false">(K69*13+I70)/14</f>
        <v>5.20343959680745</v>
      </c>
      <c r="L70" s="29" t="n">
        <f aca="false">(L69*13+J70)/14</f>
        <v>4.60399202331786</v>
      </c>
      <c r="M70" s="31" t="n">
        <f aca="false">IF(L70=0,100,100-100/(1+K70/MAX(L70,0.000001)))</f>
        <v>53.0560884679507</v>
      </c>
      <c r="N70" s="30" t="n">
        <f aca="false">AVERAGE(E51:E70)</f>
        <v>1352.7825</v>
      </c>
      <c r="O70" s="30" t="n">
        <f aca="false">AVERAGE(E21:E70)</f>
        <v>1345.8156</v>
      </c>
      <c r="Q70" s="30" t="n">
        <f aca="false">Q69+(2/13)*(E70-Q69)</f>
        <v>1363.20053068176</v>
      </c>
      <c r="R70" s="30" t="n">
        <f aca="false">R69+(2/27)*(E70-R69)</f>
        <v>1353.51631586909</v>
      </c>
      <c r="S70" s="33" t="n">
        <f aca="false">Q70-R70</f>
        <v>9.68421481266978</v>
      </c>
      <c r="T70" s="33" t="n">
        <f aca="false">T69+(2/10)*(S70-T69)</f>
        <v>8.67257153272563</v>
      </c>
      <c r="U70" s="33" t="n">
        <f aca="false">S70-T70</f>
        <v>1.01164327994415</v>
      </c>
      <c r="V70" s="32" t="str">
        <f aca="false">IF(M70="","",IF(M70&lt;Assumptions!$B$5,"BUY",IF(M70&gt;Assumptions!$B$4,"SELL","HOLD")))</f>
        <v>HOLD</v>
      </c>
      <c r="W70" s="32" t="str">
        <f aca="false">IF(O70="","",IF(E70&gt;O70,"BUY","SELL"))</f>
        <v>BUY</v>
      </c>
      <c r="X70" s="32" t="str">
        <f aca="false">IF(T70="","",IF(S70&gt;T70,"BUY","SELL"))</f>
        <v>BUY</v>
      </c>
      <c r="Y70" s="34" t="n">
        <f aca="false">IF(OR(V70="",W70="",X70=""),"",IFERROR(IF(V70="BUY",1,IF(V70="SELL",-1,0))+IF(W70="BUY",1,IF(W70="SELL",-1,0))+IF(X70="BUY",1,IF(X70="SELL",-1,0)),0))</f>
        <v>2</v>
      </c>
      <c r="Z70" s="32" t="str">
        <f aca="false">IF(Y70="","",IF(Y70&gt;=2,"STRONG BUY",IF(Y70=1,"BUY",IF(Y70=0,"HOLD",IF(Y70=-1,"SELL","STRONG SELL")))))</f>
        <v>STRONG BUY</v>
      </c>
    </row>
    <row r="71" customFormat="false" ht="15" hidden="false" customHeight="false" outlineLevel="0" collapsed="false">
      <c r="A71" s="24" t="n">
        <v>45867</v>
      </c>
      <c r="B71" s="25" t="n">
        <v>1364.96</v>
      </c>
      <c r="C71" s="25" t="n">
        <v>1375.96</v>
      </c>
      <c r="D71" s="25" t="n">
        <v>1352.64</v>
      </c>
      <c r="E71" s="25" t="n">
        <v>1364.3</v>
      </c>
      <c r="F71" s="26" t="n">
        <v>2886289</v>
      </c>
      <c r="G71" s="27" t="n">
        <f aca="false">E71-E70</f>
        <v>3.24000000000001</v>
      </c>
      <c r="H71" s="28" t="n">
        <f aca="false">G71/E70</f>
        <v>0.00238049755337752</v>
      </c>
      <c r="I71" s="29" t="n">
        <f aca="false">MAX(G71,0)</f>
        <v>3.24000000000001</v>
      </c>
      <c r="J71" s="29" t="n">
        <f aca="false">MAX(-G71,0)</f>
        <v>0</v>
      </c>
      <c r="K71" s="29" t="n">
        <f aca="false">(K70*13+I71)/14</f>
        <v>5.06319391132121</v>
      </c>
      <c r="L71" s="29" t="n">
        <f aca="false">(L70*13+J71)/14</f>
        <v>4.27513545022372</v>
      </c>
      <c r="M71" s="31" t="n">
        <f aca="false">IF(L71=0,100,100-100/(1+K71/MAX(L71,0.000001)))</f>
        <v>54.2194831140926</v>
      </c>
      <c r="N71" s="30" t="n">
        <f aca="false">AVERAGE(E52:E71)</f>
        <v>1353.8665</v>
      </c>
      <c r="O71" s="30" t="n">
        <f aca="false">AVERAGE(E22:E71)</f>
        <v>1345.8106</v>
      </c>
      <c r="Q71" s="30" t="n">
        <f aca="false">Q70+(2/13)*(E71-Q70)</f>
        <v>1363.36967980764</v>
      </c>
      <c r="R71" s="30" t="n">
        <f aca="false">R70+(2/27)*(E71-R70)</f>
        <v>1354.31510728619</v>
      </c>
      <c r="S71" s="33" t="n">
        <f aca="false">Q71-R71</f>
        <v>9.05457252144834</v>
      </c>
      <c r="T71" s="33" t="n">
        <f aca="false">T70+(2/10)*(S71-T70)</f>
        <v>8.74897173047017</v>
      </c>
      <c r="U71" s="33" t="n">
        <f aca="false">S71-T71</f>
        <v>0.305600790978168</v>
      </c>
      <c r="V71" s="32" t="str">
        <f aca="false">IF(M71="","",IF(M71&lt;Assumptions!$B$5,"BUY",IF(M71&gt;Assumptions!$B$4,"SELL","HOLD")))</f>
        <v>HOLD</v>
      </c>
      <c r="W71" s="32" t="str">
        <f aca="false">IF(O71="","",IF(E71&gt;O71,"BUY","SELL"))</f>
        <v>BUY</v>
      </c>
      <c r="X71" s="32" t="str">
        <f aca="false">IF(T71="","",IF(S71&gt;T71,"BUY","SELL"))</f>
        <v>BUY</v>
      </c>
      <c r="Y71" s="34" t="n">
        <f aca="false">IF(OR(V71="",W71="",X71=""),"",IFERROR(IF(V71="BUY",1,IF(V71="SELL",-1,0))+IF(W71="BUY",1,IF(W71="SELL",-1,0))+IF(X71="BUY",1,IF(X71="SELL",-1,0)),0))</f>
        <v>2</v>
      </c>
      <c r="Z71" s="32" t="str">
        <f aca="false">IF(Y71="","",IF(Y71&gt;=2,"STRONG BUY",IF(Y71=1,"BUY",IF(Y71=0,"HOLD",IF(Y71=-1,"SELL","STRONG SELL")))))</f>
        <v>STRONG BUY</v>
      </c>
    </row>
    <row r="72" customFormat="false" ht="15" hidden="false" customHeight="false" outlineLevel="0" collapsed="false">
      <c r="A72" s="24" t="n">
        <v>45868</v>
      </c>
      <c r="B72" s="25" t="n">
        <v>1357.46</v>
      </c>
      <c r="C72" s="25" t="n">
        <v>1365.14</v>
      </c>
      <c r="D72" s="25" t="n">
        <v>1356</v>
      </c>
      <c r="E72" s="25" t="n">
        <v>1360.57</v>
      </c>
      <c r="F72" s="26" t="n">
        <v>6268823</v>
      </c>
      <c r="G72" s="27" t="n">
        <f aca="false">E72-E71</f>
        <v>-3.73000000000002</v>
      </c>
      <c r="H72" s="28" t="n">
        <f aca="false">G72/E71</f>
        <v>-0.00273400278531116</v>
      </c>
      <c r="I72" s="29" t="n">
        <f aca="false">MAX(G72,0)</f>
        <v>0</v>
      </c>
      <c r="J72" s="29" t="n">
        <f aca="false">MAX(-G72,0)</f>
        <v>3.73000000000002</v>
      </c>
      <c r="K72" s="29" t="n">
        <f aca="false">(K71*13+I72)/14</f>
        <v>4.70153720336969</v>
      </c>
      <c r="L72" s="29" t="n">
        <f aca="false">(L71*13+J72)/14</f>
        <v>4.23619720377917</v>
      </c>
      <c r="M72" s="31" t="n">
        <f aca="false">IF(L72=0,100,100-100/(1+K72/MAX(L72,0.000001)))</f>
        <v>52.6032324210614</v>
      </c>
      <c r="N72" s="30" t="n">
        <f aca="false">AVERAGE(E53:E72)</f>
        <v>1355.135</v>
      </c>
      <c r="O72" s="30" t="n">
        <f aca="false">AVERAGE(E23:E72)</f>
        <v>1345.718</v>
      </c>
      <c r="Q72" s="30" t="n">
        <f aca="false">Q71+(2/13)*(E72-Q71)</f>
        <v>1362.93895983724</v>
      </c>
      <c r="R72" s="30" t="n">
        <f aca="false">R71+(2/27)*(E72-R71)</f>
        <v>1354.7784326724</v>
      </c>
      <c r="S72" s="33" t="n">
        <f aca="false">Q72-R72</f>
        <v>8.16052716483387</v>
      </c>
      <c r="T72" s="33" t="n">
        <f aca="false">T71+(2/10)*(S72-T71)</f>
        <v>8.63128281734291</v>
      </c>
      <c r="U72" s="33" t="n">
        <f aca="false">S72-T72</f>
        <v>-0.470755652509041</v>
      </c>
      <c r="V72" s="32" t="str">
        <f aca="false">IF(M72="","",IF(M72&lt;Assumptions!$B$5,"BUY",IF(M72&gt;Assumptions!$B$4,"SELL","HOLD")))</f>
        <v>HOLD</v>
      </c>
      <c r="W72" s="32" t="str">
        <f aca="false">IF(O72="","",IF(E72&gt;O72,"BUY","SELL"))</f>
        <v>BUY</v>
      </c>
      <c r="X72" s="32" t="str">
        <f aca="false">IF(T72="","",IF(S72&gt;T72,"BUY","SELL"))</f>
        <v>SELL</v>
      </c>
      <c r="Y72" s="34" t="n">
        <f aca="false">IF(OR(V72="",W72="",X72=""),"",IFERROR(IF(V72="BUY",1,IF(V72="SELL",-1,0))+IF(W72="BUY",1,IF(W72="SELL",-1,0))+IF(X72="BUY",1,IF(X72="SELL",-1,0)),0))</f>
        <v>0</v>
      </c>
      <c r="Z72" s="32" t="str">
        <f aca="false">IF(Y72="","",IF(Y72&gt;=2,"STRONG BUY",IF(Y72=1,"BUY",IF(Y72=0,"HOLD",IF(Y72=-1,"SELL","STRONG SELL")))))</f>
        <v>HOLD</v>
      </c>
    </row>
    <row r="73" customFormat="false" ht="15" hidden="false" customHeight="false" outlineLevel="0" collapsed="false">
      <c r="A73" s="24" t="n">
        <v>45869</v>
      </c>
      <c r="B73" s="25" t="n">
        <v>1368.95</v>
      </c>
      <c r="C73" s="25" t="n">
        <v>1372.75</v>
      </c>
      <c r="D73" s="25" t="n">
        <v>1366.45</v>
      </c>
      <c r="E73" s="25" t="n">
        <v>1369.6</v>
      </c>
      <c r="F73" s="26" t="n">
        <v>6521812</v>
      </c>
      <c r="G73" s="27" t="n">
        <f aca="false">E73-E72</f>
        <v>9.02999999999997</v>
      </c>
      <c r="H73" s="28" t="n">
        <f aca="false">G73/E72</f>
        <v>0.00663692423028582</v>
      </c>
      <c r="I73" s="29" t="n">
        <f aca="false">MAX(G73,0)</f>
        <v>9.02999999999997</v>
      </c>
      <c r="J73" s="29" t="n">
        <f aca="false">MAX(-G73,0)</f>
        <v>0</v>
      </c>
      <c r="K73" s="29" t="n">
        <f aca="false">(K72*13+I73)/14</f>
        <v>5.01071311741471</v>
      </c>
      <c r="L73" s="29" t="n">
        <f aca="false">(L72*13+J73)/14</f>
        <v>3.93361168922352</v>
      </c>
      <c r="M73" s="31" t="n">
        <f aca="false">IF(L73=0,100,100-100/(1+K73/MAX(L73,0.000001)))</f>
        <v>56.0211444210512</v>
      </c>
      <c r="N73" s="30" t="n">
        <f aca="false">AVERAGE(E54:E73)</f>
        <v>1357.278</v>
      </c>
      <c r="O73" s="30" t="n">
        <f aca="false">AVERAGE(E24:E73)</f>
        <v>1345.8294</v>
      </c>
      <c r="Q73" s="30" t="n">
        <f aca="false">Q72+(2/13)*(E73-Q72)</f>
        <v>1363.96373524689</v>
      </c>
      <c r="R73" s="30" t="n">
        <f aca="false">R72+(2/27)*(E73-R72)</f>
        <v>1355.87632654852</v>
      </c>
      <c r="S73" s="33" t="n">
        <f aca="false">Q73-R73</f>
        <v>8.08740869837152</v>
      </c>
      <c r="T73" s="33" t="n">
        <f aca="false">T72+(2/10)*(S73-T72)</f>
        <v>8.52250799354863</v>
      </c>
      <c r="U73" s="33" t="n">
        <f aca="false">S73-T73</f>
        <v>-0.43509929517711</v>
      </c>
      <c r="V73" s="32" t="str">
        <f aca="false">IF(M73="","",IF(M73&lt;Assumptions!$B$5,"BUY",IF(M73&gt;Assumptions!$B$4,"SELL","HOLD")))</f>
        <v>HOLD</v>
      </c>
      <c r="W73" s="32" t="str">
        <f aca="false">IF(O73="","",IF(E73&gt;O73,"BUY","SELL"))</f>
        <v>BUY</v>
      </c>
      <c r="X73" s="32" t="str">
        <f aca="false">IF(T73="","",IF(S73&gt;T73,"BUY","SELL"))</f>
        <v>SELL</v>
      </c>
      <c r="Y73" s="34" t="n">
        <f aca="false">IF(OR(V73="",W73="",X73=""),"",IFERROR(IF(V73="BUY",1,IF(V73="SELL",-1,0))+IF(W73="BUY",1,IF(W73="SELL",-1,0))+IF(X73="BUY",1,IF(X73="SELL",-1,0)),0))</f>
        <v>0</v>
      </c>
      <c r="Z73" s="32" t="str">
        <f aca="false">IF(Y73="","",IF(Y73&gt;=2,"STRONG BUY",IF(Y73=1,"BUY",IF(Y73=0,"HOLD",IF(Y73=-1,"SELL","STRONG SELL")))))</f>
        <v>HOLD</v>
      </c>
    </row>
    <row r="74" customFormat="false" ht="15" hidden="false" customHeight="false" outlineLevel="0" collapsed="false">
      <c r="A74" s="24" t="n">
        <v>45870</v>
      </c>
      <c r="B74" s="25" t="n">
        <v>1376.17</v>
      </c>
      <c r="C74" s="25" t="n">
        <v>1381.29</v>
      </c>
      <c r="D74" s="25" t="n">
        <v>1372.55</v>
      </c>
      <c r="E74" s="25" t="n">
        <v>1376.92</v>
      </c>
      <c r="F74" s="26" t="n">
        <v>5316330</v>
      </c>
      <c r="G74" s="27" t="n">
        <f aca="false">E74-E73</f>
        <v>7.32000000000016</v>
      </c>
      <c r="H74" s="28" t="n">
        <f aca="false">G74/E73</f>
        <v>0.00534462616822442</v>
      </c>
      <c r="I74" s="29" t="n">
        <f aca="false">MAX(G74,0)</f>
        <v>7.32000000000016</v>
      </c>
      <c r="J74" s="29" t="n">
        <f aca="false">MAX(-G74,0)</f>
        <v>0</v>
      </c>
      <c r="K74" s="29" t="n">
        <f aca="false">(K73*13+I74)/14</f>
        <v>5.17566218045653</v>
      </c>
      <c r="L74" s="29" t="n">
        <f aca="false">(L73*13+J74)/14</f>
        <v>3.65263942570755</v>
      </c>
      <c r="M74" s="31" t="n">
        <f aca="false">IF(L74=0,100,100-100/(1+K74/MAX(L74,0.000001)))</f>
        <v>58.6257970258151</v>
      </c>
      <c r="N74" s="30" t="n">
        <f aca="false">AVERAGE(E55:E74)</f>
        <v>1360.0605</v>
      </c>
      <c r="O74" s="30" t="n">
        <f aca="false">AVERAGE(E25:E74)</f>
        <v>1345.9536</v>
      </c>
      <c r="Q74" s="30" t="n">
        <f aca="false">Q73+(2/13)*(E74-Q73)</f>
        <v>1365.95700674737</v>
      </c>
      <c r="R74" s="30" t="n">
        <f aca="false">R73+(2/27)*(E74-R73)</f>
        <v>1357.43511717456</v>
      </c>
      <c r="S74" s="33" t="n">
        <f aca="false">Q74-R74</f>
        <v>8.52188957281419</v>
      </c>
      <c r="T74" s="33" t="n">
        <f aca="false">T73+(2/10)*(S74-T73)</f>
        <v>8.52238430940174</v>
      </c>
      <c r="U74" s="33" t="n">
        <f aca="false">S74-T74</f>
        <v>-0.000494736587551614</v>
      </c>
      <c r="V74" s="32" t="str">
        <f aca="false">IF(M74="","",IF(M74&lt;Assumptions!$B$5,"BUY",IF(M74&gt;Assumptions!$B$4,"SELL","HOLD")))</f>
        <v>HOLD</v>
      </c>
      <c r="W74" s="32" t="str">
        <f aca="false">IF(O74="","",IF(E74&gt;O74,"BUY","SELL"))</f>
        <v>BUY</v>
      </c>
      <c r="X74" s="32" t="str">
        <f aca="false">IF(T74="","",IF(S74&gt;T74,"BUY","SELL"))</f>
        <v>SELL</v>
      </c>
      <c r="Y74" s="34" t="n">
        <f aca="false">IF(OR(V74="",W74="",X74=""),"",IFERROR(IF(V74="BUY",1,IF(V74="SELL",-1,0))+IF(W74="BUY",1,IF(W74="SELL",-1,0))+IF(X74="BUY",1,IF(X74="SELL",-1,0)),0))</f>
        <v>0</v>
      </c>
      <c r="Z74" s="32" t="str">
        <f aca="false">IF(Y74="","",IF(Y74&gt;=2,"STRONG BUY",IF(Y74=1,"BUY",IF(Y74=0,"HOLD",IF(Y74=-1,"SELL","STRONG SELL")))))</f>
        <v>HOLD</v>
      </c>
    </row>
    <row r="75" customFormat="false" ht="15" hidden="false" customHeight="false" outlineLevel="0" collapsed="false">
      <c r="A75" s="24" t="n">
        <v>45873</v>
      </c>
      <c r="B75" s="25" t="n">
        <v>1405.58</v>
      </c>
      <c r="C75" s="25" t="n">
        <v>1419.02</v>
      </c>
      <c r="D75" s="25" t="n">
        <v>1393.24</v>
      </c>
      <c r="E75" s="25" t="n">
        <v>1406.13</v>
      </c>
      <c r="F75" s="26" t="n">
        <v>4386101</v>
      </c>
      <c r="G75" s="27" t="n">
        <f aca="false">E75-E74</f>
        <v>29.21</v>
      </c>
      <c r="H75" s="28" t="n">
        <f aca="false">G75/E74</f>
        <v>0.0212140138860646</v>
      </c>
      <c r="I75" s="29" t="n">
        <f aca="false">MAX(G75,0)</f>
        <v>29.21</v>
      </c>
      <c r="J75" s="29" t="n">
        <f aca="false">MAX(-G75,0)</f>
        <v>0</v>
      </c>
      <c r="K75" s="29" t="n">
        <f aca="false">(K74*13+I75)/14</f>
        <v>6.89240059613821</v>
      </c>
      <c r="L75" s="29" t="n">
        <f aca="false">(L74*13+J75)/14</f>
        <v>3.39173660958558</v>
      </c>
      <c r="M75" s="31" t="n">
        <f aca="false">IF(L75=0,100,100-100/(1+K75/MAX(L75,0.000001)))</f>
        <v>67.0197261886212</v>
      </c>
      <c r="N75" s="30" t="n">
        <f aca="false">AVERAGE(E56:E75)</f>
        <v>1363.9995</v>
      </c>
      <c r="O75" s="30" t="n">
        <f aca="false">AVERAGE(E26:E75)</f>
        <v>1347.0156</v>
      </c>
      <c r="Q75" s="30" t="n">
        <f aca="false">Q74+(2/13)*(E75-Q74)</f>
        <v>1372.13746724777</v>
      </c>
      <c r="R75" s="30" t="n">
        <f aca="false">R74+(2/27)*(E75-R74)</f>
        <v>1361.042145532</v>
      </c>
      <c r="S75" s="33" t="n">
        <f aca="false">Q75-R75</f>
        <v>11.0953217157785</v>
      </c>
      <c r="T75" s="33" t="n">
        <f aca="false">T74+(2/10)*(S75-T74)</f>
        <v>9.03697179067709</v>
      </c>
      <c r="U75" s="33" t="n">
        <f aca="false">S75-T75</f>
        <v>2.05834992510139</v>
      </c>
      <c r="V75" s="32" t="str">
        <f aca="false">IF(M75="","",IF(M75&lt;Assumptions!$B$5,"BUY",IF(M75&gt;Assumptions!$B$4,"SELL","HOLD")))</f>
        <v>HOLD</v>
      </c>
      <c r="W75" s="32" t="str">
        <f aca="false">IF(O75="","",IF(E75&gt;O75,"BUY","SELL"))</f>
        <v>BUY</v>
      </c>
      <c r="X75" s="32" t="str">
        <f aca="false">IF(T75="","",IF(S75&gt;T75,"BUY","SELL"))</f>
        <v>BUY</v>
      </c>
      <c r="Y75" s="34" t="n">
        <f aca="false">IF(OR(V75="",W75="",X75=""),"",IFERROR(IF(V75="BUY",1,IF(V75="SELL",-1,0))+IF(W75="BUY",1,IF(W75="SELL",-1,0))+IF(X75="BUY",1,IF(X75="SELL",-1,0)),0))</f>
        <v>2</v>
      </c>
      <c r="Z75" s="32" t="str">
        <f aca="false">IF(Y75="","",IF(Y75&gt;=2,"STRONG BUY",IF(Y75=1,"BUY",IF(Y75=0,"HOLD",IF(Y75=-1,"SELL","STRONG SELL")))))</f>
        <v>STRONG BUY</v>
      </c>
    </row>
    <row r="76" customFormat="false" ht="15" hidden="false" customHeight="false" outlineLevel="0" collapsed="false">
      <c r="A76" s="24" t="n">
        <v>45874</v>
      </c>
      <c r="B76" s="25" t="n">
        <v>1418.03</v>
      </c>
      <c r="C76" s="25" t="n">
        <v>1423.01</v>
      </c>
      <c r="D76" s="25" t="n">
        <v>1405.27</v>
      </c>
      <c r="E76" s="25" t="n">
        <v>1414.14</v>
      </c>
      <c r="F76" s="26" t="n">
        <v>3971620</v>
      </c>
      <c r="G76" s="27" t="n">
        <f aca="false">E76-E75</f>
        <v>8.00999999999999</v>
      </c>
      <c r="H76" s="28" t="n">
        <f aca="false">G76/E75</f>
        <v>0.00569648610014721</v>
      </c>
      <c r="I76" s="29" t="n">
        <f aca="false">MAX(G76,0)</f>
        <v>8.00999999999999</v>
      </c>
      <c r="J76" s="29" t="n">
        <f aca="false">MAX(-G76,0)</f>
        <v>0</v>
      </c>
      <c r="K76" s="29" t="n">
        <f aca="false">(K75*13+I76)/14</f>
        <v>6.97222912498548</v>
      </c>
      <c r="L76" s="29" t="n">
        <f aca="false">(L75*13+J76)/14</f>
        <v>3.1494697089009</v>
      </c>
      <c r="M76" s="31" t="n">
        <f aca="false">IF(L76=0,100,100-100/(1+K76/MAX(L76,0.000001)))</f>
        <v>68.8839812309293</v>
      </c>
      <c r="N76" s="30" t="n">
        <f aca="false">AVERAGE(E57:E76)</f>
        <v>1368.4815</v>
      </c>
      <c r="O76" s="30" t="n">
        <f aca="false">AVERAGE(E27:E76)</f>
        <v>1348.311</v>
      </c>
      <c r="Q76" s="30" t="n">
        <f aca="false">Q75+(2/13)*(E76-Q75)</f>
        <v>1378.5993953635</v>
      </c>
      <c r="R76" s="30" t="n">
        <f aca="false">R75+(2/27)*(E76-R75)</f>
        <v>1364.97531993703</v>
      </c>
      <c r="S76" s="33" t="n">
        <f aca="false">Q76-R76</f>
        <v>13.6240754264682</v>
      </c>
      <c r="T76" s="33" t="n">
        <f aca="false">T75+(2/10)*(S76-T75)</f>
        <v>9.9543925178353</v>
      </c>
      <c r="U76" s="33" t="n">
        <f aca="false">S76-T76</f>
        <v>3.66968290863285</v>
      </c>
      <c r="V76" s="32" t="str">
        <f aca="false">IF(M76="","",IF(M76&lt;Assumptions!$B$5,"BUY",IF(M76&gt;Assumptions!$B$4,"SELL","HOLD")))</f>
        <v>HOLD</v>
      </c>
      <c r="W76" s="32" t="str">
        <f aca="false">IF(O76="","",IF(E76&gt;O76,"BUY","SELL"))</f>
        <v>BUY</v>
      </c>
      <c r="X76" s="32" t="str">
        <f aca="false">IF(T76="","",IF(S76&gt;T76,"BUY","SELL"))</f>
        <v>BUY</v>
      </c>
      <c r="Y76" s="34" t="n">
        <f aca="false">IF(OR(V76="",W76="",X76=""),"",IFERROR(IF(V76="BUY",1,IF(V76="SELL",-1,0))+IF(W76="BUY",1,IF(W76="SELL",-1,0))+IF(X76="BUY",1,IF(X76="SELL",-1,0)),0))</f>
        <v>2</v>
      </c>
      <c r="Z76" s="32" t="str">
        <f aca="false">IF(Y76="","",IF(Y76&gt;=2,"STRONG BUY",IF(Y76=1,"BUY",IF(Y76=0,"HOLD",IF(Y76=-1,"SELL","STRONG SELL")))))</f>
        <v>STRONG BUY</v>
      </c>
    </row>
    <row r="77" customFormat="false" ht="15" hidden="false" customHeight="false" outlineLevel="0" collapsed="false">
      <c r="A77" s="24" t="n">
        <v>45875</v>
      </c>
      <c r="B77" s="25" t="n">
        <v>1403.65</v>
      </c>
      <c r="C77" s="25" t="n">
        <v>1409.45</v>
      </c>
      <c r="D77" s="25" t="n">
        <v>1403.65</v>
      </c>
      <c r="E77" s="25" t="n">
        <v>1406.55</v>
      </c>
      <c r="F77" s="26" t="n">
        <v>6825577</v>
      </c>
      <c r="G77" s="27" t="n">
        <f aca="false">E77-E76</f>
        <v>-7.59000000000015</v>
      </c>
      <c r="H77" s="28" t="n">
        <f aca="false">G77/E76</f>
        <v>-0.00536721965293404</v>
      </c>
      <c r="I77" s="29" t="n">
        <f aca="false">MAX(G77,0)</f>
        <v>0</v>
      </c>
      <c r="J77" s="29" t="n">
        <f aca="false">MAX(-G77,0)</f>
        <v>7.59000000000015</v>
      </c>
      <c r="K77" s="29" t="n">
        <f aca="false">(K76*13+I77)/14</f>
        <v>6.47421275891509</v>
      </c>
      <c r="L77" s="29" t="n">
        <f aca="false">(L76*13+J77)/14</f>
        <v>3.46665044397942</v>
      </c>
      <c r="M77" s="31" t="n">
        <f aca="false">IF(L77=0,100,100-100/(1+K77/MAX(L77,0.000001)))</f>
        <v>65.12726940081</v>
      </c>
      <c r="N77" s="30" t="n">
        <f aca="false">AVERAGE(E58:E77)</f>
        <v>1371.1705</v>
      </c>
      <c r="O77" s="30" t="n">
        <f aca="false">AVERAGE(E28:E77)</f>
        <v>1349.3326</v>
      </c>
      <c r="Q77" s="30" t="n">
        <f aca="false">Q76+(2/13)*(E77-Q76)</f>
        <v>1382.8994883845</v>
      </c>
      <c r="R77" s="30" t="n">
        <f aca="false">R76+(2/27)*(E77-R76)</f>
        <v>1368.05492586762</v>
      </c>
      <c r="S77" s="33" t="n">
        <f aca="false">Q77-R77</f>
        <v>14.8445625168777</v>
      </c>
      <c r="T77" s="33" t="n">
        <f aca="false">T76+(2/10)*(S77-T76)</f>
        <v>10.9324265176438</v>
      </c>
      <c r="U77" s="33" t="n">
        <f aca="false">S77-T77</f>
        <v>3.91213599923389</v>
      </c>
      <c r="V77" s="32" t="str">
        <f aca="false">IF(M77="","",IF(M77&lt;Assumptions!$B$5,"BUY",IF(M77&gt;Assumptions!$B$4,"SELL","HOLD")))</f>
        <v>HOLD</v>
      </c>
      <c r="W77" s="32" t="str">
        <f aca="false">IF(O77="","",IF(E77&gt;O77,"BUY","SELL"))</f>
        <v>BUY</v>
      </c>
      <c r="X77" s="32" t="str">
        <f aca="false">IF(T77="","",IF(S77&gt;T77,"BUY","SELL"))</f>
        <v>BUY</v>
      </c>
      <c r="Y77" s="34" t="n">
        <f aca="false">IF(OR(V77="",W77="",X77=""),"",IFERROR(IF(V77="BUY",1,IF(V77="SELL",-1,0))+IF(W77="BUY",1,IF(W77="SELL",-1,0))+IF(X77="BUY",1,IF(X77="SELL",-1,0)),0))</f>
        <v>2</v>
      </c>
      <c r="Z77" s="32" t="str">
        <f aca="false">IF(Y77="","",IF(Y77&gt;=2,"STRONG BUY",IF(Y77=1,"BUY",IF(Y77=0,"HOLD",IF(Y77=-1,"SELL","STRONG SELL")))))</f>
        <v>STRONG BUY</v>
      </c>
    </row>
    <row r="78" customFormat="false" ht="15" hidden="false" customHeight="false" outlineLevel="0" collapsed="false">
      <c r="A78" s="24" t="n">
        <v>45876</v>
      </c>
      <c r="B78" s="25" t="n">
        <v>1395.25</v>
      </c>
      <c r="C78" s="25" t="n">
        <v>1410.79</v>
      </c>
      <c r="D78" s="25" t="n">
        <v>1388.41</v>
      </c>
      <c r="E78" s="25" t="n">
        <v>1399.6</v>
      </c>
      <c r="F78" s="26" t="n">
        <v>6852516</v>
      </c>
      <c r="G78" s="27" t="n">
        <f aca="false">E78-E77</f>
        <v>-6.95000000000005</v>
      </c>
      <c r="H78" s="28" t="n">
        <f aca="false">G78/E77</f>
        <v>-0.00494116810635956</v>
      </c>
      <c r="I78" s="29" t="n">
        <f aca="false">MAX(G78,0)</f>
        <v>0</v>
      </c>
      <c r="J78" s="29" t="n">
        <f aca="false">MAX(-G78,0)</f>
        <v>6.95000000000005</v>
      </c>
      <c r="K78" s="29" t="n">
        <f aca="false">(K77*13+I78)/14</f>
        <v>6.01176899042115</v>
      </c>
      <c r="L78" s="29" t="n">
        <f aca="false">(L77*13+J78)/14</f>
        <v>3.71546112655232</v>
      </c>
      <c r="M78" s="31" t="n">
        <f aca="false">IF(L78=0,100,100-100/(1+K78/MAX(L78,0.000001)))</f>
        <v>61.8035033419324</v>
      </c>
      <c r="N78" s="30" t="n">
        <f aca="false">AVERAGE(E59:E78)</f>
        <v>1374.002</v>
      </c>
      <c r="O78" s="30" t="n">
        <f aca="false">AVERAGE(E29:E78)</f>
        <v>1349.9986</v>
      </c>
      <c r="Q78" s="30" t="n">
        <f aca="false">Q77+(2/13)*(E78-Q77)</f>
        <v>1385.46879786381</v>
      </c>
      <c r="R78" s="30" t="n">
        <f aca="false">R77+(2/27)*(E78-R77)</f>
        <v>1370.39159802558</v>
      </c>
      <c r="S78" s="33" t="n">
        <f aca="false">Q78-R78</f>
        <v>15.0771998382313</v>
      </c>
      <c r="T78" s="33" t="n">
        <f aca="false">T77+(2/10)*(S78-T77)</f>
        <v>11.7613811817613</v>
      </c>
      <c r="U78" s="33" t="n">
        <f aca="false">S78-T78</f>
        <v>3.31581865647003</v>
      </c>
      <c r="V78" s="32" t="str">
        <f aca="false">IF(M78="","",IF(M78&lt;Assumptions!$B$5,"BUY",IF(M78&gt;Assumptions!$B$4,"SELL","HOLD")))</f>
        <v>HOLD</v>
      </c>
      <c r="W78" s="32" t="str">
        <f aca="false">IF(O78="","",IF(E78&gt;O78,"BUY","SELL"))</f>
        <v>BUY</v>
      </c>
      <c r="X78" s="32" t="str">
        <f aca="false">IF(T78="","",IF(S78&gt;T78,"BUY","SELL"))</f>
        <v>BUY</v>
      </c>
      <c r="Y78" s="34" t="n">
        <f aca="false">IF(OR(V78="",W78="",X78=""),"",IFERROR(IF(V78="BUY",1,IF(V78="SELL",-1,0))+IF(W78="BUY",1,IF(W78="SELL",-1,0))+IF(X78="BUY",1,IF(X78="SELL",-1,0)),0))</f>
        <v>2</v>
      </c>
      <c r="Z78" s="32" t="str">
        <f aca="false">IF(Y78="","",IF(Y78&gt;=2,"STRONG BUY",IF(Y78=1,"BUY",IF(Y78=0,"HOLD",IF(Y78=-1,"SELL","STRONG SELL")))))</f>
        <v>STRONG BUY</v>
      </c>
    </row>
    <row r="79" customFormat="false" ht="15" hidden="false" customHeight="false" outlineLevel="0" collapsed="false">
      <c r="A79" s="24" t="n">
        <v>45877</v>
      </c>
      <c r="B79" s="25" t="n">
        <v>1388.86</v>
      </c>
      <c r="C79" s="25" t="n">
        <v>1400.42</v>
      </c>
      <c r="D79" s="25" t="n">
        <v>1378.18</v>
      </c>
      <c r="E79" s="25" t="n">
        <v>1389.3</v>
      </c>
      <c r="F79" s="26" t="n">
        <v>5129948</v>
      </c>
      <c r="G79" s="27" t="n">
        <f aca="false">E79-E78</f>
        <v>-10.3</v>
      </c>
      <c r="H79" s="28" t="n">
        <f aca="false">G79/E78</f>
        <v>-0.00735924549871389</v>
      </c>
      <c r="I79" s="29" t="n">
        <f aca="false">MAX(G79,0)</f>
        <v>0</v>
      </c>
      <c r="J79" s="29" t="n">
        <f aca="false">MAX(-G79,0)</f>
        <v>10.3</v>
      </c>
      <c r="K79" s="29" t="n">
        <f aca="false">(K78*13+I79)/14</f>
        <v>5.58235691967679</v>
      </c>
      <c r="L79" s="29" t="n">
        <f aca="false">(L78*13+J79)/14</f>
        <v>4.18578533179858</v>
      </c>
      <c r="M79" s="31" t="n">
        <f aca="false">IF(L79=0,100,100-100/(1+K79/MAX(L79,0.000001)))</f>
        <v>57.1486038589747</v>
      </c>
      <c r="N79" s="30" t="n">
        <f aca="false">AVERAGE(E60:E79)</f>
        <v>1376.9725</v>
      </c>
      <c r="O79" s="30" t="n">
        <f aca="false">AVERAGE(E30:E79)</f>
        <v>1350.515</v>
      </c>
      <c r="Q79" s="30" t="n">
        <f aca="false">Q78+(2/13)*(E79-Q78)</f>
        <v>1386.05821357707</v>
      </c>
      <c r="R79" s="30" t="n">
        <f aca="false">R78+(2/27)*(E79-R78)</f>
        <v>1371.79222039405</v>
      </c>
      <c r="S79" s="33" t="n">
        <f aca="false">Q79-R79</f>
        <v>14.2659931830158</v>
      </c>
      <c r="T79" s="33" t="n">
        <f aca="false">T78+(2/10)*(S79-T78)</f>
        <v>12.2623035820122</v>
      </c>
      <c r="U79" s="33" t="n">
        <f aca="false">S79-T79</f>
        <v>2.0036896010036</v>
      </c>
      <c r="V79" s="32" t="str">
        <f aca="false">IF(M79="","",IF(M79&lt;Assumptions!$B$5,"BUY",IF(M79&gt;Assumptions!$B$4,"SELL","HOLD")))</f>
        <v>HOLD</v>
      </c>
      <c r="W79" s="32" t="str">
        <f aca="false">IF(O79="","",IF(E79&gt;O79,"BUY","SELL"))</f>
        <v>BUY</v>
      </c>
      <c r="X79" s="32" t="str">
        <f aca="false">IF(T79="","",IF(S79&gt;T79,"BUY","SELL"))</f>
        <v>BUY</v>
      </c>
      <c r="Y79" s="34" t="n">
        <f aca="false">IF(OR(V79="",W79="",X79=""),"",IFERROR(IF(V79="BUY",1,IF(V79="SELL",-1,0))+IF(W79="BUY",1,IF(W79="SELL",-1,0))+IF(X79="BUY",1,IF(X79="SELL",-1,0)),0))</f>
        <v>2</v>
      </c>
      <c r="Z79" s="32" t="str">
        <f aca="false">IF(Y79="","",IF(Y79&gt;=2,"STRONG BUY",IF(Y79=1,"BUY",IF(Y79=0,"HOLD",IF(Y79=-1,"SELL","STRONG SELL")))))</f>
        <v>STRONG BUY</v>
      </c>
    </row>
    <row r="80" customFormat="false" ht="15" hidden="false" customHeight="false" outlineLevel="0" collapsed="false">
      <c r="A80" s="24" t="n">
        <v>45880</v>
      </c>
      <c r="B80" s="25" t="n">
        <v>1408.95</v>
      </c>
      <c r="C80" s="25" t="n">
        <v>1409.8</v>
      </c>
      <c r="D80" s="25" t="n">
        <v>1393</v>
      </c>
      <c r="E80" s="25" t="n">
        <v>1401.4</v>
      </c>
      <c r="F80" s="26" t="n">
        <v>7622862</v>
      </c>
      <c r="G80" s="27" t="n">
        <f aca="false">E80-E79</f>
        <v>12.1000000000001</v>
      </c>
      <c r="H80" s="28" t="n">
        <f aca="false">G80/E79</f>
        <v>0.00870942201108482</v>
      </c>
      <c r="I80" s="29" t="n">
        <f aca="false">MAX(G80,0)</f>
        <v>12.1000000000001</v>
      </c>
      <c r="J80" s="29" t="n">
        <f aca="false">MAX(-G80,0)</f>
        <v>0</v>
      </c>
      <c r="K80" s="29" t="n">
        <f aca="false">(K79*13+I80)/14</f>
        <v>6.0479028539856</v>
      </c>
      <c r="L80" s="29" t="n">
        <f aca="false">(L79*13+J80)/14</f>
        <v>3.88680066524154</v>
      </c>
      <c r="M80" s="31" t="n">
        <f aca="false">IF(L80=0,100,100-100/(1+K80/MAX(L80,0.000001)))</f>
        <v>60.8765308625545</v>
      </c>
      <c r="N80" s="30" t="n">
        <f aca="false">AVERAGE(E61:E80)</f>
        <v>1380.08</v>
      </c>
      <c r="O80" s="30" t="n">
        <f aca="false">AVERAGE(E31:E80)</f>
        <v>1351.178</v>
      </c>
      <c r="Q80" s="30" t="n">
        <f aca="false">Q79+(2/13)*(E80-Q79)</f>
        <v>1388.41848841137</v>
      </c>
      <c r="R80" s="30" t="n">
        <f aca="false">R79+(2/27)*(E80-R79)</f>
        <v>1373.98538925375</v>
      </c>
      <c r="S80" s="33" t="n">
        <f aca="false">Q80-R80</f>
        <v>14.4330991576132</v>
      </c>
      <c r="T80" s="33" t="n">
        <f aca="false">T79+(2/10)*(S80-T79)</f>
        <v>12.6964626971324</v>
      </c>
      <c r="U80" s="33" t="n">
        <f aca="false">S80-T80</f>
        <v>1.73663646048085</v>
      </c>
      <c r="V80" s="32" t="str">
        <f aca="false">IF(M80="","",IF(M80&lt;Assumptions!$B$5,"BUY",IF(M80&gt;Assumptions!$B$4,"SELL","HOLD")))</f>
        <v>HOLD</v>
      </c>
      <c r="W80" s="32" t="str">
        <f aca="false">IF(O80="","",IF(E80&gt;O80,"BUY","SELL"))</f>
        <v>BUY</v>
      </c>
      <c r="X80" s="32" t="str">
        <f aca="false">IF(T80="","",IF(S80&gt;T80,"BUY","SELL"))</f>
        <v>BUY</v>
      </c>
      <c r="Y80" s="34" t="n">
        <f aca="false">IF(OR(V80="",W80="",X80=""),"",IFERROR(IF(V80="BUY",1,IF(V80="SELL",-1,0))+IF(W80="BUY",1,IF(W80="SELL",-1,0))+IF(X80="BUY",1,IF(X80="SELL",-1,0)),0))</f>
        <v>2</v>
      </c>
      <c r="Z80" s="32" t="str">
        <f aca="false">IF(Y80="","",IF(Y80&gt;=2,"STRONG BUY",IF(Y80=1,"BUY",IF(Y80=0,"HOLD",IF(Y80=-1,"SELL","STRONG SELL")))))</f>
        <v>STRONG BUY</v>
      </c>
    </row>
    <row r="81" customFormat="false" ht="15" hidden="false" customHeight="false" outlineLevel="0" collapsed="false">
      <c r="A81" s="24" t="n">
        <v>45881</v>
      </c>
      <c r="B81" s="25" t="n">
        <v>1386.35</v>
      </c>
      <c r="C81" s="25" t="n">
        <v>1410.91</v>
      </c>
      <c r="D81" s="25" t="n">
        <v>1377.91</v>
      </c>
      <c r="E81" s="25" t="n">
        <v>1394.41</v>
      </c>
      <c r="F81" s="26" t="n">
        <v>6414406</v>
      </c>
      <c r="G81" s="27" t="n">
        <f aca="false">E81-E80</f>
        <v>-6.99000000000001</v>
      </c>
      <c r="H81" s="28" t="n">
        <f aca="false">G81/E80</f>
        <v>-0.00498786927358357</v>
      </c>
      <c r="I81" s="29" t="n">
        <f aca="false">MAX(G81,0)</f>
        <v>0</v>
      </c>
      <c r="J81" s="29" t="n">
        <f aca="false">MAX(-G81,0)</f>
        <v>6.99000000000001</v>
      </c>
      <c r="K81" s="29" t="n">
        <f aca="false">(K80*13+I81)/14</f>
        <v>5.61590979298663</v>
      </c>
      <c r="L81" s="29" t="n">
        <f aca="false">(L80*13+J81)/14</f>
        <v>4.10845776058143</v>
      </c>
      <c r="M81" s="31" t="n">
        <f aca="false">IF(L81=0,100,100-100/(1+K81/MAX(L81,0.000001)))</f>
        <v>57.7509001181886</v>
      </c>
      <c r="N81" s="30" t="n">
        <f aca="false">AVERAGE(E62:E81)</f>
        <v>1381.969</v>
      </c>
      <c r="O81" s="30" t="n">
        <f aca="false">AVERAGE(E32:E81)</f>
        <v>1351.6372</v>
      </c>
      <c r="Q81" s="30" t="n">
        <f aca="false">Q80+(2/13)*(E81-Q80)</f>
        <v>1389.340259425</v>
      </c>
      <c r="R81" s="30" t="n">
        <f aca="false">R80+(2/27)*(E81-R80)</f>
        <v>1375.4983233831</v>
      </c>
      <c r="S81" s="33" t="n">
        <f aca="false">Q81-R81</f>
        <v>13.8419360418975</v>
      </c>
      <c r="T81" s="33" t="n">
        <f aca="false">T80+(2/10)*(S81-T80)</f>
        <v>12.9255573660854</v>
      </c>
      <c r="U81" s="33" t="n">
        <f aca="false">S81-T81</f>
        <v>0.916378675812084</v>
      </c>
      <c r="V81" s="32" t="str">
        <f aca="false">IF(M81="","",IF(M81&lt;Assumptions!$B$5,"BUY",IF(M81&gt;Assumptions!$B$4,"SELL","HOLD")))</f>
        <v>HOLD</v>
      </c>
      <c r="W81" s="32" t="str">
        <f aca="false">IF(O81="","",IF(E81&gt;O81,"BUY","SELL"))</f>
        <v>BUY</v>
      </c>
      <c r="X81" s="32" t="str">
        <f aca="false">IF(T81="","",IF(S81&gt;T81,"BUY","SELL"))</f>
        <v>BUY</v>
      </c>
      <c r="Y81" s="34" t="n">
        <f aca="false">IF(OR(V81="",W81="",X81=""),"",IFERROR(IF(V81="BUY",1,IF(V81="SELL",-1,0))+IF(W81="BUY",1,IF(W81="SELL",-1,0))+IF(X81="BUY",1,IF(X81="SELL",-1,0)),0))</f>
        <v>2</v>
      </c>
      <c r="Z81" s="32" t="str">
        <f aca="false">IF(Y81="","",IF(Y81&gt;=2,"STRONG BUY",IF(Y81=1,"BUY",IF(Y81=0,"HOLD",IF(Y81=-1,"SELL","STRONG SELL")))))</f>
        <v>STRONG BUY</v>
      </c>
    </row>
    <row r="82" customFormat="false" ht="15" hidden="false" customHeight="false" outlineLevel="0" collapsed="false">
      <c r="A82" s="24" t="n">
        <v>45882</v>
      </c>
      <c r="B82" s="25" t="n">
        <v>1391.51</v>
      </c>
      <c r="C82" s="25" t="n">
        <v>1404.57</v>
      </c>
      <c r="D82" s="25" t="n">
        <v>1382.77</v>
      </c>
      <c r="E82" s="25" t="n">
        <v>1393.67</v>
      </c>
      <c r="F82" s="26" t="n">
        <v>5226716</v>
      </c>
      <c r="G82" s="27" t="n">
        <f aca="false">E82-E81</f>
        <v>-0.740000000000009</v>
      </c>
      <c r="H82" s="28" t="n">
        <f aca="false">G82/E81</f>
        <v>-0.000530690399523819</v>
      </c>
      <c r="I82" s="29" t="n">
        <f aca="false">MAX(G82,0)</f>
        <v>0</v>
      </c>
      <c r="J82" s="29" t="n">
        <f aca="false">MAX(-G82,0)</f>
        <v>0.740000000000009</v>
      </c>
      <c r="K82" s="29" t="n">
        <f aca="false">(K81*13+I82)/14</f>
        <v>5.21477337920187</v>
      </c>
      <c r="L82" s="29" t="n">
        <f aca="false">(L81*13+J82)/14</f>
        <v>3.86785363482561</v>
      </c>
      <c r="M82" s="31" t="n">
        <f aca="false">IF(L82=0,100,100-100/(1+K82/MAX(L82,0.000001)))</f>
        <v>57.4148137003536</v>
      </c>
      <c r="N82" s="30" t="n">
        <f aca="false">AVERAGE(E63:E82)</f>
        <v>1383.505</v>
      </c>
      <c r="O82" s="30" t="n">
        <f aca="false">AVERAGE(E33:E82)</f>
        <v>1351.885</v>
      </c>
      <c r="Q82" s="30" t="n">
        <f aca="false">Q81+(2/13)*(E82-Q81)</f>
        <v>1390.00637335962</v>
      </c>
      <c r="R82" s="30" t="n">
        <f aca="false">R81+(2/27)*(E82-R81)</f>
        <v>1376.84437350287</v>
      </c>
      <c r="S82" s="33" t="n">
        <f aca="false">Q82-R82</f>
        <v>13.1619998567426</v>
      </c>
      <c r="T82" s="33" t="n">
        <f aca="false">T81+(2/10)*(S82-T81)</f>
        <v>12.9728458642168</v>
      </c>
      <c r="U82" s="33" t="n">
        <f aca="false">S82-T82</f>
        <v>0.189153992525723</v>
      </c>
      <c r="V82" s="32" t="str">
        <f aca="false">IF(M82="","",IF(M82&lt;Assumptions!$B$5,"BUY",IF(M82&gt;Assumptions!$B$4,"SELL","HOLD")))</f>
        <v>HOLD</v>
      </c>
      <c r="W82" s="32" t="str">
        <f aca="false">IF(O82="","",IF(E82&gt;O82,"BUY","SELL"))</f>
        <v>BUY</v>
      </c>
      <c r="X82" s="32" t="str">
        <f aca="false">IF(T82="","",IF(S82&gt;T82,"BUY","SELL"))</f>
        <v>BUY</v>
      </c>
      <c r="Y82" s="34" t="n">
        <f aca="false">IF(OR(V82="",W82="",X82=""),"",IFERROR(IF(V82="BUY",1,IF(V82="SELL",-1,0))+IF(W82="BUY",1,IF(W82="SELL",-1,0))+IF(X82="BUY",1,IF(X82="SELL",-1,0)),0))</f>
        <v>2</v>
      </c>
      <c r="Z82" s="32" t="str">
        <f aca="false">IF(Y82="","",IF(Y82&gt;=2,"STRONG BUY",IF(Y82=1,"BUY",IF(Y82=0,"HOLD",IF(Y82=-1,"SELL","STRONG SELL")))))</f>
        <v>STRONG BUY</v>
      </c>
    </row>
    <row r="83" customFormat="false" ht="15" hidden="false" customHeight="false" outlineLevel="0" collapsed="false">
      <c r="A83" s="24" t="n">
        <v>45883</v>
      </c>
      <c r="B83" s="25" t="n">
        <v>1401.99</v>
      </c>
      <c r="C83" s="25" t="n">
        <v>1409.06</v>
      </c>
      <c r="D83" s="25" t="n">
        <v>1397.42</v>
      </c>
      <c r="E83" s="25" t="n">
        <v>1403.24</v>
      </c>
      <c r="F83" s="26" t="n">
        <v>5166636</v>
      </c>
      <c r="G83" s="27" t="n">
        <f aca="false">E83-E82</f>
        <v>9.56999999999994</v>
      </c>
      <c r="H83" s="28" t="n">
        <f aca="false">G83/E82</f>
        <v>0.00686676185897661</v>
      </c>
      <c r="I83" s="29" t="n">
        <f aca="false">MAX(G83,0)</f>
        <v>9.56999999999994</v>
      </c>
      <c r="J83" s="29" t="n">
        <f aca="false">MAX(-G83,0)</f>
        <v>0</v>
      </c>
      <c r="K83" s="29" t="n">
        <f aca="false">(K82*13+I83)/14</f>
        <v>5.52586099497316</v>
      </c>
      <c r="L83" s="29" t="n">
        <f aca="false">(L82*13+J83)/14</f>
        <v>3.59157837519521</v>
      </c>
      <c r="M83" s="31" t="n">
        <f aca="false">IF(L83=0,100,100-100/(1+K83/MAX(L83,0.000001)))</f>
        <v>60.6075979298902</v>
      </c>
      <c r="N83" s="30" t="n">
        <f aca="false">AVERAGE(E64:E83)</f>
        <v>1384.998</v>
      </c>
      <c r="O83" s="30" t="n">
        <f aca="false">AVERAGE(E34:E83)</f>
        <v>1352.5968</v>
      </c>
      <c r="Q83" s="30" t="n">
        <f aca="false">Q82+(2/13)*(E83-Q82)</f>
        <v>1392.04231591968</v>
      </c>
      <c r="R83" s="30" t="n">
        <f aca="false">R82+(2/27)*(E83-R82)</f>
        <v>1378.79960509525</v>
      </c>
      <c r="S83" s="33" t="n">
        <f aca="false">Q83-R83</f>
        <v>13.2427108244217</v>
      </c>
      <c r="T83" s="33" t="n">
        <f aca="false">T82+(2/10)*(S83-T82)</f>
        <v>13.0268188562578</v>
      </c>
      <c r="U83" s="33" t="n">
        <f aca="false">S83-T83</f>
        <v>0.215891968163877</v>
      </c>
      <c r="V83" s="32" t="str">
        <f aca="false">IF(M83="","",IF(M83&lt;Assumptions!$B$5,"BUY",IF(M83&gt;Assumptions!$B$4,"SELL","HOLD")))</f>
        <v>HOLD</v>
      </c>
      <c r="W83" s="32" t="str">
        <f aca="false">IF(O83="","",IF(E83&gt;O83,"BUY","SELL"))</f>
        <v>BUY</v>
      </c>
      <c r="X83" s="32" t="str">
        <f aca="false">IF(T83="","",IF(S83&gt;T83,"BUY","SELL"))</f>
        <v>BUY</v>
      </c>
      <c r="Y83" s="34" t="n">
        <f aca="false">IF(OR(V83="",W83="",X83=""),"",IFERROR(IF(V83="BUY",1,IF(V83="SELL",-1,0))+IF(W83="BUY",1,IF(W83="SELL",-1,0))+IF(X83="BUY",1,IF(X83="SELL",-1,0)),0))</f>
        <v>2</v>
      </c>
      <c r="Z83" s="32" t="str">
        <f aca="false">IF(Y83="","",IF(Y83&gt;=2,"STRONG BUY",IF(Y83=1,"BUY",IF(Y83=0,"HOLD",IF(Y83=-1,"SELL","STRONG SELL")))))</f>
        <v>STRONG BUY</v>
      </c>
    </row>
    <row r="84" customFormat="false" ht="15" hidden="false" customHeight="false" outlineLevel="0" collapsed="false">
      <c r="A84" s="24" t="n">
        <v>45884</v>
      </c>
      <c r="B84" s="25" t="n">
        <v>1400.77</v>
      </c>
      <c r="C84" s="25" t="n">
        <v>1400.77</v>
      </c>
      <c r="D84" s="25" t="n">
        <v>1387.77</v>
      </c>
      <c r="E84" s="25" t="n">
        <v>1394.27</v>
      </c>
      <c r="F84" s="26" t="n">
        <v>4133200</v>
      </c>
      <c r="G84" s="27" t="n">
        <f aca="false">E84-E83</f>
        <v>-8.97000000000003</v>
      </c>
      <c r="H84" s="28" t="n">
        <f aca="false">G84/E83</f>
        <v>-0.00639234913485935</v>
      </c>
      <c r="I84" s="29" t="n">
        <f aca="false">MAX(G84,0)</f>
        <v>0</v>
      </c>
      <c r="J84" s="29" t="n">
        <f aca="false">MAX(-G84,0)</f>
        <v>8.97000000000003</v>
      </c>
      <c r="K84" s="29" t="n">
        <f aca="false">(K83*13+I84)/14</f>
        <v>5.13115663818936</v>
      </c>
      <c r="L84" s="29" t="n">
        <f aca="false">(L83*13+J84)/14</f>
        <v>3.97575134839556</v>
      </c>
      <c r="M84" s="31" t="n">
        <f aca="false">IF(L84=0,100,100-100/(1+K84/MAX(L84,0.000001)))</f>
        <v>56.3435651897208</v>
      </c>
      <c r="N84" s="30" t="n">
        <f aca="false">AVERAGE(E65:E84)</f>
        <v>1385.1485</v>
      </c>
      <c r="O84" s="30" t="n">
        <f aca="false">AVERAGE(E35:E84)</f>
        <v>1352.9862</v>
      </c>
      <c r="Q84" s="30" t="n">
        <f aca="false">Q83+(2/13)*(E84-Q83)</f>
        <v>1392.38503654742</v>
      </c>
      <c r="R84" s="30" t="n">
        <f aca="false">R83+(2/27)*(E84-R83)</f>
        <v>1379.94556027338</v>
      </c>
      <c r="S84" s="33" t="n">
        <f aca="false">Q84-R84</f>
        <v>12.4394762740346</v>
      </c>
      <c r="T84" s="33" t="n">
        <f aca="false">T83+(2/10)*(S84-T83)</f>
        <v>12.9093503398132</v>
      </c>
      <c r="U84" s="33" t="n">
        <f aca="false">S84-T84</f>
        <v>-0.469874065778546</v>
      </c>
      <c r="V84" s="32" t="str">
        <f aca="false">IF(M84="","",IF(M84&lt;Assumptions!$B$5,"BUY",IF(M84&gt;Assumptions!$B$4,"SELL","HOLD")))</f>
        <v>HOLD</v>
      </c>
      <c r="W84" s="32" t="str">
        <f aca="false">IF(O84="","",IF(E84&gt;O84,"BUY","SELL"))</f>
        <v>BUY</v>
      </c>
      <c r="X84" s="32" t="str">
        <f aca="false">IF(T84="","",IF(S84&gt;T84,"BUY","SELL"))</f>
        <v>SELL</v>
      </c>
      <c r="Y84" s="34" t="n">
        <f aca="false">IF(OR(V84="",W84="",X84=""),"",IFERROR(IF(V84="BUY",1,IF(V84="SELL",-1,0))+IF(W84="BUY",1,IF(W84="SELL",-1,0))+IF(X84="BUY",1,IF(X84="SELL",-1,0)),0))</f>
        <v>0</v>
      </c>
      <c r="Z84" s="32" t="str">
        <f aca="false">IF(Y84="","",IF(Y84&gt;=2,"STRONG BUY",IF(Y84=1,"BUY",IF(Y84=0,"HOLD",IF(Y84=-1,"SELL","STRONG SELL")))))</f>
        <v>HOLD</v>
      </c>
    </row>
    <row r="85" customFormat="false" ht="15" hidden="false" customHeight="false" outlineLevel="0" collapsed="false">
      <c r="A85" s="24" t="n">
        <v>45887</v>
      </c>
      <c r="B85" s="25" t="n">
        <v>1387.9</v>
      </c>
      <c r="C85" s="25" t="n">
        <v>1393.56</v>
      </c>
      <c r="D85" s="25" t="n">
        <v>1387.9</v>
      </c>
      <c r="E85" s="25" t="n">
        <v>1390.73</v>
      </c>
      <c r="F85" s="26" t="n">
        <v>5186066</v>
      </c>
      <c r="G85" s="27" t="n">
        <f aca="false">E85-E84</f>
        <v>-3.53999999999996</v>
      </c>
      <c r="H85" s="28" t="n">
        <f aca="false">G85/E84</f>
        <v>-0.00253896304159163</v>
      </c>
      <c r="I85" s="29" t="n">
        <f aca="false">MAX(G85,0)</f>
        <v>0</v>
      </c>
      <c r="J85" s="29" t="n">
        <f aca="false">MAX(-G85,0)</f>
        <v>3.53999999999996</v>
      </c>
      <c r="K85" s="29" t="n">
        <f aca="false">(K84*13+I85)/14</f>
        <v>4.76464544974726</v>
      </c>
      <c r="L85" s="29" t="n">
        <f aca="false">(L84*13+J85)/14</f>
        <v>3.94462625208159</v>
      </c>
      <c r="M85" s="31" t="n">
        <f aca="false">IF(L85=0,100,100-100/(1+K85/MAX(L85,0.000001)))</f>
        <v>54.7077369138311</v>
      </c>
      <c r="N85" s="30" t="n">
        <f aca="false">AVERAGE(E66:E85)</f>
        <v>1385.174</v>
      </c>
      <c r="O85" s="30" t="n">
        <f aca="false">AVERAGE(E36:E85)</f>
        <v>1353.6744</v>
      </c>
      <c r="Q85" s="30" t="n">
        <f aca="false">Q84+(2/13)*(E85-Q84)</f>
        <v>1392.13041554012</v>
      </c>
      <c r="R85" s="30" t="n">
        <f aca="false">R84+(2/27)*(E85-R84)</f>
        <v>1380.74440766054</v>
      </c>
      <c r="S85" s="33" t="n">
        <f aca="false">Q85-R85</f>
        <v>11.3860078795828</v>
      </c>
      <c r="T85" s="33" t="n">
        <f aca="false">T84+(2/10)*(S85-T84)</f>
        <v>12.6046818477671</v>
      </c>
      <c r="U85" s="33" t="n">
        <f aca="false">S85-T85</f>
        <v>-1.21867396818426</v>
      </c>
      <c r="V85" s="32" t="str">
        <f aca="false">IF(M85="","",IF(M85&lt;Assumptions!$B$5,"BUY",IF(M85&gt;Assumptions!$B$4,"SELL","HOLD")))</f>
        <v>HOLD</v>
      </c>
      <c r="W85" s="32" t="str">
        <f aca="false">IF(O85="","",IF(E85&gt;O85,"BUY","SELL"))</f>
        <v>BUY</v>
      </c>
      <c r="X85" s="32" t="str">
        <f aca="false">IF(T85="","",IF(S85&gt;T85,"BUY","SELL"))</f>
        <v>SELL</v>
      </c>
      <c r="Y85" s="34" t="n">
        <f aca="false">IF(OR(V85="",W85="",X85=""),"",IFERROR(IF(V85="BUY",1,IF(V85="SELL",-1,0))+IF(W85="BUY",1,IF(W85="SELL",-1,0))+IF(X85="BUY",1,IF(X85="SELL",-1,0)),0))</f>
        <v>0</v>
      </c>
      <c r="Z85" s="32" t="str">
        <f aca="false">IF(Y85="","",IF(Y85&gt;=2,"STRONG BUY",IF(Y85=1,"BUY",IF(Y85=0,"HOLD",IF(Y85=-1,"SELL","STRONG SELL")))))</f>
        <v>HOLD</v>
      </c>
    </row>
    <row r="86" customFormat="false" ht="15" hidden="false" customHeight="false" outlineLevel="0" collapsed="false">
      <c r="A86" s="24" t="n">
        <v>45888</v>
      </c>
      <c r="B86" s="25" t="n">
        <v>1367.12</v>
      </c>
      <c r="C86" s="25" t="n">
        <v>1369.39</v>
      </c>
      <c r="D86" s="25" t="n">
        <v>1366.63</v>
      </c>
      <c r="E86" s="25" t="n">
        <v>1368.01</v>
      </c>
      <c r="F86" s="26" t="n">
        <v>3225883</v>
      </c>
      <c r="G86" s="27" t="n">
        <f aca="false">E86-E85</f>
        <v>-22.72</v>
      </c>
      <c r="H86" s="28" t="n">
        <f aca="false">G86/E85</f>
        <v>-0.0163367440121375</v>
      </c>
      <c r="I86" s="29" t="n">
        <f aca="false">MAX(G86,0)</f>
        <v>0</v>
      </c>
      <c r="J86" s="29" t="n">
        <f aca="false">MAX(-G86,0)</f>
        <v>22.72</v>
      </c>
      <c r="K86" s="29" t="n">
        <f aca="false">(K85*13+I86)/14</f>
        <v>4.42431363190817</v>
      </c>
      <c r="L86" s="29" t="n">
        <f aca="false">(L85*13+J86)/14</f>
        <v>5.2857243769329</v>
      </c>
      <c r="M86" s="31" t="n">
        <f aca="false">IF(L86=0,100,100-100/(1+K86/MAX(L86,0.000001)))</f>
        <v>45.564328665653</v>
      </c>
      <c r="N86" s="30" t="n">
        <f aca="false">AVERAGE(E67:E86)</f>
        <v>1384.941</v>
      </c>
      <c r="O86" s="30" t="n">
        <f aca="false">AVERAGE(E37:E86)</f>
        <v>1354.5376</v>
      </c>
      <c r="Q86" s="30" t="n">
        <f aca="false">Q85+(2/13)*(E86-Q85)</f>
        <v>1388.4195823801</v>
      </c>
      <c r="R86" s="30" t="n">
        <f aca="false">R85+(2/27)*(E86-R85)</f>
        <v>1379.8011182042</v>
      </c>
      <c r="S86" s="33" t="n">
        <f aca="false">Q86-R86</f>
        <v>8.61846417590027</v>
      </c>
      <c r="T86" s="33" t="n">
        <f aca="false">T85+(2/10)*(S86-T85)</f>
        <v>11.8074383133937</v>
      </c>
      <c r="U86" s="33" t="n">
        <f aca="false">S86-T86</f>
        <v>-3.18897413749347</v>
      </c>
      <c r="V86" s="32" t="str">
        <f aca="false">IF(M86="","",IF(M86&lt;Assumptions!$B$5,"BUY",IF(M86&gt;Assumptions!$B$4,"SELL","HOLD")))</f>
        <v>HOLD</v>
      </c>
      <c r="W86" s="32" t="str">
        <f aca="false">IF(O86="","",IF(E86&gt;O86,"BUY","SELL"))</f>
        <v>BUY</v>
      </c>
      <c r="X86" s="32" t="str">
        <f aca="false">IF(T86="","",IF(S86&gt;T86,"BUY","SELL"))</f>
        <v>SELL</v>
      </c>
      <c r="Y86" s="34" t="n">
        <f aca="false">IF(OR(V86="",W86="",X86=""),"",IFERROR(IF(V86="BUY",1,IF(V86="SELL",-1,0))+IF(W86="BUY",1,IF(W86="SELL",-1,0))+IF(X86="BUY",1,IF(X86="SELL",-1,0)),0))</f>
        <v>0</v>
      </c>
      <c r="Z86" s="32" t="str">
        <f aca="false">IF(Y86="","",IF(Y86&gt;=2,"STRONG BUY",IF(Y86=1,"BUY",IF(Y86=0,"HOLD",IF(Y86=-1,"SELL","STRONG SELL")))))</f>
        <v>HOLD</v>
      </c>
    </row>
    <row r="87" customFormat="false" ht="15" hidden="false" customHeight="false" outlineLevel="0" collapsed="false">
      <c r="A87" s="24" t="n">
        <v>45889</v>
      </c>
      <c r="B87" s="25" t="n">
        <v>1361.35</v>
      </c>
      <c r="C87" s="25" t="n">
        <v>1361.35</v>
      </c>
      <c r="D87" s="25" t="n">
        <v>1348.41</v>
      </c>
      <c r="E87" s="25" t="n">
        <v>1354.88</v>
      </c>
      <c r="F87" s="26" t="n">
        <v>5425509</v>
      </c>
      <c r="G87" s="27" t="n">
        <f aca="false">E87-E86</f>
        <v>-13.1299999999999</v>
      </c>
      <c r="H87" s="28" t="n">
        <f aca="false">G87/E86</f>
        <v>-0.00959788305641032</v>
      </c>
      <c r="I87" s="29" t="n">
        <f aca="false">MAX(G87,0)</f>
        <v>0</v>
      </c>
      <c r="J87" s="29" t="n">
        <f aca="false">MAX(-G87,0)</f>
        <v>13.1299999999999</v>
      </c>
      <c r="K87" s="29" t="n">
        <f aca="false">(K86*13+I87)/14</f>
        <v>4.10829122962902</v>
      </c>
      <c r="L87" s="29" t="n">
        <f aca="false">(L86*13+J87)/14</f>
        <v>5.84602977858054</v>
      </c>
      <c r="M87" s="31" t="n">
        <f aca="false">IF(L87=0,100,100-100/(1+K87/MAX(L87,0.000001)))</f>
        <v>41.2714360551645</v>
      </c>
      <c r="N87" s="30" t="n">
        <f aca="false">AVERAGE(E68:E87)</f>
        <v>1384.3725</v>
      </c>
      <c r="O87" s="30" t="n">
        <f aca="false">AVERAGE(E38:E87)</f>
        <v>1355.2798</v>
      </c>
      <c r="Q87" s="30" t="n">
        <f aca="false">Q86+(2/13)*(E87-Q86)</f>
        <v>1383.25964662932</v>
      </c>
      <c r="R87" s="30" t="n">
        <f aca="false">R86+(2/27)*(E87-R86)</f>
        <v>1377.95510944834</v>
      </c>
      <c r="S87" s="33" t="n">
        <f aca="false">Q87-R87</f>
        <v>5.30453718098192</v>
      </c>
      <c r="T87" s="33" t="n">
        <f aca="false">T86+(2/10)*(S87-T86)</f>
        <v>10.5068580869114</v>
      </c>
      <c r="U87" s="33" t="n">
        <f aca="false">S87-T87</f>
        <v>-5.20232090592946</v>
      </c>
      <c r="V87" s="32" t="str">
        <f aca="false">IF(M87="","",IF(M87&lt;Assumptions!$B$5,"BUY",IF(M87&gt;Assumptions!$B$4,"SELL","HOLD")))</f>
        <v>HOLD</v>
      </c>
      <c r="W87" s="32" t="str">
        <f aca="false">IF(O87="","",IF(E87&gt;O87,"BUY","SELL"))</f>
        <v>SELL</v>
      </c>
      <c r="X87" s="32" t="str">
        <f aca="false">IF(T87="","",IF(S87&gt;T87,"BUY","SELL"))</f>
        <v>SELL</v>
      </c>
      <c r="Y87" s="34" t="n">
        <f aca="false">IF(OR(V87="",W87="",X87=""),"",IFERROR(IF(V87="BUY",1,IF(V87="SELL",-1,0))+IF(W87="BUY",1,IF(W87="SELL",-1,0))+IF(X87="BUY",1,IF(X87="SELL",-1,0)),0))</f>
        <v>-2</v>
      </c>
      <c r="Z87" s="32" t="str">
        <f aca="false">IF(Y87="","",IF(Y87&gt;=2,"STRONG BUY",IF(Y87=1,"BUY",IF(Y87=0,"HOLD",IF(Y87=-1,"SELL","STRONG SELL")))))</f>
        <v>STRONG SELL</v>
      </c>
    </row>
    <row r="88" customFormat="false" ht="15" hidden="false" customHeight="false" outlineLevel="0" collapsed="false">
      <c r="A88" s="24" t="n">
        <v>45890</v>
      </c>
      <c r="B88" s="25" t="n">
        <v>1352.64</v>
      </c>
      <c r="C88" s="25" t="n">
        <v>1354.03</v>
      </c>
      <c r="D88" s="25" t="n">
        <v>1342.19</v>
      </c>
      <c r="E88" s="25" t="n">
        <v>1348.11</v>
      </c>
      <c r="F88" s="26" t="n">
        <v>6623975</v>
      </c>
      <c r="G88" s="27" t="n">
        <f aca="false">E88-E87</f>
        <v>-6.77000000000021</v>
      </c>
      <c r="H88" s="28" t="n">
        <f aca="false">G88/E87</f>
        <v>-0.00499675247992458</v>
      </c>
      <c r="I88" s="29" t="n">
        <f aca="false">MAX(G88,0)</f>
        <v>0</v>
      </c>
      <c r="J88" s="29" t="n">
        <f aca="false">MAX(-G88,0)</f>
        <v>6.77000000000021</v>
      </c>
      <c r="K88" s="29" t="n">
        <f aca="false">(K87*13+I88)/14</f>
        <v>3.81484185608409</v>
      </c>
      <c r="L88" s="29" t="n">
        <f aca="false">(L87*13+J88)/14</f>
        <v>5.91202765153909</v>
      </c>
      <c r="M88" s="31" t="n">
        <f aca="false">IF(L88=0,100,100-100/(1+K88/MAX(L88,0.000001)))</f>
        <v>39.2196261407054</v>
      </c>
      <c r="N88" s="30" t="n">
        <f aca="false">AVERAGE(E69:E88)</f>
        <v>1382.87</v>
      </c>
      <c r="O88" s="30" t="n">
        <f aca="false">AVERAGE(E39:E88)</f>
        <v>1356.1004</v>
      </c>
      <c r="Q88" s="30" t="n">
        <f aca="false">Q87+(2/13)*(E88-Q87)</f>
        <v>1377.85200868635</v>
      </c>
      <c r="R88" s="30" t="n">
        <f aca="false">R87+(2/27)*(E88-R87)</f>
        <v>1375.74436060031</v>
      </c>
      <c r="S88" s="33" t="n">
        <f aca="false">Q88-R88</f>
        <v>2.10764808603471</v>
      </c>
      <c r="T88" s="33" t="n">
        <f aca="false">T87+(2/10)*(S88-T87)</f>
        <v>8.82701608673605</v>
      </c>
      <c r="U88" s="33" t="n">
        <f aca="false">S88-T88</f>
        <v>-6.71936800070133</v>
      </c>
      <c r="V88" s="32" t="str">
        <f aca="false">IF(M88="","",IF(M88&lt;Assumptions!$B$5,"BUY",IF(M88&gt;Assumptions!$B$4,"SELL","HOLD")))</f>
        <v>HOLD</v>
      </c>
      <c r="W88" s="32" t="str">
        <f aca="false">IF(O88="","",IF(E88&gt;O88,"BUY","SELL"))</f>
        <v>SELL</v>
      </c>
      <c r="X88" s="32" t="str">
        <f aca="false">IF(T88="","",IF(S88&gt;T88,"BUY","SELL"))</f>
        <v>SELL</v>
      </c>
      <c r="Y88" s="34" t="n">
        <f aca="false">IF(OR(V88="",W88="",X88=""),"",IFERROR(IF(V88="BUY",1,IF(V88="SELL",-1,0))+IF(W88="BUY",1,IF(W88="SELL",-1,0))+IF(X88="BUY",1,IF(X88="SELL",-1,0)),0))</f>
        <v>-2</v>
      </c>
      <c r="Z88" s="32" t="str">
        <f aca="false">IF(Y88="","",IF(Y88&gt;=2,"STRONG BUY",IF(Y88=1,"BUY",IF(Y88=0,"HOLD",IF(Y88=-1,"SELL","STRONG SELL")))))</f>
        <v>STRONG SELL</v>
      </c>
    </row>
    <row r="89" customFormat="false" ht="15" hidden="false" customHeight="false" outlineLevel="0" collapsed="false">
      <c r="A89" s="24" t="n">
        <v>45891</v>
      </c>
      <c r="B89" s="25" t="n">
        <v>1354.45</v>
      </c>
      <c r="C89" s="25" t="n">
        <v>1355.76</v>
      </c>
      <c r="D89" s="25" t="n">
        <v>1350.84</v>
      </c>
      <c r="E89" s="25" t="n">
        <v>1353.3</v>
      </c>
      <c r="F89" s="26" t="n">
        <v>6512012</v>
      </c>
      <c r="G89" s="27" t="n">
        <f aca="false">E89-E88</f>
        <v>5.19000000000006</v>
      </c>
      <c r="H89" s="28" t="n">
        <f aca="false">G89/E88</f>
        <v>0.00384983421234176</v>
      </c>
      <c r="I89" s="29" t="n">
        <f aca="false">MAX(G89,0)</f>
        <v>5.19000000000006</v>
      </c>
      <c r="J89" s="29" t="n">
        <f aca="false">MAX(-G89,0)</f>
        <v>0</v>
      </c>
      <c r="K89" s="29" t="n">
        <f aca="false">(K88*13+I89)/14</f>
        <v>3.91306743779237</v>
      </c>
      <c r="L89" s="29" t="n">
        <f aca="false">(L88*13+J89)/14</f>
        <v>5.48973996214344</v>
      </c>
      <c r="M89" s="31" t="n">
        <f aca="false">IF(L89=0,100,100-100/(1+K89/MAX(L89,0.000001)))</f>
        <v>41.6159479967556</v>
      </c>
      <c r="N89" s="30" t="n">
        <f aca="false">AVERAGE(E70:E89)</f>
        <v>1382.5095</v>
      </c>
      <c r="O89" s="30" t="n">
        <f aca="false">AVERAGE(E40:E89)</f>
        <v>1356.8152</v>
      </c>
      <c r="Q89" s="30" t="n">
        <f aca="false">Q88+(2/13)*(E89-Q88)</f>
        <v>1374.07477658076</v>
      </c>
      <c r="R89" s="30" t="n">
        <f aca="false">R88+(2/27)*(E89-R88)</f>
        <v>1374.08181537066</v>
      </c>
      <c r="S89" s="33" t="n">
        <f aca="false">Q89-R89</f>
        <v>-0.00703878990429985</v>
      </c>
      <c r="T89" s="33" t="n">
        <f aca="false">T88+(2/10)*(S89-T88)</f>
        <v>7.06020511140798</v>
      </c>
      <c r="U89" s="33" t="n">
        <f aca="false">S89-T89</f>
        <v>-7.06724390131228</v>
      </c>
      <c r="V89" s="32" t="str">
        <f aca="false">IF(M89="","",IF(M89&lt;Assumptions!$B$5,"BUY",IF(M89&gt;Assumptions!$B$4,"SELL","HOLD")))</f>
        <v>HOLD</v>
      </c>
      <c r="W89" s="32" t="str">
        <f aca="false">IF(O89="","",IF(E89&gt;O89,"BUY","SELL"))</f>
        <v>SELL</v>
      </c>
      <c r="X89" s="32" t="str">
        <f aca="false">IF(T89="","",IF(S89&gt;T89,"BUY","SELL"))</f>
        <v>SELL</v>
      </c>
      <c r="Y89" s="34" t="n">
        <f aca="false">IF(OR(V89="",W89="",X89=""),"",IFERROR(IF(V89="BUY",1,IF(V89="SELL",-1,0))+IF(W89="BUY",1,IF(W89="SELL",-1,0))+IF(X89="BUY",1,IF(X89="SELL",-1,0)),0))</f>
        <v>-2</v>
      </c>
      <c r="Z89" s="32" t="str">
        <f aca="false">IF(Y89="","",IF(Y89&gt;=2,"STRONG BUY",IF(Y89=1,"BUY",IF(Y89=0,"HOLD",IF(Y89=-1,"SELL","STRONG SELL")))))</f>
        <v>STRONG SELL</v>
      </c>
    </row>
    <row r="90" customFormat="false" ht="15" hidden="false" customHeight="false" outlineLevel="0" collapsed="false">
      <c r="A90" s="24" t="n">
        <v>45894</v>
      </c>
      <c r="B90" s="25" t="n">
        <v>1367.49</v>
      </c>
      <c r="C90" s="25" t="n">
        <v>1368.61</v>
      </c>
      <c r="D90" s="25" t="n">
        <v>1367.49</v>
      </c>
      <c r="E90" s="25" t="n">
        <v>1368.05</v>
      </c>
      <c r="F90" s="26" t="n">
        <v>5041734</v>
      </c>
      <c r="G90" s="27" t="n">
        <f aca="false">E90-E89</f>
        <v>14.75</v>
      </c>
      <c r="H90" s="28" t="n">
        <f aca="false">G90/E89</f>
        <v>0.0108992832335772</v>
      </c>
      <c r="I90" s="29" t="n">
        <f aca="false">MAX(G90,0)</f>
        <v>14.75</v>
      </c>
      <c r="J90" s="29" t="n">
        <f aca="false">MAX(-G90,0)</f>
        <v>0</v>
      </c>
      <c r="K90" s="29" t="n">
        <f aca="false">(K89*13+I90)/14</f>
        <v>4.68713404937863</v>
      </c>
      <c r="L90" s="29" t="n">
        <f aca="false">(L89*13+J90)/14</f>
        <v>5.0976156791332</v>
      </c>
      <c r="M90" s="31" t="n">
        <f aca="false">IF(L90=0,100,100-100/(1+K90/MAX(L90,0.000001)))</f>
        <v>47.9024418552144</v>
      </c>
      <c r="N90" s="30" t="n">
        <f aca="false">AVERAGE(E71:E90)</f>
        <v>1382.859</v>
      </c>
      <c r="O90" s="30" t="n">
        <f aca="false">AVERAGE(E41:E90)</f>
        <v>1357.6644</v>
      </c>
      <c r="Q90" s="30" t="n">
        <f aca="false">Q89+(2/13)*(E90-Q89)</f>
        <v>1373.14788787602</v>
      </c>
      <c r="R90" s="30" t="n">
        <f aca="false">R89+(2/27)*(E90-R89)</f>
        <v>1373.63501423209</v>
      </c>
      <c r="S90" s="33" t="n">
        <f aca="false">Q90-R90</f>
        <v>-0.487126356068302</v>
      </c>
      <c r="T90" s="33" t="n">
        <f aca="false">T89+(2/10)*(S90-T89)</f>
        <v>5.55073881791272</v>
      </c>
      <c r="U90" s="33" t="n">
        <f aca="false">S90-T90</f>
        <v>-6.03786517398102</v>
      </c>
      <c r="V90" s="32" t="str">
        <f aca="false">IF(M90="","",IF(M90&lt;Assumptions!$B$5,"BUY",IF(M90&gt;Assumptions!$B$4,"SELL","HOLD")))</f>
        <v>HOLD</v>
      </c>
      <c r="W90" s="32" t="str">
        <f aca="false">IF(O90="","",IF(E90&gt;O90,"BUY","SELL"))</f>
        <v>BUY</v>
      </c>
      <c r="X90" s="32" t="str">
        <f aca="false">IF(T90="","",IF(S90&gt;T90,"BUY","SELL"))</f>
        <v>SELL</v>
      </c>
      <c r="Y90" s="34" t="n">
        <f aca="false">IF(OR(V90="",W90="",X90=""),"",IFERROR(IF(V90="BUY",1,IF(V90="SELL",-1,0))+IF(W90="BUY",1,IF(W90="SELL",-1,0))+IF(X90="BUY",1,IF(X90="SELL",-1,0)),0))</f>
        <v>0</v>
      </c>
      <c r="Z90" s="32" t="str">
        <f aca="false">IF(Y90="","",IF(Y90&gt;=2,"STRONG BUY",IF(Y90=1,"BUY",IF(Y90=0,"HOLD",IF(Y90=-1,"SELL","STRONG SELL")))))</f>
        <v>HOLD</v>
      </c>
    </row>
    <row r="91" customFormat="false" ht="15" hidden="false" customHeight="false" outlineLevel="0" collapsed="false">
      <c r="A91" s="24" t="n">
        <v>45895</v>
      </c>
      <c r="B91" s="25" t="n">
        <v>1367.93</v>
      </c>
      <c r="C91" s="25" t="n">
        <v>1383.46</v>
      </c>
      <c r="D91" s="25" t="n">
        <v>1352.46</v>
      </c>
      <c r="E91" s="25" t="n">
        <v>1367.96</v>
      </c>
      <c r="F91" s="26" t="n">
        <v>5723401</v>
      </c>
      <c r="G91" s="27" t="n">
        <f aca="false">E91-E90</f>
        <v>-0.0899999999999182</v>
      </c>
      <c r="H91" s="28" t="n">
        <f aca="false">G91/E90</f>
        <v>-6.57870691860079E-005</v>
      </c>
      <c r="I91" s="29" t="n">
        <f aca="false">MAX(G91,0)</f>
        <v>0</v>
      </c>
      <c r="J91" s="29" t="n">
        <f aca="false">MAX(-G91,0)</f>
        <v>0.0899999999999182</v>
      </c>
      <c r="K91" s="29" t="n">
        <f aca="false">(K90*13+I91)/14</f>
        <v>4.3523387601373</v>
      </c>
      <c r="L91" s="29" t="n">
        <f aca="false">(L90*13+J91)/14</f>
        <v>4.73992884490939</v>
      </c>
      <c r="M91" s="31" t="n">
        <f aca="false">IF(L91=0,100,100-100/(1+K91/MAX(L91,0.000001)))</f>
        <v>47.8685730468549</v>
      </c>
      <c r="N91" s="30" t="n">
        <f aca="false">AVERAGE(E72:E91)</f>
        <v>1383.042</v>
      </c>
      <c r="O91" s="30" t="n">
        <f aca="false">AVERAGE(E42:E91)</f>
        <v>1358.7984</v>
      </c>
      <c r="Q91" s="30" t="n">
        <f aca="false">Q90+(2/13)*(E91-Q90)</f>
        <v>1372.34975127971</v>
      </c>
      <c r="R91" s="30" t="n">
        <f aca="false">R90+(2/27)*(E91-R90)</f>
        <v>1373.21464280749</v>
      </c>
      <c r="S91" s="33" t="n">
        <f aca="false">Q91-R91</f>
        <v>-0.864891527780401</v>
      </c>
      <c r="T91" s="33" t="n">
        <f aca="false">T90+(2/10)*(S91-T90)</f>
        <v>4.2676127487741</v>
      </c>
      <c r="U91" s="33" t="n">
        <f aca="false">S91-T91</f>
        <v>-5.1325042765545</v>
      </c>
      <c r="V91" s="32" t="str">
        <f aca="false">IF(M91="","",IF(M91&lt;Assumptions!$B$5,"BUY",IF(M91&gt;Assumptions!$B$4,"SELL","HOLD")))</f>
        <v>HOLD</v>
      </c>
      <c r="W91" s="32" t="str">
        <f aca="false">IF(O91="","",IF(E91&gt;O91,"BUY","SELL"))</f>
        <v>BUY</v>
      </c>
      <c r="X91" s="32" t="str">
        <f aca="false">IF(T91="","",IF(S91&gt;T91,"BUY","SELL"))</f>
        <v>SELL</v>
      </c>
      <c r="Y91" s="34" t="n">
        <f aca="false">IF(OR(V91="",W91="",X91=""),"",IFERROR(IF(V91="BUY",1,IF(V91="SELL",-1,0))+IF(W91="BUY",1,IF(W91="SELL",-1,0))+IF(X91="BUY",1,IF(X91="SELL",-1,0)),0))</f>
        <v>0</v>
      </c>
      <c r="Z91" s="32" t="str">
        <f aca="false">IF(Y91="","",IF(Y91&gt;=2,"STRONG BUY",IF(Y91=1,"BUY",IF(Y91=0,"HOLD",IF(Y91=-1,"SELL","STRONG SELL")))))</f>
        <v>HOLD</v>
      </c>
    </row>
    <row r="92" customFormat="false" ht="15" hidden="false" customHeight="false" outlineLevel="0" collapsed="false">
      <c r="A92" s="24" t="n">
        <v>45896</v>
      </c>
      <c r="B92" s="25" t="n">
        <v>1372.15</v>
      </c>
      <c r="C92" s="25" t="n">
        <v>1381.49</v>
      </c>
      <c r="D92" s="25" t="n">
        <v>1361.15</v>
      </c>
      <c r="E92" s="25" t="n">
        <v>1371.32</v>
      </c>
      <c r="F92" s="26" t="n">
        <v>6624244</v>
      </c>
      <c r="G92" s="27" t="n">
        <f aca="false">E92-E91</f>
        <v>3.3599999999999</v>
      </c>
      <c r="H92" s="28" t="n">
        <f aca="false">G92/E91</f>
        <v>0.00245621216994642</v>
      </c>
      <c r="I92" s="29" t="n">
        <f aca="false">MAX(G92,0)</f>
        <v>3.3599999999999</v>
      </c>
      <c r="J92" s="29" t="n">
        <f aca="false">MAX(-G92,0)</f>
        <v>0</v>
      </c>
      <c r="K92" s="29" t="n">
        <f aca="false">(K91*13+I92)/14</f>
        <v>4.28145742012748</v>
      </c>
      <c r="L92" s="29" t="n">
        <f aca="false">(L91*13+J92)/14</f>
        <v>4.40136249884444</v>
      </c>
      <c r="M92" s="31" t="n">
        <f aca="false">IF(L92=0,100,100-100/(1+K92/MAX(L92,0.000001)))</f>
        <v>49.3095268597305</v>
      </c>
      <c r="N92" s="30" t="n">
        <f aca="false">AVERAGE(E73:E92)</f>
        <v>1383.5795</v>
      </c>
      <c r="O92" s="30" t="n">
        <f aca="false">AVERAGE(E43:E92)</f>
        <v>1359.7962</v>
      </c>
      <c r="Q92" s="30" t="n">
        <f aca="false">Q91+(2/13)*(E92-Q91)</f>
        <v>1372.19132800591</v>
      </c>
      <c r="R92" s="30" t="n">
        <f aca="false">R91+(2/27)*(E92-R91)</f>
        <v>1373.07429889583</v>
      </c>
      <c r="S92" s="33" t="n">
        <f aca="false">Q92-R92</f>
        <v>-0.882970889916123</v>
      </c>
      <c r="T92" s="33" t="n">
        <f aca="false">T91+(2/10)*(S92-T91)</f>
        <v>3.23749602103605</v>
      </c>
      <c r="U92" s="33" t="n">
        <f aca="false">S92-T92</f>
        <v>-4.12046691095218</v>
      </c>
      <c r="V92" s="32" t="str">
        <f aca="false">IF(M92="","",IF(M92&lt;Assumptions!$B$5,"BUY",IF(M92&gt;Assumptions!$B$4,"SELL","HOLD")))</f>
        <v>HOLD</v>
      </c>
      <c r="W92" s="32" t="str">
        <f aca="false">IF(O92="","",IF(E92&gt;O92,"BUY","SELL"))</f>
        <v>BUY</v>
      </c>
      <c r="X92" s="32" t="str">
        <f aca="false">IF(T92="","",IF(S92&gt;T92,"BUY","SELL"))</f>
        <v>SELL</v>
      </c>
      <c r="Y92" s="34" t="n">
        <f aca="false">IF(OR(V92="",W92="",X92=""),"",IFERROR(IF(V92="BUY",1,IF(V92="SELL",-1,0))+IF(W92="BUY",1,IF(W92="SELL",-1,0))+IF(X92="BUY",1,IF(X92="SELL",-1,0)),0))</f>
        <v>0</v>
      </c>
      <c r="Z92" s="32" t="str">
        <f aca="false">IF(Y92="","",IF(Y92&gt;=2,"STRONG BUY",IF(Y92=1,"BUY",IF(Y92=0,"HOLD",IF(Y92=-1,"SELL","STRONG SELL")))))</f>
        <v>HOLD</v>
      </c>
    </row>
    <row r="93" customFormat="false" ht="15" hidden="false" customHeight="false" outlineLevel="0" collapsed="false">
      <c r="A93" s="24" t="n">
        <v>45897</v>
      </c>
      <c r="B93" s="25" t="n">
        <v>1373.53</v>
      </c>
      <c r="C93" s="25" t="n">
        <v>1373.53</v>
      </c>
      <c r="D93" s="25" t="n">
        <v>1373.53</v>
      </c>
      <c r="E93" s="25" t="n">
        <v>1373.53</v>
      </c>
      <c r="F93" s="26" t="n">
        <v>2530085</v>
      </c>
      <c r="G93" s="27" t="n">
        <f aca="false">E93-E92</f>
        <v>2.21000000000004</v>
      </c>
      <c r="H93" s="28" t="n">
        <f aca="false">G93/E92</f>
        <v>0.00161158591721847</v>
      </c>
      <c r="I93" s="29" t="n">
        <f aca="false">MAX(G93,0)</f>
        <v>2.21000000000004</v>
      </c>
      <c r="J93" s="29" t="n">
        <f aca="false">MAX(-G93,0)</f>
        <v>0</v>
      </c>
      <c r="K93" s="29" t="n">
        <f aca="false">(K92*13+I93)/14</f>
        <v>4.13349617583267</v>
      </c>
      <c r="L93" s="29" t="n">
        <f aca="false">(L92*13+J93)/14</f>
        <v>4.08697946321269</v>
      </c>
      <c r="M93" s="31" t="n">
        <f aca="false">IF(L93=0,100,100-100/(1+K93/MAX(L93,0.000001)))</f>
        <v>50.2829320021279</v>
      </c>
      <c r="N93" s="30" t="n">
        <f aca="false">AVERAGE(E74:E93)</f>
        <v>1383.776</v>
      </c>
      <c r="O93" s="30" t="n">
        <f aca="false">AVERAGE(E44:E93)</f>
        <v>1361.0728</v>
      </c>
      <c r="Q93" s="30" t="n">
        <f aca="false">Q92+(2/13)*(E93-Q92)</f>
        <v>1372.39727754346</v>
      </c>
      <c r="R93" s="30" t="n">
        <f aca="false">R92+(2/27)*(E93-R92)</f>
        <v>1373.10805453317</v>
      </c>
      <c r="S93" s="33" t="n">
        <f aca="false">Q93-R93</f>
        <v>-0.710776989709984</v>
      </c>
      <c r="T93" s="33" t="n">
        <f aca="false">T92+(2/10)*(S93-T92)</f>
        <v>2.44784141888685</v>
      </c>
      <c r="U93" s="33" t="n">
        <f aca="false">S93-T93</f>
        <v>-3.15861840859683</v>
      </c>
      <c r="V93" s="32" t="str">
        <f aca="false">IF(M93="","",IF(M93&lt;Assumptions!$B$5,"BUY",IF(M93&gt;Assumptions!$B$4,"SELL","HOLD")))</f>
        <v>HOLD</v>
      </c>
      <c r="W93" s="32" t="str">
        <f aca="false">IF(O93="","",IF(E93&gt;O93,"BUY","SELL"))</f>
        <v>BUY</v>
      </c>
      <c r="X93" s="32" t="str">
        <f aca="false">IF(T93="","",IF(S93&gt;T93,"BUY","SELL"))</f>
        <v>SELL</v>
      </c>
      <c r="Y93" s="34" t="n">
        <f aca="false">IF(OR(V93="",W93="",X93=""),"",IFERROR(IF(V93="BUY",1,IF(V93="SELL",-1,0))+IF(W93="BUY",1,IF(W93="SELL",-1,0))+IF(X93="BUY",1,IF(X93="SELL",-1,0)),0))</f>
        <v>0</v>
      </c>
      <c r="Z93" s="32" t="str">
        <f aca="false">IF(Y93="","",IF(Y93&gt;=2,"STRONG BUY",IF(Y93=1,"BUY",IF(Y93=0,"HOLD",IF(Y93=-1,"SELL","STRONG SELL")))))</f>
        <v>HOLD</v>
      </c>
    </row>
    <row r="94" customFormat="false" ht="15" hidden="false" customHeight="false" outlineLevel="0" collapsed="false">
      <c r="A94" s="24" t="n">
        <v>45898</v>
      </c>
      <c r="B94" s="25" t="n">
        <v>1379.58</v>
      </c>
      <c r="C94" s="25" t="n">
        <v>1395.21</v>
      </c>
      <c r="D94" s="25" t="n">
        <v>1379.07</v>
      </c>
      <c r="E94" s="25" t="n">
        <v>1387.14</v>
      </c>
      <c r="F94" s="26" t="n">
        <v>6108988</v>
      </c>
      <c r="G94" s="27" t="n">
        <f aca="false">E94-E93</f>
        <v>13.6100000000001</v>
      </c>
      <c r="H94" s="28" t="n">
        <f aca="false">G94/E93</f>
        <v>0.0099087751996681</v>
      </c>
      <c r="I94" s="29" t="n">
        <f aca="false">MAX(G94,0)</f>
        <v>13.6100000000001</v>
      </c>
      <c r="J94" s="29" t="n">
        <f aca="false">MAX(-G94,0)</f>
        <v>0</v>
      </c>
      <c r="K94" s="29" t="n">
        <f aca="false">(K93*13+I94)/14</f>
        <v>4.81038930613034</v>
      </c>
      <c r="L94" s="29" t="n">
        <f aca="false">(L93*13+J94)/14</f>
        <v>3.7950523586975</v>
      </c>
      <c r="M94" s="31" t="n">
        <f aca="false">IF(L94=0,100,100-100/(1+K94/MAX(L94,0.000001)))</f>
        <v>55.8993889388777</v>
      </c>
      <c r="N94" s="30" t="n">
        <f aca="false">AVERAGE(E75:E94)</f>
        <v>1384.287</v>
      </c>
      <c r="O94" s="30" t="n">
        <f aca="false">AVERAGE(E45:E94)</f>
        <v>1362.6394</v>
      </c>
      <c r="Q94" s="30" t="n">
        <f aca="false">Q93+(2/13)*(E94-Q93)</f>
        <v>1374.66538869062</v>
      </c>
      <c r="R94" s="30" t="n">
        <f aca="false">R93+(2/27)*(E94-R93)</f>
        <v>1374.14745790109</v>
      </c>
      <c r="S94" s="33" t="n">
        <f aca="false">Q94-R94</f>
        <v>0.517930789536422</v>
      </c>
      <c r="T94" s="33" t="n">
        <f aca="false">T93+(2/10)*(S94-T93)</f>
        <v>2.06185929301676</v>
      </c>
      <c r="U94" s="33" t="n">
        <f aca="false">S94-T94</f>
        <v>-1.54392850348034</v>
      </c>
      <c r="V94" s="32" t="str">
        <f aca="false">IF(M94="","",IF(M94&lt;Assumptions!$B$5,"BUY",IF(M94&gt;Assumptions!$B$4,"SELL","HOLD")))</f>
        <v>HOLD</v>
      </c>
      <c r="W94" s="32" t="str">
        <f aca="false">IF(O94="","",IF(E94&gt;O94,"BUY","SELL"))</f>
        <v>BUY</v>
      </c>
      <c r="X94" s="32" t="str">
        <f aca="false">IF(T94="","",IF(S94&gt;T94,"BUY","SELL"))</f>
        <v>SELL</v>
      </c>
      <c r="Y94" s="34" t="n">
        <f aca="false">IF(OR(V94="",W94="",X94=""),"",IFERROR(IF(V94="BUY",1,IF(V94="SELL",-1,0))+IF(W94="BUY",1,IF(W94="SELL",-1,0))+IF(X94="BUY",1,IF(X94="SELL",-1,0)),0))</f>
        <v>0</v>
      </c>
      <c r="Z94" s="32" t="str">
        <f aca="false">IF(Y94="","",IF(Y94&gt;=2,"STRONG BUY",IF(Y94=1,"BUY",IF(Y94=0,"HOLD",IF(Y94=-1,"SELL","STRONG SELL")))))</f>
        <v>HOLD</v>
      </c>
    </row>
    <row r="95" customFormat="false" ht="15" hidden="false" customHeight="false" outlineLevel="0" collapsed="false">
      <c r="A95" s="24" t="n">
        <v>45901</v>
      </c>
      <c r="B95" s="25" t="n">
        <v>1400.22</v>
      </c>
      <c r="C95" s="25" t="n">
        <v>1400.22</v>
      </c>
      <c r="D95" s="25" t="n">
        <v>1396.74</v>
      </c>
      <c r="E95" s="25" t="n">
        <v>1398.48</v>
      </c>
      <c r="F95" s="26" t="n">
        <v>5128505</v>
      </c>
      <c r="G95" s="27" t="n">
        <f aca="false">E95-E94</f>
        <v>11.3399999999999</v>
      </c>
      <c r="H95" s="28" t="n">
        <f aca="false">G95/E94</f>
        <v>0.00817509407846354</v>
      </c>
      <c r="I95" s="29" t="n">
        <f aca="false">MAX(G95,0)</f>
        <v>11.3399999999999</v>
      </c>
      <c r="J95" s="29" t="n">
        <f aca="false">MAX(-G95,0)</f>
        <v>0</v>
      </c>
      <c r="K95" s="29" t="n">
        <f aca="false">(K94*13+I95)/14</f>
        <v>5.27679006997817</v>
      </c>
      <c r="L95" s="29" t="n">
        <f aca="false">(L94*13+J95)/14</f>
        <v>3.52397719021911</v>
      </c>
      <c r="M95" s="31" t="n">
        <f aca="false">IF(L95=0,100,100-100/(1+K95/MAX(L95,0.000001)))</f>
        <v>59.9582958390822</v>
      </c>
      <c r="N95" s="30" t="n">
        <f aca="false">AVERAGE(E76:E95)</f>
        <v>1383.9045</v>
      </c>
      <c r="O95" s="30" t="n">
        <f aca="false">AVERAGE(E46:E95)</f>
        <v>1364.4994</v>
      </c>
      <c r="Q95" s="30" t="n">
        <f aca="false">Q94+(2/13)*(E95-Q94)</f>
        <v>1378.32917504591</v>
      </c>
      <c r="R95" s="30" t="n">
        <f aca="false">R94+(2/27)*(E95-R94)</f>
        <v>1375.94986842693</v>
      </c>
      <c r="S95" s="33" t="n">
        <f aca="false">Q95-R95</f>
        <v>2.37930661897985</v>
      </c>
      <c r="T95" s="33" t="n">
        <f aca="false">T94+(2/10)*(S95-T94)</f>
        <v>2.12534875820938</v>
      </c>
      <c r="U95" s="33" t="n">
        <f aca="false">S95-T95</f>
        <v>0.253957860770474</v>
      </c>
      <c r="V95" s="32" t="str">
        <f aca="false">IF(M95="","",IF(M95&lt;Assumptions!$B$5,"BUY",IF(M95&gt;Assumptions!$B$4,"SELL","HOLD")))</f>
        <v>HOLD</v>
      </c>
      <c r="W95" s="32" t="str">
        <f aca="false">IF(O95="","",IF(E95&gt;O95,"BUY","SELL"))</f>
        <v>BUY</v>
      </c>
      <c r="X95" s="32" t="str">
        <f aca="false">IF(T95="","",IF(S95&gt;T95,"BUY","SELL"))</f>
        <v>BUY</v>
      </c>
      <c r="Y95" s="34" t="n">
        <f aca="false">IF(OR(V95="",W95="",X95=""),"",IFERROR(IF(V95="BUY",1,IF(V95="SELL",-1,0))+IF(W95="BUY",1,IF(W95="SELL",-1,0))+IF(X95="BUY",1,IF(X95="SELL",-1,0)),0))</f>
        <v>2</v>
      </c>
      <c r="Z95" s="32" t="str">
        <f aca="false">IF(Y95="","",IF(Y95&gt;=2,"STRONG BUY",IF(Y95=1,"BUY",IF(Y95=0,"HOLD",IF(Y95=-1,"SELL","STRONG SELL")))))</f>
        <v>STRONG BUY</v>
      </c>
    </row>
    <row r="96" customFormat="false" ht="15" hidden="false" customHeight="false" outlineLevel="0" collapsed="false">
      <c r="A96" s="24" t="n">
        <v>45902</v>
      </c>
      <c r="B96" s="25" t="n">
        <v>1408.03</v>
      </c>
      <c r="C96" s="25" t="n">
        <v>1410.85</v>
      </c>
      <c r="D96" s="25" t="n">
        <v>1393.29</v>
      </c>
      <c r="E96" s="25" t="n">
        <v>1402.07</v>
      </c>
      <c r="F96" s="26" t="n">
        <v>3870658</v>
      </c>
      <c r="G96" s="27" t="n">
        <f aca="false">E96-E95</f>
        <v>3.58999999999992</v>
      </c>
      <c r="H96" s="28" t="n">
        <f aca="false">G96/E95</f>
        <v>0.00256707282192088</v>
      </c>
      <c r="I96" s="29" t="n">
        <f aca="false">MAX(G96,0)</f>
        <v>3.58999999999992</v>
      </c>
      <c r="J96" s="29" t="n">
        <f aca="false">MAX(-G96,0)</f>
        <v>0</v>
      </c>
      <c r="K96" s="29" t="n">
        <f aca="false">(K95*13+I96)/14</f>
        <v>5.15630506497972</v>
      </c>
      <c r="L96" s="29" t="n">
        <f aca="false">(L95*13+J96)/14</f>
        <v>3.27226453377488</v>
      </c>
      <c r="M96" s="31" t="n">
        <f aca="false">IF(L96=0,100,100-100/(1+K96/MAX(L96,0.000001)))</f>
        <v>61.1765140521781</v>
      </c>
      <c r="N96" s="30" t="n">
        <f aca="false">AVERAGE(E77:E96)</f>
        <v>1383.301</v>
      </c>
      <c r="O96" s="30" t="n">
        <f aca="false">AVERAGE(E47:E96)</f>
        <v>1366.4016</v>
      </c>
      <c r="Q96" s="30" t="n">
        <f aca="false">Q95+(2/13)*(E96-Q95)</f>
        <v>1381.98160965423</v>
      </c>
      <c r="R96" s="30" t="n">
        <f aca="false">R95+(2/27)*(E96-R95)</f>
        <v>1377.8846929879</v>
      </c>
      <c r="S96" s="33" t="n">
        <f aca="false">Q96-R96</f>
        <v>4.09691666633307</v>
      </c>
      <c r="T96" s="33" t="n">
        <f aca="false">T95+(2/10)*(S96-T95)</f>
        <v>2.51966233983412</v>
      </c>
      <c r="U96" s="33" t="n">
        <f aca="false">S96-T96</f>
        <v>1.57725432649895</v>
      </c>
      <c r="V96" s="32" t="str">
        <f aca="false">IF(M96="","",IF(M96&lt;Assumptions!$B$5,"BUY",IF(M96&gt;Assumptions!$B$4,"SELL","HOLD")))</f>
        <v>HOLD</v>
      </c>
      <c r="W96" s="32" t="str">
        <f aca="false">IF(O96="","",IF(E96&gt;O96,"BUY","SELL"))</f>
        <v>BUY</v>
      </c>
      <c r="X96" s="32" t="str">
        <f aca="false">IF(T96="","",IF(S96&gt;T96,"BUY","SELL"))</f>
        <v>BUY</v>
      </c>
      <c r="Y96" s="34" t="n">
        <f aca="false">IF(OR(V96="",W96="",X96=""),"",IFERROR(IF(V96="BUY",1,IF(V96="SELL",-1,0))+IF(W96="BUY",1,IF(W96="SELL",-1,0))+IF(X96="BUY",1,IF(X96="SELL",-1,0)),0))</f>
        <v>2</v>
      </c>
      <c r="Z96" s="32" t="str">
        <f aca="false">IF(Y96="","",IF(Y96&gt;=2,"STRONG BUY",IF(Y96=1,"BUY",IF(Y96=0,"HOLD",IF(Y96=-1,"SELL","STRONG SELL")))))</f>
        <v>STRONG BUY</v>
      </c>
    </row>
    <row r="97" customFormat="false" ht="15" hidden="false" customHeight="false" outlineLevel="0" collapsed="false">
      <c r="A97" s="24" t="n">
        <v>45903</v>
      </c>
      <c r="B97" s="25" t="n">
        <v>1387.22</v>
      </c>
      <c r="C97" s="25" t="n">
        <v>1391.8</v>
      </c>
      <c r="D97" s="25" t="n">
        <v>1387.22</v>
      </c>
      <c r="E97" s="25" t="n">
        <v>1389.51</v>
      </c>
      <c r="F97" s="26" t="n">
        <v>2162703</v>
      </c>
      <c r="G97" s="27" t="n">
        <f aca="false">E97-E96</f>
        <v>-12.5599999999999</v>
      </c>
      <c r="H97" s="28" t="n">
        <f aca="false">G97/E96</f>
        <v>-0.00895818325761192</v>
      </c>
      <c r="I97" s="29" t="n">
        <f aca="false">MAX(G97,0)</f>
        <v>0</v>
      </c>
      <c r="J97" s="29" t="n">
        <f aca="false">MAX(-G97,0)</f>
        <v>12.5599999999999</v>
      </c>
      <c r="K97" s="29" t="n">
        <f aca="false">(K96*13+I97)/14</f>
        <v>4.78799756033831</v>
      </c>
      <c r="L97" s="29" t="n">
        <f aca="false">(L96*13+J97)/14</f>
        <v>3.93567420993382</v>
      </c>
      <c r="M97" s="31" t="n">
        <f aca="false">IF(L97=0,100,100-100/(1+K97/MAX(L97,0.000001)))</f>
        <v>54.8851181752905</v>
      </c>
      <c r="N97" s="30" t="n">
        <f aca="false">AVERAGE(E78:E97)</f>
        <v>1382.449</v>
      </c>
      <c r="O97" s="30" t="n">
        <f aca="false">AVERAGE(E48:E97)</f>
        <v>1367.8566</v>
      </c>
      <c r="Q97" s="30" t="n">
        <f aca="false">Q96+(2/13)*(E97-Q96)</f>
        <v>1383.13982355358</v>
      </c>
      <c r="R97" s="30" t="n">
        <f aca="false">R96+(2/27)*(E97-R96)</f>
        <v>1378.74582684065</v>
      </c>
      <c r="S97" s="33" t="n">
        <f aca="false">Q97-R97</f>
        <v>4.39399671293359</v>
      </c>
      <c r="T97" s="33" t="n">
        <f aca="false">T96+(2/10)*(S97-T96)</f>
        <v>2.89452921445401</v>
      </c>
      <c r="U97" s="33" t="n">
        <f aca="false">S97-T97</f>
        <v>1.49946749847957</v>
      </c>
      <c r="V97" s="32" t="str">
        <f aca="false">IF(M97="","",IF(M97&lt;Assumptions!$B$5,"BUY",IF(M97&gt;Assumptions!$B$4,"SELL","HOLD")))</f>
        <v>HOLD</v>
      </c>
      <c r="W97" s="32" t="str">
        <f aca="false">IF(O97="","",IF(E97&gt;O97,"BUY","SELL"))</f>
        <v>BUY</v>
      </c>
      <c r="X97" s="32" t="str">
        <f aca="false">IF(T97="","",IF(S97&gt;T97,"BUY","SELL"))</f>
        <v>BUY</v>
      </c>
      <c r="Y97" s="34" t="n">
        <f aca="false">IF(OR(V97="",W97="",X97=""),"",IFERROR(IF(V97="BUY",1,IF(V97="SELL",-1,0))+IF(W97="BUY",1,IF(W97="SELL",-1,0))+IF(X97="BUY",1,IF(X97="SELL",-1,0)),0))</f>
        <v>2</v>
      </c>
      <c r="Z97" s="32" t="str">
        <f aca="false">IF(Y97="","",IF(Y97&gt;=2,"STRONG BUY",IF(Y97=1,"BUY",IF(Y97=0,"HOLD",IF(Y97=-1,"SELL","STRONG SELL")))))</f>
        <v>STRONG BUY</v>
      </c>
    </row>
    <row r="98" customFormat="false" ht="15" hidden="false" customHeight="false" outlineLevel="0" collapsed="false">
      <c r="A98" s="24" t="n">
        <v>45904</v>
      </c>
      <c r="B98" s="25" t="n">
        <v>1406.67</v>
      </c>
      <c r="C98" s="25" t="n">
        <v>1406.67</v>
      </c>
      <c r="D98" s="25" t="n">
        <v>1395.31</v>
      </c>
      <c r="E98" s="25" t="n">
        <v>1400.99</v>
      </c>
      <c r="F98" s="26" t="n">
        <v>4988750</v>
      </c>
      <c r="G98" s="27" t="n">
        <f aca="false">E98-E97</f>
        <v>11.48</v>
      </c>
      <c r="H98" s="28" t="n">
        <f aca="false">G98/E97</f>
        <v>0.0082619052759606</v>
      </c>
      <c r="I98" s="29" t="n">
        <f aca="false">MAX(G98,0)</f>
        <v>11.48</v>
      </c>
      <c r="J98" s="29" t="n">
        <f aca="false">MAX(-G98,0)</f>
        <v>0</v>
      </c>
      <c r="K98" s="29" t="n">
        <f aca="false">(K97*13+I98)/14</f>
        <v>5.26599773459986</v>
      </c>
      <c r="L98" s="29" t="n">
        <f aca="false">(L97*13+J98)/14</f>
        <v>3.65455462350997</v>
      </c>
      <c r="M98" s="31" t="n">
        <f aca="false">IF(L98=0,100,100-100/(1+K98/MAX(L98,0.000001)))</f>
        <v>59.0321935593198</v>
      </c>
      <c r="N98" s="30" t="n">
        <f aca="false">AVERAGE(E79:E98)</f>
        <v>1382.5185</v>
      </c>
      <c r="O98" s="30" t="n">
        <f aca="false">AVERAGE(E49:E98)</f>
        <v>1369.3868</v>
      </c>
      <c r="Q98" s="30" t="n">
        <f aca="false">Q97+(2/13)*(E98-Q97)</f>
        <v>1385.88600454534</v>
      </c>
      <c r="R98" s="30" t="n">
        <f aca="false">R97+(2/27)*(E98-R97)</f>
        <v>1380.39354337097</v>
      </c>
      <c r="S98" s="33" t="n">
        <f aca="false">Q98-R98</f>
        <v>5.49246117436792</v>
      </c>
      <c r="T98" s="33" t="n">
        <f aca="false">T97+(2/10)*(S98-T97)</f>
        <v>3.41411560643679</v>
      </c>
      <c r="U98" s="33" t="n">
        <f aca="false">S98-T98</f>
        <v>2.07834556793113</v>
      </c>
      <c r="V98" s="32" t="str">
        <f aca="false">IF(M98="","",IF(M98&lt;Assumptions!$B$5,"BUY",IF(M98&gt;Assumptions!$B$4,"SELL","HOLD")))</f>
        <v>HOLD</v>
      </c>
      <c r="W98" s="32" t="str">
        <f aca="false">IF(O98="","",IF(E98&gt;O98,"BUY","SELL"))</f>
        <v>BUY</v>
      </c>
      <c r="X98" s="32" t="str">
        <f aca="false">IF(T98="","",IF(S98&gt;T98,"BUY","SELL"))</f>
        <v>BUY</v>
      </c>
      <c r="Y98" s="34" t="n">
        <f aca="false">IF(OR(V98="",W98="",X98=""),"",IFERROR(IF(V98="BUY",1,IF(V98="SELL",-1,0))+IF(W98="BUY",1,IF(W98="SELL",-1,0))+IF(X98="BUY",1,IF(X98="SELL",-1,0)),0))</f>
        <v>2</v>
      </c>
      <c r="Z98" s="32" t="str">
        <f aca="false">IF(Y98="","",IF(Y98&gt;=2,"STRONG BUY",IF(Y98=1,"BUY",IF(Y98=0,"HOLD",IF(Y98=-1,"SELL","STRONG SELL")))))</f>
        <v>STRONG BUY</v>
      </c>
    </row>
    <row r="99" customFormat="false" ht="15" hidden="false" customHeight="false" outlineLevel="0" collapsed="false">
      <c r="A99" s="24" t="n">
        <v>45905</v>
      </c>
      <c r="B99" s="25" t="n">
        <v>1410.1</v>
      </c>
      <c r="C99" s="25" t="n">
        <v>1410.1</v>
      </c>
      <c r="D99" s="25" t="n">
        <v>1401.78</v>
      </c>
      <c r="E99" s="25" t="n">
        <v>1405.94</v>
      </c>
      <c r="F99" s="26" t="n">
        <v>896315</v>
      </c>
      <c r="G99" s="27" t="n">
        <f aca="false">E99-E98</f>
        <v>4.95000000000005</v>
      </c>
      <c r="H99" s="28" t="n">
        <f aca="false">G99/E98</f>
        <v>0.00353321579740044</v>
      </c>
      <c r="I99" s="29" t="n">
        <f aca="false">MAX(G99,0)</f>
        <v>4.95000000000005</v>
      </c>
      <c r="J99" s="29" t="n">
        <f aca="false">MAX(-G99,0)</f>
        <v>0</v>
      </c>
      <c r="K99" s="29" t="n">
        <f aca="false">(K98*13+I99)/14</f>
        <v>5.24342646784273</v>
      </c>
      <c r="L99" s="29" t="n">
        <f aca="false">(L98*13+J99)/14</f>
        <v>3.39351500754497</v>
      </c>
      <c r="M99" s="31" t="n">
        <f aca="false">IF(L99=0,100,100-100/(1+K99/MAX(L99,0.000001)))</f>
        <v>60.7092971833222</v>
      </c>
      <c r="N99" s="30" t="n">
        <f aca="false">AVERAGE(E80:E99)</f>
        <v>1383.3505</v>
      </c>
      <c r="O99" s="30" t="n">
        <f aca="false">AVERAGE(E50:E99)</f>
        <v>1370.9298</v>
      </c>
      <c r="Q99" s="30" t="n">
        <f aca="false">Q98+(2/13)*(E99-Q98)</f>
        <v>1388.97123461529</v>
      </c>
      <c r="R99" s="30" t="n">
        <f aca="false">R98+(2/27)*(E99-R98)</f>
        <v>1382.28587349164</v>
      </c>
      <c r="S99" s="33" t="n">
        <f aca="false">Q99-R99</f>
        <v>6.685361123647</v>
      </c>
      <c r="T99" s="33" t="n">
        <f aca="false">T98+(2/10)*(S99-T98)</f>
        <v>4.06836470987883</v>
      </c>
      <c r="U99" s="33" t="n">
        <f aca="false">S99-T99</f>
        <v>2.61699641376817</v>
      </c>
      <c r="V99" s="32" t="str">
        <f aca="false">IF(M99="","",IF(M99&lt;Assumptions!$B$5,"BUY",IF(M99&gt;Assumptions!$B$4,"SELL","HOLD")))</f>
        <v>HOLD</v>
      </c>
      <c r="W99" s="32" t="str">
        <f aca="false">IF(O99="","",IF(E99&gt;O99,"BUY","SELL"))</f>
        <v>BUY</v>
      </c>
      <c r="X99" s="32" t="str">
        <f aca="false">IF(T99="","",IF(S99&gt;T99,"BUY","SELL"))</f>
        <v>BUY</v>
      </c>
      <c r="Y99" s="34" t="n">
        <f aca="false">IF(OR(V99="",W99="",X99=""),"",IFERROR(IF(V99="BUY",1,IF(V99="SELL",-1,0))+IF(W99="BUY",1,IF(W99="SELL",-1,0))+IF(X99="BUY",1,IF(X99="SELL",-1,0)),0))</f>
        <v>2</v>
      </c>
      <c r="Z99" s="32" t="str">
        <f aca="false">IF(Y99="","",IF(Y99&gt;=2,"STRONG BUY",IF(Y99=1,"BUY",IF(Y99=0,"HOLD",IF(Y99=-1,"SELL","STRONG SELL")))))</f>
        <v>STRONG BUY</v>
      </c>
    </row>
    <row r="100" customFormat="false" ht="15" hidden="false" customHeight="false" outlineLevel="0" collapsed="false">
      <c r="A100" s="24" t="n">
        <v>45908</v>
      </c>
      <c r="B100" s="25" t="n">
        <v>1422.51</v>
      </c>
      <c r="C100" s="25" t="n">
        <v>1423.2</v>
      </c>
      <c r="D100" s="25" t="n">
        <v>1420.18</v>
      </c>
      <c r="E100" s="25" t="n">
        <v>1421.69</v>
      </c>
      <c r="F100" s="26" t="n">
        <v>4001000</v>
      </c>
      <c r="G100" s="27" t="n">
        <f aca="false">E100-E99</f>
        <v>15.75</v>
      </c>
      <c r="H100" s="28" t="n">
        <f aca="false">G100/E99</f>
        <v>0.0112024695221702</v>
      </c>
      <c r="I100" s="29" t="n">
        <f aca="false">MAX(G100,0)</f>
        <v>15.75</v>
      </c>
      <c r="J100" s="29" t="n">
        <f aca="false">MAX(-G100,0)</f>
        <v>0</v>
      </c>
      <c r="K100" s="29" t="n">
        <f aca="false">(K99*13+I100)/14</f>
        <v>5.99389600585397</v>
      </c>
      <c r="L100" s="29" t="n">
        <f aca="false">(L99*13+J100)/14</f>
        <v>3.15112107843462</v>
      </c>
      <c r="M100" s="31" t="n">
        <f aca="false">IF(L100=0,100,100-100/(1+K100/MAX(L100,0.000001)))</f>
        <v>65.5427535083741</v>
      </c>
      <c r="N100" s="30" t="n">
        <f aca="false">AVERAGE(E81:E100)</f>
        <v>1384.365</v>
      </c>
      <c r="O100" s="30" t="n">
        <f aca="false">AVERAGE(E51:E100)</f>
        <v>1372.6292</v>
      </c>
      <c r="Q100" s="30" t="n">
        <f aca="false">Q99+(2/13)*(E100-Q99)</f>
        <v>1394.00489082832</v>
      </c>
      <c r="R100" s="30" t="n">
        <f aca="false">R99+(2/27)*(E100-R99)</f>
        <v>1385.20469767744</v>
      </c>
      <c r="S100" s="33" t="n">
        <f aca="false">Q100-R100</f>
        <v>8.8001931508752</v>
      </c>
      <c r="T100" s="33" t="n">
        <f aca="false">T99+(2/10)*(S100-T99)</f>
        <v>5.01473039807811</v>
      </c>
      <c r="U100" s="33" t="n">
        <f aca="false">S100-T100</f>
        <v>3.78546275279709</v>
      </c>
      <c r="V100" s="32" t="str">
        <f aca="false">IF(M100="","",IF(M100&lt;Assumptions!$B$5,"BUY",IF(M100&gt;Assumptions!$B$4,"SELL","HOLD")))</f>
        <v>HOLD</v>
      </c>
      <c r="W100" s="32" t="str">
        <f aca="false">IF(O100="","",IF(E100&gt;O100,"BUY","SELL"))</f>
        <v>BUY</v>
      </c>
      <c r="X100" s="32" t="str">
        <f aca="false">IF(T100="","",IF(S100&gt;T100,"BUY","SELL"))</f>
        <v>BUY</v>
      </c>
      <c r="Y100" s="34" t="n">
        <f aca="false">IF(OR(V100="",W100="",X100=""),"",IFERROR(IF(V100="BUY",1,IF(V100="SELL",-1,0))+IF(W100="BUY",1,IF(W100="SELL",-1,0))+IF(X100="BUY",1,IF(X100="SELL",-1,0)),0))</f>
        <v>2</v>
      </c>
      <c r="Z100" s="32" t="str">
        <f aca="false">IF(Y100="","",IF(Y100&gt;=2,"STRONG BUY",IF(Y100=1,"BUY",IF(Y100=0,"HOLD",IF(Y100=-1,"SELL","STRONG SELL")))))</f>
        <v>STRONG BUY</v>
      </c>
    </row>
    <row r="101" customFormat="false" ht="15" hidden="false" customHeight="false" outlineLevel="0" collapsed="false">
      <c r="A101" s="24" t="n">
        <v>45909</v>
      </c>
      <c r="B101" s="25" t="n">
        <v>1426.98</v>
      </c>
      <c r="C101" s="25" t="n">
        <v>1433.32</v>
      </c>
      <c r="D101" s="25" t="n">
        <v>1409.58</v>
      </c>
      <c r="E101" s="25" t="n">
        <v>1421.45</v>
      </c>
      <c r="F101" s="26" t="n">
        <v>4542974</v>
      </c>
      <c r="G101" s="27" t="n">
        <f aca="false">E101-E100</f>
        <v>-0.240000000000009</v>
      </c>
      <c r="H101" s="28" t="n">
        <f aca="false">G101/E100</f>
        <v>-0.00016881317305461</v>
      </c>
      <c r="I101" s="29" t="n">
        <f aca="false">MAX(G101,0)</f>
        <v>0</v>
      </c>
      <c r="J101" s="29" t="n">
        <f aca="false">MAX(-G101,0)</f>
        <v>0.240000000000009</v>
      </c>
      <c r="K101" s="29" t="n">
        <f aca="false">(K100*13+I101)/14</f>
        <v>5.5657605768644</v>
      </c>
      <c r="L101" s="29" t="n">
        <f aca="false">(L100*13+J101)/14</f>
        <v>2.94318385854643</v>
      </c>
      <c r="M101" s="31" t="n">
        <f aca="false">IF(L101=0,100,100-100/(1+K101/MAX(L101,0.000001)))</f>
        <v>65.4107053949245</v>
      </c>
      <c r="N101" s="30" t="n">
        <f aca="false">AVERAGE(E82:E101)</f>
        <v>1385.717</v>
      </c>
      <c r="O101" s="30" t="n">
        <f aca="false">AVERAGE(E52:E101)</f>
        <v>1374.2058</v>
      </c>
      <c r="Q101" s="30" t="n">
        <f aca="false">Q100+(2/13)*(E101-Q100)</f>
        <v>1398.22721531627</v>
      </c>
      <c r="R101" s="30" t="n">
        <f aca="false">R100+(2/27)*(E101-R100)</f>
        <v>1387.88953488652</v>
      </c>
      <c r="S101" s="33" t="n">
        <f aca="false">Q101-R101</f>
        <v>10.3376804297479</v>
      </c>
      <c r="T101" s="33" t="n">
        <f aca="false">T100+(2/10)*(S101-T100)</f>
        <v>6.07932040441207</v>
      </c>
      <c r="U101" s="33" t="n">
        <f aca="false">S101-T101</f>
        <v>4.25836002533586</v>
      </c>
      <c r="V101" s="32" t="str">
        <f aca="false">IF(M101="","",IF(M101&lt;Assumptions!$B$5,"BUY",IF(M101&gt;Assumptions!$B$4,"SELL","HOLD")))</f>
        <v>HOLD</v>
      </c>
      <c r="W101" s="32" t="str">
        <f aca="false">IF(O101="","",IF(E101&gt;O101,"BUY","SELL"))</f>
        <v>BUY</v>
      </c>
      <c r="X101" s="32" t="str">
        <f aca="false">IF(T101="","",IF(S101&gt;T101,"BUY","SELL"))</f>
        <v>BUY</v>
      </c>
      <c r="Y101" s="34" t="n">
        <f aca="false">IF(OR(V101="",W101="",X101=""),"",IFERROR(IF(V101="BUY",1,IF(V101="SELL",-1,0))+IF(W101="BUY",1,IF(W101="SELL",-1,0))+IF(X101="BUY",1,IF(X101="SELL",-1,0)),0))</f>
        <v>2</v>
      </c>
      <c r="Z101" s="32" t="str">
        <f aca="false">IF(Y101="","",IF(Y101&gt;=2,"STRONG BUY",IF(Y101=1,"BUY",IF(Y101=0,"HOLD",IF(Y101=-1,"SELL","STRONG SELL")))))</f>
        <v>STRONG BUY</v>
      </c>
    </row>
    <row r="102" customFormat="false" ht="15" hidden="false" customHeight="false" outlineLevel="0" collapsed="false">
      <c r="A102" s="24" t="n">
        <v>45910</v>
      </c>
      <c r="B102" s="25" t="n">
        <v>1446.05</v>
      </c>
      <c r="C102" s="25" t="n">
        <v>1447.55</v>
      </c>
      <c r="D102" s="25" t="n">
        <v>1446.05</v>
      </c>
      <c r="E102" s="25" t="n">
        <v>1446.8</v>
      </c>
      <c r="F102" s="26" t="n">
        <v>4103790</v>
      </c>
      <c r="G102" s="27" t="n">
        <f aca="false">E102-E101</f>
        <v>25.3499999999999</v>
      </c>
      <c r="H102" s="28" t="n">
        <f aca="false">G102/E101</f>
        <v>0.0178339020014773</v>
      </c>
      <c r="I102" s="29" t="n">
        <f aca="false">MAX(G102,0)</f>
        <v>25.3499999999999</v>
      </c>
      <c r="J102" s="29" t="n">
        <f aca="false">MAX(-G102,0)</f>
        <v>0</v>
      </c>
      <c r="K102" s="29" t="n">
        <f aca="false">(K101*13+I102)/14</f>
        <v>6.97892053565979</v>
      </c>
      <c r="L102" s="29" t="n">
        <f aca="false">(L101*13+J102)/14</f>
        <v>2.73295644007883</v>
      </c>
      <c r="M102" s="31" t="n">
        <f aca="false">IF(L102=0,100,100-100/(1+K102/MAX(L102,0.000001)))</f>
        <v>71.859647245264</v>
      </c>
      <c r="N102" s="30" t="n">
        <f aca="false">AVERAGE(E83:E102)</f>
        <v>1388.3735</v>
      </c>
      <c r="O102" s="30" t="n">
        <f aca="false">AVERAGE(E53:E102)</f>
        <v>1376.4378</v>
      </c>
      <c r="Q102" s="30" t="n">
        <f aca="false">Q101+(2/13)*(E102-Q101)</f>
        <v>1405.69995142146</v>
      </c>
      <c r="R102" s="30" t="n">
        <f aca="false">R101+(2/27)*(E102-R101)</f>
        <v>1392.25327304308</v>
      </c>
      <c r="S102" s="33" t="n">
        <f aca="false">Q102-R102</f>
        <v>13.4466783783832</v>
      </c>
      <c r="T102" s="33" t="n">
        <f aca="false">T101+(2/10)*(S102-T101)</f>
        <v>7.55279199920631</v>
      </c>
      <c r="U102" s="33" t="n">
        <f aca="false">S102-T102</f>
        <v>5.89388637917693</v>
      </c>
      <c r="V102" s="32" t="str">
        <f aca="false">IF(M102="","",IF(M102&lt;Assumptions!$B$5,"BUY",IF(M102&gt;Assumptions!$B$4,"SELL","HOLD")))</f>
        <v>SELL</v>
      </c>
      <c r="W102" s="32" t="str">
        <f aca="false">IF(O102="","",IF(E102&gt;O102,"BUY","SELL"))</f>
        <v>BUY</v>
      </c>
      <c r="X102" s="32" t="str">
        <f aca="false">IF(T102="","",IF(S102&gt;T102,"BUY","SELL"))</f>
        <v>BUY</v>
      </c>
      <c r="Y102" s="34" t="n">
        <f aca="false">IF(OR(V102="",W102="",X102=""),"",IFERROR(IF(V102="BUY",1,IF(V102="SELL",-1,0))+IF(W102="BUY",1,IF(W102="SELL",-1,0))+IF(X102="BUY",1,IF(X102="SELL",-1,0)),0))</f>
        <v>1</v>
      </c>
      <c r="Z102" s="32" t="str">
        <f aca="false">IF(Y102="","",IF(Y102&gt;=2,"STRONG BUY",IF(Y102=1,"BUY",IF(Y102=0,"HOLD",IF(Y102=-1,"SELL","STRONG SELL")))))</f>
        <v>BUY</v>
      </c>
    </row>
    <row r="103" customFormat="false" ht="15" hidden="false" customHeight="false" outlineLevel="0" collapsed="false">
      <c r="A103" s="24" t="n">
        <v>45911</v>
      </c>
      <c r="B103" s="25" t="n">
        <v>1450.26</v>
      </c>
      <c r="C103" s="25" t="n">
        <v>1453.6</v>
      </c>
      <c r="D103" s="25" t="n">
        <v>1430.96</v>
      </c>
      <c r="E103" s="25" t="n">
        <v>1442.28</v>
      </c>
      <c r="F103" s="26" t="n">
        <v>6799000</v>
      </c>
      <c r="G103" s="27" t="n">
        <f aca="false">E103-E102</f>
        <v>-4.51999999999998</v>
      </c>
      <c r="H103" s="28" t="n">
        <f aca="false">G103/E102</f>
        <v>-0.00312413602432954</v>
      </c>
      <c r="I103" s="29" t="n">
        <f aca="false">MAX(G103,0)</f>
        <v>0</v>
      </c>
      <c r="J103" s="29" t="n">
        <f aca="false">MAX(-G103,0)</f>
        <v>4.51999999999998</v>
      </c>
      <c r="K103" s="29" t="n">
        <f aca="false">(K102*13+I103)/14</f>
        <v>6.48042621168409</v>
      </c>
      <c r="L103" s="29" t="n">
        <f aca="false">(L102*13+J103)/14</f>
        <v>2.86060240864463</v>
      </c>
      <c r="M103" s="31" t="n">
        <f aca="false">IF(L103=0,100,100-100/(1+K103/MAX(L103,0.000001)))</f>
        <v>69.3759378659953</v>
      </c>
      <c r="N103" s="30" t="n">
        <f aca="false">AVERAGE(E84:E103)</f>
        <v>1390.3255</v>
      </c>
      <c r="O103" s="30" t="n">
        <f aca="false">AVERAGE(E54:E103)</f>
        <v>1378.7486</v>
      </c>
      <c r="Q103" s="30" t="n">
        <f aca="false">Q102+(2/13)*(E103-Q102)</f>
        <v>1411.32765120277</v>
      </c>
      <c r="R103" s="30" t="n">
        <f aca="false">R102+(2/27)*(E103-R102)</f>
        <v>1395.95895652137</v>
      </c>
      <c r="S103" s="33" t="n">
        <f aca="false">Q103-R103</f>
        <v>15.3686946814066</v>
      </c>
      <c r="T103" s="33" t="n">
        <f aca="false">T102+(2/10)*(S103-T102)</f>
        <v>9.11597253564637</v>
      </c>
      <c r="U103" s="33" t="n">
        <f aca="false">S103-T103</f>
        <v>6.25272214576025</v>
      </c>
      <c r="V103" s="32" t="str">
        <f aca="false">IF(M103="","",IF(M103&lt;Assumptions!$B$5,"BUY",IF(M103&gt;Assumptions!$B$4,"SELL","HOLD")))</f>
        <v>HOLD</v>
      </c>
      <c r="W103" s="32" t="str">
        <f aca="false">IF(O103="","",IF(E103&gt;O103,"BUY","SELL"))</f>
        <v>BUY</v>
      </c>
      <c r="X103" s="32" t="str">
        <f aca="false">IF(T103="","",IF(S103&gt;T103,"BUY","SELL"))</f>
        <v>BUY</v>
      </c>
      <c r="Y103" s="34" t="n">
        <f aca="false">IF(OR(V103="",W103="",X103=""),"",IFERROR(IF(V103="BUY",1,IF(V103="SELL",-1,0))+IF(W103="BUY",1,IF(W103="SELL",-1,0))+IF(X103="BUY",1,IF(X103="SELL",-1,0)),0))</f>
        <v>2</v>
      </c>
      <c r="Z103" s="32" t="str">
        <f aca="false">IF(Y103="","",IF(Y103&gt;=2,"STRONG BUY",IF(Y103=1,"BUY",IF(Y103=0,"HOLD",IF(Y103=-1,"SELL","STRONG SELL")))))</f>
        <v>STRONG BUY</v>
      </c>
    </row>
    <row r="104" customFormat="false" ht="15" hidden="false" customHeight="false" outlineLevel="0" collapsed="false">
      <c r="A104" s="24" t="n">
        <v>45912</v>
      </c>
      <c r="B104" s="25" t="n">
        <v>1456.86</v>
      </c>
      <c r="C104" s="25" t="n">
        <v>1470.26</v>
      </c>
      <c r="D104" s="25" t="n">
        <v>1456.24</v>
      </c>
      <c r="E104" s="25" t="n">
        <v>1463.25</v>
      </c>
      <c r="F104" s="26" t="n">
        <v>8641479</v>
      </c>
      <c r="G104" s="27" t="n">
        <f aca="false">E104-E103</f>
        <v>20.97</v>
      </c>
      <c r="H104" s="28" t="n">
        <f aca="false">G104/E103</f>
        <v>0.0145394791579999</v>
      </c>
      <c r="I104" s="29" t="n">
        <f aca="false">MAX(G104,0)</f>
        <v>20.97</v>
      </c>
      <c r="J104" s="29" t="n">
        <f aca="false">MAX(-G104,0)</f>
        <v>0</v>
      </c>
      <c r="K104" s="29" t="n">
        <f aca="false">(K103*13+I104)/14</f>
        <v>7.51539576799237</v>
      </c>
      <c r="L104" s="29" t="n">
        <f aca="false">(L103*13+J104)/14</f>
        <v>2.65627366517001</v>
      </c>
      <c r="M104" s="31" t="n">
        <f aca="false">IF(L104=0,100,100-100/(1+K104/MAX(L104,0.000001)))</f>
        <v>73.8855683167422</v>
      </c>
      <c r="N104" s="30" t="n">
        <f aca="false">AVERAGE(E85:E104)</f>
        <v>1393.7745</v>
      </c>
      <c r="O104" s="30" t="n">
        <f aca="false">AVERAGE(E55:E104)</f>
        <v>1381.5882</v>
      </c>
      <c r="Q104" s="30" t="n">
        <f aca="false">Q103+(2/13)*(E104-Q103)</f>
        <v>1419.31570486388</v>
      </c>
      <c r="R104" s="30" t="n">
        <f aca="false">R103+(2/27)*(E104-R103)</f>
        <v>1400.94347826052</v>
      </c>
      <c r="S104" s="33" t="n">
        <f aca="false">Q104-R104</f>
        <v>18.3722266033603</v>
      </c>
      <c r="T104" s="33" t="n">
        <f aca="false">T103+(2/10)*(S104-T103)</f>
        <v>10.9672233491892</v>
      </c>
      <c r="U104" s="33" t="n">
        <f aca="false">S104-T104</f>
        <v>7.40500325417117</v>
      </c>
      <c r="V104" s="32" t="str">
        <f aca="false">IF(M104="","",IF(M104&lt;Assumptions!$B$5,"BUY",IF(M104&gt;Assumptions!$B$4,"SELL","HOLD")))</f>
        <v>SELL</v>
      </c>
      <c r="W104" s="32" t="str">
        <f aca="false">IF(O104="","",IF(E104&gt;O104,"BUY","SELL"))</f>
        <v>BUY</v>
      </c>
      <c r="X104" s="32" t="str">
        <f aca="false">IF(T104="","",IF(S104&gt;T104,"BUY","SELL"))</f>
        <v>BUY</v>
      </c>
      <c r="Y104" s="34" t="n">
        <f aca="false">IF(OR(V104="",W104="",X104=""),"",IFERROR(IF(V104="BUY",1,IF(V104="SELL",-1,0))+IF(W104="BUY",1,IF(W104="SELL",-1,0))+IF(X104="BUY",1,IF(X104="SELL",-1,0)),0))</f>
        <v>1</v>
      </c>
      <c r="Z104" s="32" t="str">
        <f aca="false">IF(Y104="","",IF(Y104&gt;=2,"STRONG BUY",IF(Y104=1,"BUY",IF(Y104=0,"HOLD",IF(Y104=-1,"SELL","STRONG SELL")))))</f>
        <v>BUY</v>
      </c>
    </row>
    <row r="105" customFormat="false" ht="15" hidden="false" customHeight="false" outlineLevel="0" collapsed="false">
      <c r="A105" s="24" t="n">
        <v>45915</v>
      </c>
      <c r="B105" s="25" t="n">
        <v>1466.01</v>
      </c>
      <c r="C105" s="25" t="n">
        <v>1482.31</v>
      </c>
      <c r="D105" s="25" t="n">
        <v>1447.51</v>
      </c>
      <c r="E105" s="25" t="n">
        <v>1464.91</v>
      </c>
      <c r="F105" s="26" t="n">
        <v>3417613</v>
      </c>
      <c r="G105" s="27" t="n">
        <f aca="false">E105-E104</f>
        <v>1.66000000000008</v>
      </c>
      <c r="H105" s="28" t="n">
        <f aca="false">G105/E104</f>
        <v>0.00113446096019141</v>
      </c>
      <c r="I105" s="29" t="n">
        <f aca="false">MAX(G105,0)</f>
        <v>1.66000000000008</v>
      </c>
      <c r="J105" s="29" t="n">
        <f aca="false">MAX(-G105,0)</f>
        <v>0</v>
      </c>
      <c r="K105" s="29" t="n">
        <f aca="false">(K104*13+I105)/14</f>
        <v>7.09715321313578</v>
      </c>
      <c r="L105" s="29" t="n">
        <f aca="false">(L104*13+J105)/14</f>
        <v>2.46653983194358</v>
      </c>
      <c r="M105" s="31" t="n">
        <f aca="false">IF(L105=0,100,100-100/(1+K105/MAX(L105,0.000001)))</f>
        <v>74.2093371219955</v>
      </c>
      <c r="N105" s="30" t="n">
        <f aca="false">AVERAGE(E86:E105)</f>
        <v>1397.4835</v>
      </c>
      <c r="O105" s="30" t="n">
        <f aca="false">AVERAGE(E56:E105)</f>
        <v>1384.3394</v>
      </c>
      <c r="Q105" s="30" t="n">
        <f aca="false">Q104+(2/13)*(E105-Q104)</f>
        <v>1426.3302118079</v>
      </c>
      <c r="R105" s="30" t="n">
        <f aca="false">R104+(2/27)*(E105-R104)</f>
        <v>1405.68173913012</v>
      </c>
      <c r="S105" s="33" t="n">
        <f aca="false">Q105-R105</f>
        <v>20.6484726777874</v>
      </c>
      <c r="T105" s="33" t="n">
        <f aca="false">T104+(2/10)*(S105-T104)</f>
        <v>12.9034732149088</v>
      </c>
      <c r="U105" s="33" t="n">
        <f aca="false">S105-T105</f>
        <v>7.74499946287856</v>
      </c>
      <c r="V105" s="32" t="str">
        <f aca="false">IF(M105="","",IF(M105&lt;Assumptions!$B$5,"BUY",IF(M105&gt;Assumptions!$B$4,"SELL","HOLD")))</f>
        <v>SELL</v>
      </c>
      <c r="W105" s="32" t="str">
        <f aca="false">IF(O105="","",IF(E105&gt;O105,"BUY","SELL"))</f>
        <v>BUY</v>
      </c>
      <c r="X105" s="32" t="str">
        <f aca="false">IF(T105="","",IF(S105&gt;T105,"BUY","SELL"))</f>
        <v>BUY</v>
      </c>
      <c r="Y105" s="34" t="n">
        <f aca="false">IF(OR(V105="",W105="",X105=""),"",IFERROR(IF(V105="BUY",1,IF(V105="SELL",-1,0))+IF(W105="BUY",1,IF(W105="SELL",-1,0))+IF(X105="BUY",1,IF(X105="SELL",-1,0)),0))</f>
        <v>1</v>
      </c>
      <c r="Z105" s="32" t="str">
        <f aca="false">IF(Y105="","",IF(Y105&gt;=2,"STRONG BUY",IF(Y105=1,"BUY",IF(Y105=0,"HOLD",IF(Y105=-1,"SELL","STRONG SELL")))))</f>
        <v>BUY</v>
      </c>
    </row>
    <row r="106" customFormat="false" ht="15" hidden="false" customHeight="false" outlineLevel="0" collapsed="false">
      <c r="A106" s="24" t="n">
        <v>45916</v>
      </c>
      <c r="B106" s="25" t="n">
        <v>1460.71</v>
      </c>
      <c r="C106" s="25" t="n">
        <v>1465.85</v>
      </c>
      <c r="D106" s="25" t="n">
        <v>1450.69</v>
      </c>
      <c r="E106" s="25" t="n">
        <v>1458.27</v>
      </c>
      <c r="F106" s="26" t="n">
        <v>3402225</v>
      </c>
      <c r="G106" s="27" t="n">
        <f aca="false">E106-E105</f>
        <v>-6.6400000000001</v>
      </c>
      <c r="H106" s="28" t="n">
        <f aca="false">G106/E105</f>
        <v>-0.00453270166767931</v>
      </c>
      <c r="I106" s="29" t="n">
        <f aca="false">MAX(G106,0)</f>
        <v>0</v>
      </c>
      <c r="J106" s="29" t="n">
        <f aca="false">MAX(-G106,0)</f>
        <v>6.6400000000001</v>
      </c>
      <c r="K106" s="29" t="n">
        <f aca="false">(K105*13+I106)/14</f>
        <v>6.5902136979118</v>
      </c>
      <c r="L106" s="29" t="n">
        <f aca="false">(L105*13+J106)/14</f>
        <v>2.7646441296619</v>
      </c>
      <c r="M106" s="31" t="n">
        <f aca="false">IF(L106=0,100,100-100/(1+K106/MAX(L106,0.000001)))</f>
        <v>70.4469679751515</v>
      </c>
      <c r="N106" s="30" t="n">
        <f aca="false">AVERAGE(E87:E106)</f>
        <v>1401.9965</v>
      </c>
      <c r="O106" s="30" t="n">
        <f aca="false">AVERAGE(E57:E106)</f>
        <v>1387.0148</v>
      </c>
      <c r="Q106" s="30" t="n">
        <f aca="false">Q105+(2/13)*(E106-Q105)</f>
        <v>1431.24402537592</v>
      </c>
      <c r="R106" s="30" t="n">
        <f aca="false">R105+(2/27)*(E106-R105)</f>
        <v>1409.57716586122</v>
      </c>
      <c r="S106" s="33" t="n">
        <f aca="false">Q106-R106</f>
        <v>21.6668595146998</v>
      </c>
      <c r="T106" s="33" t="n">
        <f aca="false">T105+(2/10)*(S106-T105)</f>
        <v>14.656150474867</v>
      </c>
      <c r="U106" s="33" t="n">
        <f aca="false">S106-T106</f>
        <v>7.0107090398328</v>
      </c>
      <c r="V106" s="32" t="str">
        <f aca="false">IF(M106="","",IF(M106&lt;Assumptions!$B$5,"BUY",IF(M106&gt;Assumptions!$B$4,"SELL","HOLD")))</f>
        <v>SELL</v>
      </c>
      <c r="W106" s="32" t="str">
        <f aca="false">IF(O106="","",IF(E106&gt;O106,"BUY","SELL"))</f>
        <v>BUY</v>
      </c>
      <c r="X106" s="32" t="str">
        <f aca="false">IF(T106="","",IF(S106&gt;T106,"BUY","SELL"))</f>
        <v>BUY</v>
      </c>
      <c r="Y106" s="34" t="n">
        <f aca="false">IF(OR(V106="",W106="",X106=""),"",IFERROR(IF(V106="BUY",1,IF(V106="SELL",-1,0))+IF(W106="BUY",1,IF(W106="SELL",-1,0))+IF(X106="BUY",1,IF(X106="SELL",-1,0)),0))</f>
        <v>1</v>
      </c>
      <c r="Z106" s="32" t="str">
        <f aca="false">IF(Y106="","",IF(Y106&gt;=2,"STRONG BUY",IF(Y106=1,"BUY",IF(Y106=0,"HOLD",IF(Y106=-1,"SELL","STRONG SELL")))))</f>
        <v>BUY</v>
      </c>
    </row>
    <row r="107" customFormat="false" ht="15" hidden="false" customHeight="false" outlineLevel="0" collapsed="false">
      <c r="A107" s="24" t="n">
        <v>45917</v>
      </c>
      <c r="B107" s="25" t="n">
        <v>1443.98</v>
      </c>
      <c r="C107" s="25" t="n">
        <v>1443.98</v>
      </c>
      <c r="D107" s="25" t="n">
        <v>1443.38</v>
      </c>
      <c r="E107" s="25" t="n">
        <v>1443.68</v>
      </c>
      <c r="F107" s="26" t="n">
        <v>2363058</v>
      </c>
      <c r="G107" s="27" t="n">
        <f aca="false">E107-E106</f>
        <v>-14.5899999999999</v>
      </c>
      <c r="H107" s="28" t="n">
        <f aca="false">G107/E106</f>
        <v>-0.0100050059316861</v>
      </c>
      <c r="I107" s="29" t="n">
        <f aca="false">MAX(G107,0)</f>
        <v>0</v>
      </c>
      <c r="J107" s="29" t="n">
        <f aca="false">MAX(-G107,0)</f>
        <v>14.5899999999999</v>
      </c>
      <c r="K107" s="29" t="n">
        <f aca="false">(K106*13+I107)/14</f>
        <v>6.11948414806095</v>
      </c>
      <c r="L107" s="29" t="n">
        <f aca="false">(L106*13+J107)/14</f>
        <v>3.60931240611462</v>
      </c>
      <c r="M107" s="31" t="n">
        <f aca="false">IF(L107=0,100,100-100/(1+K107/MAX(L107,0.000001)))</f>
        <v>62.9007309792545</v>
      </c>
      <c r="N107" s="30" t="n">
        <f aca="false">AVERAGE(E88:E107)</f>
        <v>1406.4365</v>
      </c>
      <c r="O107" s="30" t="n">
        <f aca="false">AVERAGE(E58:E107)</f>
        <v>1388.833</v>
      </c>
      <c r="Q107" s="30" t="n">
        <f aca="false">Q106+(2/13)*(E107-Q106)</f>
        <v>1433.15725224116</v>
      </c>
      <c r="R107" s="30" t="n">
        <f aca="false">R106+(2/27)*(E107-R106)</f>
        <v>1412.10330172335</v>
      </c>
      <c r="S107" s="33" t="n">
        <f aca="false">Q107-R107</f>
        <v>21.0539505178112</v>
      </c>
      <c r="T107" s="33" t="n">
        <f aca="false">T106+(2/10)*(S107-T106)</f>
        <v>15.9357104834559</v>
      </c>
      <c r="U107" s="33" t="n">
        <f aca="false">S107-T107</f>
        <v>5.11824003435539</v>
      </c>
      <c r="V107" s="32" t="str">
        <f aca="false">IF(M107="","",IF(M107&lt;Assumptions!$B$5,"BUY",IF(M107&gt;Assumptions!$B$4,"SELL","HOLD")))</f>
        <v>HOLD</v>
      </c>
      <c r="W107" s="32" t="str">
        <f aca="false">IF(O107="","",IF(E107&gt;O107,"BUY","SELL"))</f>
        <v>BUY</v>
      </c>
      <c r="X107" s="32" t="str">
        <f aca="false">IF(T107="","",IF(S107&gt;T107,"BUY","SELL"))</f>
        <v>BUY</v>
      </c>
      <c r="Y107" s="34" t="n">
        <f aca="false">IF(OR(V107="",W107="",X107=""),"",IFERROR(IF(V107="BUY",1,IF(V107="SELL",-1,0))+IF(W107="BUY",1,IF(W107="SELL",-1,0))+IF(X107="BUY",1,IF(X107="SELL",-1,0)),0))</f>
        <v>2</v>
      </c>
      <c r="Z107" s="32" t="str">
        <f aca="false">IF(Y107="","",IF(Y107&gt;=2,"STRONG BUY",IF(Y107=1,"BUY",IF(Y107=0,"HOLD",IF(Y107=-1,"SELL","STRONG SELL")))))</f>
        <v>STRONG BUY</v>
      </c>
    </row>
    <row r="108" customFormat="false" ht="15" hidden="false" customHeight="false" outlineLevel="0" collapsed="false">
      <c r="A108" s="24" t="n">
        <v>45918</v>
      </c>
      <c r="B108" s="25" t="n">
        <v>1450.92</v>
      </c>
      <c r="C108" s="25" t="n">
        <v>1459.21</v>
      </c>
      <c r="D108" s="25" t="n">
        <v>1424.51</v>
      </c>
      <c r="E108" s="25" t="n">
        <v>1441.86</v>
      </c>
      <c r="F108" s="26" t="n">
        <v>2835099</v>
      </c>
      <c r="G108" s="27" t="n">
        <f aca="false">E108-E107</f>
        <v>-1.82000000000016</v>
      </c>
      <c r="H108" s="28" t="n">
        <f aca="false">G108/E107</f>
        <v>-0.00126066718386357</v>
      </c>
      <c r="I108" s="29" t="n">
        <f aca="false">MAX(G108,0)</f>
        <v>0</v>
      </c>
      <c r="J108" s="29" t="n">
        <f aca="false">MAX(-G108,0)</f>
        <v>1.82000000000016</v>
      </c>
      <c r="K108" s="29" t="n">
        <f aca="false">(K107*13+I108)/14</f>
        <v>5.68237813748517</v>
      </c>
      <c r="L108" s="29" t="n">
        <f aca="false">(L107*13+J108)/14</f>
        <v>3.48150437710644</v>
      </c>
      <c r="M108" s="31" t="n">
        <f aca="false">IF(L108=0,100,100-100/(1+K108/MAX(L108,0.000001)))</f>
        <v>62.0084132291869</v>
      </c>
      <c r="N108" s="30" t="n">
        <f aca="false">AVERAGE(E89:E108)</f>
        <v>1411.124</v>
      </c>
      <c r="O108" s="30" t="n">
        <f aca="false">AVERAGE(E59:E108)</f>
        <v>1390.8108</v>
      </c>
      <c r="Q108" s="30" t="n">
        <f aca="false">Q107+(2/13)*(E108-Q107)</f>
        <v>1434.49613651175</v>
      </c>
      <c r="R108" s="30" t="n">
        <f aca="false">R107+(2/27)*(E108-R107)</f>
        <v>1414.30750159569</v>
      </c>
      <c r="S108" s="33" t="n">
        <f aca="false">Q108-R108</f>
        <v>20.1886349160575</v>
      </c>
      <c r="T108" s="33" t="n">
        <f aca="false">T107+(2/10)*(S108-T107)</f>
        <v>16.7862953699762</v>
      </c>
      <c r="U108" s="33" t="n">
        <f aca="false">S108-T108</f>
        <v>3.4023395460813</v>
      </c>
      <c r="V108" s="32" t="str">
        <f aca="false">IF(M108="","",IF(M108&lt;Assumptions!$B$5,"BUY",IF(M108&gt;Assumptions!$B$4,"SELL","HOLD")))</f>
        <v>HOLD</v>
      </c>
      <c r="W108" s="32" t="str">
        <f aca="false">IF(O108="","",IF(E108&gt;O108,"BUY","SELL"))</f>
        <v>BUY</v>
      </c>
      <c r="X108" s="32" t="str">
        <f aca="false">IF(T108="","",IF(S108&gt;T108,"BUY","SELL"))</f>
        <v>BUY</v>
      </c>
      <c r="Y108" s="34" t="n">
        <f aca="false">IF(OR(V108="",W108="",X108=""),"",IFERROR(IF(V108="BUY",1,IF(V108="SELL",-1,0))+IF(W108="BUY",1,IF(W108="SELL",-1,0))+IF(X108="BUY",1,IF(X108="SELL",-1,0)),0))</f>
        <v>2</v>
      </c>
      <c r="Z108" s="32" t="str">
        <f aca="false">IF(Y108="","",IF(Y108&gt;=2,"STRONG BUY",IF(Y108=1,"BUY",IF(Y108=0,"HOLD",IF(Y108=-1,"SELL","STRONG SELL")))))</f>
        <v>STRONG BUY</v>
      </c>
    </row>
    <row r="109" customFormat="false" ht="15" hidden="false" customHeight="false" outlineLevel="0" collapsed="false">
      <c r="A109" s="24" t="n">
        <v>45919</v>
      </c>
      <c r="B109" s="25" t="n">
        <v>1458.94</v>
      </c>
      <c r="C109" s="25" t="n">
        <v>1472.98</v>
      </c>
      <c r="D109" s="25" t="n">
        <v>1448.2</v>
      </c>
      <c r="E109" s="25" t="n">
        <v>1460.59</v>
      </c>
      <c r="F109" s="26" t="n">
        <v>3195499</v>
      </c>
      <c r="G109" s="27" t="n">
        <f aca="false">E109-E108</f>
        <v>18.73</v>
      </c>
      <c r="H109" s="28" t="n">
        <f aca="false">G109/E108</f>
        <v>0.0129901654806986</v>
      </c>
      <c r="I109" s="29" t="n">
        <f aca="false">MAX(G109,0)</f>
        <v>18.73</v>
      </c>
      <c r="J109" s="29" t="n">
        <f aca="false">MAX(-G109,0)</f>
        <v>0</v>
      </c>
      <c r="K109" s="29" t="n">
        <f aca="false">(K108*13+I109)/14</f>
        <v>6.6143511276648</v>
      </c>
      <c r="L109" s="29" t="n">
        <f aca="false">(L108*13+J109)/14</f>
        <v>3.23282549302741</v>
      </c>
      <c r="M109" s="31" t="n">
        <f aca="false">IF(L109=0,100,100-100/(1+K109/MAX(L109,0.000001)))</f>
        <v>67.1700263176537</v>
      </c>
      <c r="N109" s="30" t="n">
        <f aca="false">AVERAGE(E90:E109)</f>
        <v>1416.4885</v>
      </c>
      <c r="O109" s="30" t="n">
        <f aca="false">AVERAGE(E60:E109)</f>
        <v>1393.4248</v>
      </c>
      <c r="Q109" s="30" t="n">
        <f aca="false">Q108+(2/13)*(E109-Q108)</f>
        <v>1438.51057704841</v>
      </c>
      <c r="R109" s="30" t="n">
        <f aca="false">R108+(2/27)*(E109-R108)</f>
        <v>1417.73583481083</v>
      </c>
      <c r="S109" s="33" t="n">
        <f aca="false">Q109-R109</f>
        <v>20.7747422375774</v>
      </c>
      <c r="T109" s="33" t="n">
        <f aca="false">T108+(2/10)*(S109-T108)</f>
        <v>17.5839847434964</v>
      </c>
      <c r="U109" s="33" t="n">
        <f aca="false">S109-T109</f>
        <v>3.19075749408094</v>
      </c>
      <c r="V109" s="32" t="str">
        <f aca="false">IF(M109="","",IF(M109&lt;Assumptions!$B$5,"BUY",IF(M109&gt;Assumptions!$B$4,"SELL","HOLD")))</f>
        <v>HOLD</v>
      </c>
      <c r="W109" s="32" t="str">
        <f aca="false">IF(O109="","",IF(E109&gt;O109,"BUY","SELL"))</f>
        <v>BUY</v>
      </c>
      <c r="X109" s="32" t="str">
        <f aca="false">IF(T109="","",IF(S109&gt;T109,"BUY","SELL"))</f>
        <v>BUY</v>
      </c>
      <c r="Y109" s="34" t="n">
        <f aca="false">IF(OR(V109="",W109="",X109=""),"",IFERROR(IF(V109="BUY",1,IF(V109="SELL",-1,0))+IF(W109="BUY",1,IF(W109="SELL",-1,0))+IF(X109="BUY",1,IF(X109="SELL",-1,0)),0))</f>
        <v>2</v>
      </c>
      <c r="Z109" s="32" t="str">
        <f aca="false">IF(Y109="","",IF(Y109&gt;=2,"STRONG BUY",IF(Y109=1,"BUY",IF(Y109=0,"HOLD",IF(Y109=-1,"SELL","STRONG SELL")))))</f>
        <v>STRONG BUY</v>
      </c>
    </row>
    <row r="110" customFormat="false" ht="15" hidden="false" customHeight="false" outlineLevel="0" collapsed="false">
      <c r="A110" s="24" t="n">
        <v>45922</v>
      </c>
      <c r="B110" s="25" t="n">
        <v>1469.18</v>
      </c>
      <c r="C110" s="25" t="n">
        <v>1473.84</v>
      </c>
      <c r="D110" s="25" t="n">
        <v>1469.18</v>
      </c>
      <c r="E110" s="25" t="n">
        <v>1471.51</v>
      </c>
      <c r="F110" s="26" t="n">
        <v>4599771</v>
      </c>
      <c r="G110" s="27" t="n">
        <f aca="false">E110-E109</f>
        <v>10.9200000000001</v>
      </c>
      <c r="H110" s="28" t="n">
        <f aca="false">G110/E109</f>
        <v>0.00747643075743369</v>
      </c>
      <c r="I110" s="29" t="n">
        <f aca="false">MAX(G110,0)</f>
        <v>10.9200000000001</v>
      </c>
      <c r="J110" s="29" t="n">
        <f aca="false">MAX(-G110,0)</f>
        <v>0</v>
      </c>
      <c r="K110" s="29" t="n">
        <f aca="false">(K109*13+I110)/14</f>
        <v>6.92189747568875</v>
      </c>
      <c r="L110" s="29" t="n">
        <f aca="false">(L109*13+J110)/14</f>
        <v>3.0019093863826</v>
      </c>
      <c r="M110" s="31" t="n">
        <f aca="false">IF(L110=0,100,100-100/(1+K110/MAX(L110,0.000001)))</f>
        <v>69.7504251331628</v>
      </c>
      <c r="N110" s="30" t="n">
        <f aca="false">AVERAGE(E91:E110)</f>
        <v>1421.6615</v>
      </c>
      <c r="O110" s="30" t="n">
        <f aca="false">AVERAGE(E61:E110)</f>
        <v>1396.07</v>
      </c>
      <c r="Q110" s="30" t="n">
        <f aca="false">Q109+(2/13)*(E110-Q109)</f>
        <v>1443.58741134865</v>
      </c>
      <c r="R110" s="30" t="n">
        <f aca="false">R109+(2/27)*(E110-R109)</f>
        <v>1421.71910630632</v>
      </c>
      <c r="S110" s="33" t="n">
        <f aca="false">Q110-R110</f>
        <v>21.8683050423285</v>
      </c>
      <c r="T110" s="33" t="n">
        <f aca="false">T109+(2/10)*(S110-T109)</f>
        <v>18.4408488032628</v>
      </c>
      <c r="U110" s="33" t="n">
        <f aca="false">S110-T110</f>
        <v>3.42745623906569</v>
      </c>
      <c r="V110" s="32" t="str">
        <f aca="false">IF(M110="","",IF(M110&lt;Assumptions!$B$5,"BUY",IF(M110&gt;Assumptions!$B$4,"SELL","HOLD")))</f>
        <v>HOLD</v>
      </c>
      <c r="W110" s="32" t="str">
        <f aca="false">IF(O110="","",IF(E110&gt;O110,"BUY","SELL"))</f>
        <v>BUY</v>
      </c>
      <c r="X110" s="32" t="str">
        <f aca="false">IF(T110="","",IF(S110&gt;T110,"BUY","SELL"))</f>
        <v>BUY</v>
      </c>
      <c r="Y110" s="34" t="n">
        <f aca="false">IF(OR(V110="",W110="",X110=""),"",IFERROR(IF(V110="BUY",1,IF(V110="SELL",-1,0))+IF(W110="BUY",1,IF(W110="SELL",-1,0))+IF(X110="BUY",1,IF(X110="SELL",-1,0)),0))</f>
        <v>2</v>
      </c>
      <c r="Z110" s="32" t="str">
        <f aca="false">IF(Y110="","",IF(Y110&gt;=2,"STRONG BUY",IF(Y110=1,"BUY",IF(Y110=0,"HOLD",IF(Y110=-1,"SELL","STRONG SELL")))))</f>
        <v>STRONG BUY</v>
      </c>
    </row>
    <row r="111" customFormat="false" ht="15" hidden="false" customHeight="false" outlineLevel="0" collapsed="false">
      <c r="A111" s="24" t="n">
        <v>45923</v>
      </c>
      <c r="B111" s="25" t="n">
        <v>1474.21</v>
      </c>
      <c r="C111" s="25" t="n">
        <v>1496.83</v>
      </c>
      <c r="D111" s="25" t="n">
        <v>1464.79</v>
      </c>
      <c r="E111" s="25" t="n">
        <v>1480.81</v>
      </c>
      <c r="F111" s="26" t="n">
        <v>4522129</v>
      </c>
      <c r="G111" s="27" t="n">
        <f aca="false">E111-E110</f>
        <v>9.29999999999996</v>
      </c>
      <c r="H111" s="28" t="n">
        <f aca="false">G111/E110</f>
        <v>0.00632003859980561</v>
      </c>
      <c r="I111" s="29" t="n">
        <f aca="false">MAX(G111,0)</f>
        <v>9.29999999999996</v>
      </c>
      <c r="J111" s="29" t="n">
        <f aca="false">MAX(-G111,0)</f>
        <v>0</v>
      </c>
      <c r="K111" s="29" t="n">
        <f aca="false">(K110*13+I111)/14</f>
        <v>7.09176194171098</v>
      </c>
      <c r="L111" s="29" t="n">
        <f aca="false">(L110*13+J111)/14</f>
        <v>2.78748728735527</v>
      </c>
      <c r="M111" s="31" t="n">
        <f aca="false">IF(L111=0,100,100-100/(1+K111/MAX(L111,0.000001)))</f>
        <v>71.7844218449914</v>
      </c>
      <c r="N111" s="30" t="n">
        <f aca="false">AVERAGE(E92:E111)</f>
        <v>1427.304</v>
      </c>
      <c r="O111" s="30" t="n">
        <f aca="false">AVERAGE(E62:E111)</f>
        <v>1398.5536</v>
      </c>
      <c r="Q111" s="30" t="n">
        <f aca="false">Q110+(2/13)*(E111-Q110)</f>
        <v>1449.31396344886</v>
      </c>
      <c r="R111" s="30" t="n">
        <f aca="false">R110+(2/27)*(E111-R110)</f>
        <v>1426.09620954289</v>
      </c>
      <c r="S111" s="33" t="n">
        <f aca="false">Q111-R111</f>
        <v>23.2177539059674</v>
      </c>
      <c r="T111" s="33" t="n">
        <f aca="false">T110+(2/10)*(S111-T110)</f>
        <v>19.3962298238037</v>
      </c>
      <c r="U111" s="33" t="n">
        <f aca="false">S111-T111</f>
        <v>3.82152408216361</v>
      </c>
      <c r="V111" s="32" t="str">
        <f aca="false">IF(M111="","",IF(M111&lt;Assumptions!$B$5,"BUY",IF(M111&gt;Assumptions!$B$4,"SELL","HOLD")))</f>
        <v>SELL</v>
      </c>
      <c r="W111" s="32" t="str">
        <f aca="false">IF(O111="","",IF(E111&gt;O111,"BUY","SELL"))</f>
        <v>BUY</v>
      </c>
      <c r="X111" s="32" t="str">
        <f aca="false">IF(T111="","",IF(S111&gt;T111,"BUY","SELL"))</f>
        <v>BUY</v>
      </c>
      <c r="Y111" s="34" t="n">
        <f aca="false">IF(OR(V111="",W111="",X111=""),"",IFERROR(IF(V111="BUY",1,IF(V111="SELL",-1,0))+IF(W111="BUY",1,IF(W111="SELL",-1,0))+IF(X111="BUY",1,IF(X111="SELL",-1,0)),0))</f>
        <v>1</v>
      </c>
      <c r="Z111" s="32" t="str">
        <f aca="false">IF(Y111="","",IF(Y111&gt;=2,"STRONG BUY",IF(Y111=1,"BUY",IF(Y111=0,"HOLD",IF(Y111=-1,"SELL","STRONG SELL")))))</f>
        <v>BUY</v>
      </c>
    </row>
    <row r="112" customFormat="false" ht="15" hidden="false" customHeight="false" outlineLevel="0" collapsed="false">
      <c r="A112" s="24" t="n">
        <v>45924</v>
      </c>
      <c r="B112" s="25" t="n">
        <v>1453.34</v>
      </c>
      <c r="C112" s="25" t="n">
        <v>1462.59</v>
      </c>
      <c r="D112" s="25" t="n">
        <v>1436.67</v>
      </c>
      <c r="E112" s="25" t="n">
        <v>1449.63</v>
      </c>
      <c r="F112" s="26" t="n">
        <v>4605691</v>
      </c>
      <c r="G112" s="27" t="n">
        <f aca="false">E112-E111</f>
        <v>-31.1799999999998</v>
      </c>
      <c r="H112" s="28" t="n">
        <f aca="false">G112/E111</f>
        <v>-0.0210560436517851</v>
      </c>
      <c r="I112" s="29" t="n">
        <f aca="false">MAX(G112,0)</f>
        <v>0</v>
      </c>
      <c r="J112" s="29" t="n">
        <f aca="false">MAX(-G112,0)</f>
        <v>31.1799999999998</v>
      </c>
      <c r="K112" s="29" t="n">
        <f aca="false">(K111*13+I112)/14</f>
        <v>6.58520751730305</v>
      </c>
      <c r="L112" s="29" t="n">
        <f aca="false">(L111*13+J112)/14</f>
        <v>4.81552390968702</v>
      </c>
      <c r="M112" s="31" t="n">
        <f aca="false">IF(L112=0,100,100-100/(1+K112/MAX(L112,0.000001)))</f>
        <v>57.7612722435794</v>
      </c>
      <c r="N112" s="30" t="n">
        <f aca="false">AVERAGE(E93:E112)</f>
        <v>1431.2195</v>
      </c>
      <c r="O112" s="30" t="n">
        <f aca="false">AVERAGE(E63:E112)</f>
        <v>1400.2872</v>
      </c>
      <c r="Q112" s="30" t="n">
        <f aca="false">Q111+(2/13)*(E112-Q111)</f>
        <v>1449.36258445673</v>
      </c>
      <c r="R112" s="30" t="n">
        <f aca="false">R111+(2/27)*(E112-R111)</f>
        <v>1427.83945328045</v>
      </c>
      <c r="S112" s="33" t="n">
        <f aca="false">Q112-R112</f>
        <v>21.5231311762716</v>
      </c>
      <c r="T112" s="33" t="n">
        <f aca="false">T111+(2/10)*(S112-T111)</f>
        <v>19.8216100942973</v>
      </c>
      <c r="U112" s="33" t="n">
        <f aca="false">S112-T112</f>
        <v>1.70152108197428</v>
      </c>
      <c r="V112" s="32" t="str">
        <f aca="false">IF(M112="","",IF(M112&lt;Assumptions!$B$5,"BUY",IF(M112&gt;Assumptions!$B$4,"SELL","HOLD")))</f>
        <v>HOLD</v>
      </c>
      <c r="W112" s="32" t="str">
        <f aca="false">IF(O112="","",IF(E112&gt;O112,"BUY","SELL"))</f>
        <v>BUY</v>
      </c>
      <c r="X112" s="32" t="str">
        <f aca="false">IF(T112="","",IF(S112&gt;T112,"BUY","SELL"))</f>
        <v>BUY</v>
      </c>
      <c r="Y112" s="34" t="n">
        <f aca="false">IF(OR(V112="",W112="",X112=""),"",IFERROR(IF(V112="BUY",1,IF(V112="SELL",-1,0))+IF(W112="BUY",1,IF(W112="SELL",-1,0))+IF(X112="BUY",1,IF(X112="SELL",-1,0)),0))</f>
        <v>2</v>
      </c>
      <c r="Z112" s="32" t="str">
        <f aca="false">IF(Y112="","",IF(Y112&gt;=2,"STRONG BUY",IF(Y112=1,"BUY",IF(Y112=0,"HOLD",IF(Y112=-1,"SELL","STRONG SELL")))))</f>
        <v>STRONG BUY</v>
      </c>
    </row>
    <row r="113" customFormat="false" ht="15" hidden="false" customHeight="false" outlineLevel="0" collapsed="false">
      <c r="A113" s="24" t="n">
        <v>45925</v>
      </c>
      <c r="B113" s="25" t="n">
        <v>1460.29</v>
      </c>
      <c r="C113" s="25" t="n">
        <v>1476.07</v>
      </c>
      <c r="D113" s="25" t="n">
        <v>1442.09</v>
      </c>
      <c r="E113" s="25" t="n">
        <v>1459.08</v>
      </c>
      <c r="F113" s="26" t="n">
        <v>4348685</v>
      </c>
      <c r="G113" s="27" t="n">
        <f aca="false">E113-E112</f>
        <v>9.44999999999982</v>
      </c>
      <c r="H113" s="28" t="n">
        <f aca="false">G113/E112</f>
        <v>0.00651890482398944</v>
      </c>
      <c r="I113" s="29" t="n">
        <f aca="false">MAX(G113,0)</f>
        <v>9.44999999999982</v>
      </c>
      <c r="J113" s="29" t="n">
        <f aca="false">MAX(-G113,0)</f>
        <v>0</v>
      </c>
      <c r="K113" s="29" t="n">
        <f aca="false">(K112*13+I113)/14</f>
        <v>6.78983555178139</v>
      </c>
      <c r="L113" s="29" t="n">
        <f aca="false">(L112*13+J113)/14</f>
        <v>4.47155791613795</v>
      </c>
      <c r="M113" s="31" t="n">
        <f aca="false">IF(L113=0,100,100-100/(1+K113/MAX(L113,0.000001)))</f>
        <v>60.2930318625647</v>
      </c>
      <c r="N113" s="30" t="n">
        <f aca="false">AVERAGE(E94:E113)</f>
        <v>1435.497</v>
      </c>
      <c r="O113" s="30" t="n">
        <f aca="false">AVERAGE(E64:E113)</f>
        <v>1402.0012</v>
      </c>
      <c r="Q113" s="30" t="n">
        <f aca="false">Q112+(2/13)*(E113-Q112)</f>
        <v>1450.85757146338</v>
      </c>
      <c r="R113" s="30" t="n">
        <f aca="false">R112+(2/27)*(E113-R112)</f>
        <v>1430.15356785227</v>
      </c>
      <c r="S113" s="33" t="n">
        <f aca="false">Q113-R113</f>
        <v>20.7040036111109</v>
      </c>
      <c r="T113" s="33" t="n">
        <f aca="false">T112+(2/10)*(S113-T112)</f>
        <v>19.99808879766</v>
      </c>
      <c r="U113" s="33" t="n">
        <f aca="false">S113-T113</f>
        <v>0.705914813450885</v>
      </c>
      <c r="V113" s="32" t="str">
        <f aca="false">IF(M113="","",IF(M113&lt;Assumptions!$B$5,"BUY",IF(M113&gt;Assumptions!$B$4,"SELL","HOLD")))</f>
        <v>HOLD</v>
      </c>
      <c r="W113" s="32" t="str">
        <f aca="false">IF(O113="","",IF(E113&gt;O113,"BUY","SELL"))</f>
        <v>BUY</v>
      </c>
      <c r="X113" s="32" t="str">
        <f aca="false">IF(T113="","",IF(S113&gt;T113,"BUY","SELL"))</f>
        <v>BUY</v>
      </c>
      <c r="Y113" s="34" t="n">
        <f aca="false">IF(OR(V113="",W113="",X113=""),"",IFERROR(IF(V113="BUY",1,IF(V113="SELL",-1,0))+IF(W113="BUY",1,IF(W113="SELL",-1,0))+IF(X113="BUY",1,IF(X113="SELL",-1,0)),0))</f>
        <v>2</v>
      </c>
      <c r="Z113" s="32" t="str">
        <f aca="false">IF(Y113="","",IF(Y113&gt;=2,"STRONG BUY",IF(Y113=1,"BUY",IF(Y113=0,"HOLD",IF(Y113=-1,"SELL","STRONG SELL")))))</f>
        <v>STRONG BUY</v>
      </c>
    </row>
    <row r="114" customFormat="false" ht="15" hidden="false" customHeight="false" outlineLevel="0" collapsed="false">
      <c r="A114" s="24" t="n">
        <v>45926</v>
      </c>
      <c r="B114" s="25" t="n">
        <v>1463.57</v>
      </c>
      <c r="C114" s="25" t="n">
        <v>1471.38</v>
      </c>
      <c r="D114" s="25" t="n">
        <v>1461.7</v>
      </c>
      <c r="E114" s="25" t="n">
        <v>1466.54</v>
      </c>
      <c r="F114" s="26" t="n">
        <v>2656210</v>
      </c>
      <c r="G114" s="27" t="n">
        <f aca="false">E114-E113</f>
        <v>7.46000000000004</v>
      </c>
      <c r="H114" s="28" t="n">
        <f aca="false">G114/E113</f>
        <v>0.0051128108122927</v>
      </c>
      <c r="I114" s="29" t="n">
        <f aca="false">MAX(G114,0)</f>
        <v>7.46000000000004</v>
      </c>
      <c r="J114" s="29" t="n">
        <f aca="false">MAX(-G114,0)</f>
        <v>0</v>
      </c>
      <c r="K114" s="29" t="n">
        <f aca="false">(K113*13+I114)/14</f>
        <v>6.83770444093987</v>
      </c>
      <c r="L114" s="29" t="n">
        <f aca="false">(L113*13+J114)/14</f>
        <v>4.1521609221281</v>
      </c>
      <c r="M114" s="31" t="n">
        <f aca="false">IF(L114=0,100,100-100/(1+K114/MAX(L114,0.000001)))</f>
        <v>62.2182730638206</v>
      </c>
      <c r="N114" s="30" t="n">
        <f aca="false">AVERAGE(E95:E114)</f>
        <v>1439.467</v>
      </c>
      <c r="O114" s="30" t="n">
        <f aca="false">AVERAGE(E65:E114)</f>
        <v>1403.5068</v>
      </c>
      <c r="Q114" s="30" t="n">
        <f aca="false">Q113+(2/13)*(E114-Q113)</f>
        <v>1453.27025277671</v>
      </c>
      <c r="R114" s="30" t="n">
        <f aca="false">R113+(2/27)*(E114-R113)</f>
        <v>1432.84885912247</v>
      </c>
      <c r="S114" s="33" t="n">
        <f aca="false">Q114-R114</f>
        <v>20.4213936542346</v>
      </c>
      <c r="T114" s="33" t="n">
        <f aca="false">T113+(2/10)*(S114-T113)</f>
        <v>20.082749768975</v>
      </c>
      <c r="U114" s="33" t="n">
        <f aca="false">S114-T114</f>
        <v>0.338643885259678</v>
      </c>
      <c r="V114" s="32" t="str">
        <f aca="false">IF(M114="","",IF(M114&lt;Assumptions!$B$5,"BUY",IF(M114&gt;Assumptions!$B$4,"SELL","HOLD")))</f>
        <v>HOLD</v>
      </c>
      <c r="W114" s="32" t="str">
        <f aca="false">IF(O114="","",IF(E114&gt;O114,"BUY","SELL"))</f>
        <v>BUY</v>
      </c>
      <c r="X114" s="32" t="str">
        <f aca="false">IF(T114="","",IF(S114&gt;T114,"BUY","SELL"))</f>
        <v>BUY</v>
      </c>
      <c r="Y114" s="34" t="n">
        <f aca="false">IF(OR(V114="",W114="",X114=""),"",IFERROR(IF(V114="BUY",1,IF(V114="SELL",-1,0))+IF(W114="BUY",1,IF(W114="SELL",-1,0))+IF(X114="BUY",1,IF(X114="SELL",-1,0)),0))</f>
        <v>2</v>
      </c>
      <c r="Z114" s="32" t="str">
        <f aca="false">IF(Y114="","",IF(Y114&gt;=2,"STRONG BUY",IF(Y114=1,"BUY",IF(Y114=0,"HOLD",IF(Y114=-1,"SELL","STRONG SELL")))))</f>
        <v>STRONG BUY</v>
      </c>
    </row>
    <row r="115" customFormat="false" ht="15" hidden="false" customHeight="false" outlineLevel="0" collapsed="false">
      <c r="A115" s="24" t="n">
        <v>45929</v>
      </c>
      <c r="B115" s="25" t="n">
        <v>1458.43</v>
      </c>
      <c r="C115" s="25" t="n">
        <v>1462.09</v>
      </c>
      <c r="D115" s="25" t="n">
        <v>1456.81</v>
      </c>
      <c r="E115" s="25" t="n">
        <v>1459.45</v>
      </c>
      <c r="F115" s="26" t="n">
        <v>5291051</v>
      </c>
      <c r="G115" s="27" t="n">
        <f aca="false">E115-E114</f>
        <v>-7.08999999999992</v>
      </c>
      <c r="H115" s="28" t="n">
        <f aca="false">G115/E114</f>
        <v>-0.00483450843481932</v>
      </c>
      <c r="I115" s="29" t="n">
        <f aca="false">MAX(G115,0)</f>
        <v>0</v>
      </c>
      <c r="J115" s="29" t="n">
        <f aca="false">MAX(-G115,0)</f>
        <v>7.08999999999992</v>
      </c>
      <c r="K115" s="29" t="n">
        <f aca="false">(K114*13+I115)/14</f>
        <v>6.34929698087274</v>
      </c>
      <c r="L115" s="29" t="n">
        <f aca="false">(L114*13+J115)/14</f>
        <v>4.36200657054751</v>
      </c>
      <c r="M115" s="31" t="n">
        <f aca="false">IF(L115=0,100,100-100/(1+K115/MAX(L115,0.000001)))</f>
        <v>59.2766039202657</v>
      </c>
      <c r="N115" s="30" t="n">
        <f aca="false">AVERAGE(E96:E115)</f>
        <v>1442.5155</v>
      </c>
      <c r="O115" s="30" t="n">
        <f aca="false">AVERAGE(E66:E115)</f>
        <v>1404.8914</v>
      </c>
      <c r="Q115" s="30" t="n">
        <f aca="false">Q114+(2/13)*(E115-Q114)</f>
        <v>1454.22098311875</v>
      </c>
      <c r="R115" s="30" t="n">
        <f aca="false">R114+(2/27)*(E115-R114)</f>
        <v>1434.81931400229</v>
      </c>
      <c r="S115" s="33" t="n">
        <f aca="false">Q115-R115</f>
        <v>19.4016691164627</v>
      </c>
      <c r="T115" s="33" t="n">
        <f aca="false">T114+(2/10)*(S115-T114)</f>
        <v>19.9465336384725</v>
      </c>
      <c r="U115" s="33" t="n">
        <f aca="false">S115-T115</f>
        <v>-0.544864522009807</v>
      </c>
      <c r="V115" s="32" t="str">
        <f aca="false">IF(M115="","",IF(M115&lt;Assumptions!$B$5,"BUY",IF(M115&gt;Assumptions!$B$4,"SELL","HOLD")))</f>
        <v>HOLD</v>
      </c>
      <c r="W115" s="32" t="str">
        <f aca="false">IF(O115="","",IF(E115&gt;O115,"BUY","SELL"))</f>
        <v>BUY</v>
      </c>
      <c r="X115" s="32" t="str">
        <f aca="false">IF(T115="","",IF(S115&gt;T115,"BUY","SELL"))</f>
        <v>SELL</v>
      </c>
      <c r="Y115" s="34" t="n">
        <f aca="false">IF(OR(V115="",W115="",X115=""),"",IFERROR(IF(V115="BUY",1,IF(V115="SELL",-1,0))+IF(W115="BUY",1,IF(W115="SELL",-1,0))+IF(X115="BUY",1,IF(X115="SELL",-1,0)),0))</f>
        <v>0</v>
      </c>
      <c r="Z115" s="32" t="str">
        <f aca="false">IF(Y115="","",IF(Y115&gt;=2,"STRONG BUY",IF(Y115=1,"BUY",IF(Y115=0,"HOLD",IF(Y115=-1,"SELL","STRONG SELL")))))</f>
        <v>HOLD</v>
      </c>
    </row>
    <row r="116" customFormat="false" ht="15" hidden="false" customHeight="false" outlineLevel="0" collapsed="false">
      <c r="A116" s="24" t="n">
        <v>45930</v>
      </c>
      <c r="B116" s="25" t="n">
        <v>1448.42</v>
      </c>
      <c r="C116" s="25" t="n">
        <v>1454.65</v>
      </c>
      <c r="D116" s="25" t="n">
        <v>1448.11</v>
      </c>
      <c r="E116" s="25" t="n">
        <v>1451.38</v>
      </c>
      <c r="F116" s="26" t="n">
        <v>5737758</v>
      </c>
      <c r="G116" s="27" t="n">
        <f aca="false">E116-E115</f>
        <v>-8.06999999999994</v>
      </c>
      <c r="H116" s="28" t="n">
        <f aca="false">G116/E115</f>
        <v>-0.00552948028366846</v>
      </c>
      <c r="I116" s="29" t="n">
        <f aca="false">MAX(G116,0)</f>
        <v>0</v>
      </c>
      <c r="J116" s="29" t="n">
        <f aca="false">MAX(-G116,0)</f>
        <v>8.06999999999994</v>
      </c>
      <c r="K116" s="29" t="n">
        <f aca="false">(K115*13+I116)/14</f>
        <v>5.89577576795325</v>
      </c>
      <c r="L116" s="29" t="n">
        <f aca="false">(L115*13+J116)/14</f>
        <v>4.62686324407983</v>
      </c>
      <c r="M116" s="31" t="n">
        <f aca="false">IF(L116=0,100,100-100/(1+K116/MAX(L116,0.000001)))</f>
        <v>56.0294405349379</v>
      </c>
      <c r="N116" s="30" t="n">
        <f aca="false">AVERAGE(E97:E116)</f>
        <v>1444.981</v>
      </c>
      <c r="O116" s="30" t="n">
        <f aca="false">AVERAGE(E67:E116)</f>
        <v>1406.4656</v>
      </c>
      <c r="Q116" s="30" t="n">
        <f aca="false">Q115+(2/13)*(E116-Q115)</f>
        <v>1453.78390879279</v>
      </c>
      <c r="R116" s="30" t="n">
        <f aca="false">R115+(2/27)*(E116-R115)</f>
        <v>1436.0460314836</v>
      </c>
      <c r="S116" s="33" t="n">
        <f aca="false">Q116-R116</f>
        <v>17.7378773091889</v>
      </c>
      <c r="T116" s="33" t="n">
        <f aca="false">T115+(2/10)*(S116-T115)</f>
        <v>19.5048023726158</v>
      </c>
      <c r="U116" s="33" t="n">
        <f aca="false">S116-T116</f>
        <v>-1.76692506342689</v>
      </c>
      <c r="V116" s="32" t="str">
        <f aca="false">IF(M116="","",IF(M116&lt;Assumptions!$B$5,"BUY",IF(M116&gt;Assumptions!$B$4,"SELL","HOLD")))</f>
        <v>HOLD</v>
      </c>
      <c r="W116" s="32" t="str">
        <f aca="false">IF(O116="","",IF(E116&gt;O116,"BUY","SELL"))</f>
        <v>BUY</v>
      </c>
      <c r="X116" s="32" t="str">
        <f aca="false">IF(T116="","",IF(S116&gt;T116,"BUY","SELL"))</f>
        <v>SELL</v>
      </c>
      <c r="Y116" s="34" t="n">
        <f aca="false">IF(OR(V116="",W116="",X116=""),"",IFERROR(IF(V116="BUY",1,IF(V116="SELL",-1,0))+IF(W116="BUY",1,IF(W116="SELL",-1,0))+IF(X116="BUY",1,IF(X116="SELL",-1,0)),0))</f>
        <v>0</v>
      </c>
      <c r="Z116" s="32" t="str">
        <f aca="false">IF(Y116="","",IF(Y116&gt;=2,"STRONG BUY",IF(Y116=1,"BUY",IF(Y116=0,"HOLD",IF(Y116=-1,"SELL","STRONG SELL")))))</f>
        <v>HOLD</v>
      </c>
    </row>
    <row r="117" customFormat="false" ht="15" hidden="false" customHeight="false" outlineLevel="0" collapsed="false">
      <c r="A117" s="24" t="n">
        <v>45931</v>
      </c>
      <c r="B117" s="25" t="n">
        <v>1445.07</v>
      </c>
      <c r="C117" s="25" t="n">
        <v>1466.62</v>
      </c>
      <c r="D117" s="25" t="n">
        <v>1436.36</v>
      </c>
      <c r="E117" s="25" t="n">
        <v>1451.49</v>
      </c>
      <c r="F117" s="26" t="n">
        <v>8040494</v>
      </c>
      <c r="G117" s="27" t="n">
        <f aca="false">E117-E116</f>
        <v>0.1099999999999</v>
      </c>
      <c r="H117" s="28" t="n">
        <f aca="false">G117/E116</f>
        <v>7.5789937852182E-005</v>
      </c>
      <c r="I117" s="29" t="n">
        <f aca="false">MAX(G117,0)</f>
        <v>0.1099999999999</v>
      </c>
      <c r="J117" s="29" t="n">
        <f aca="false">MAX(-G117,0)</f>
        <v>0</v>
      </c>
      <c r="K117" s="29" t="n">
        <f aca="false">(K116*13+I117)/14</f>
        <v>5.4825060702423</v>
      </c>
      <c r="L117" s="29" t="n">
        <f aca="false">(L116*13+J117)/14</f>
        <v>4.29637301235984</v>
      </c>
      <c r="M117" s="31" t="n">
        <f aca="false">IF(L117=0,100,100-100/(1+K117/MAX(L117,0.000001)))</f>
        <v>56.0647700409382</v>
      </c>
      <c r="N117" s="30" t="n">
        <f aca="false">AVERAGE(E98:E117)</f>
        <v>1448.08</v>
      </c>
      <c r="O117" s="30" t="n">
        <f aca="false">AVERAGE(E68:E117)</f>
        <v>1408.1704</v>
      </c>
      <c r="Q117" s="30" t="n">
        <f aca="false">Q116+(2/13)*(E117-Q116)</f>
        <v>1453.43099974775</v>
      </c>
      <c r="R117" s="30" t="n">
        <f aca="false">R116+(2/27)*(E117-R116)</f>
        <v>1437.19002915148</v>
      </c>
      <c r="S117" s="33" t="n">
        <f aca="false">Q117-R117</f>
        <v>16.2409705962627</v>
      </c>
      <c r="T117" s="33" t="n">
        <f aca="false">T116+(2/10)*(S117-T116)</f>
        <v>18.8520360173452</v>
      </c>
      <c r="U117" s="33" t="n">
        <f aca="false">S117-T117</f>
        <v>-2.61106542108243</v>
      </c>
      <c r="V117" s="32" t="str">
        <f aca="false">IF(M117="","",IF(M117&lt;Assumptions!$B$5,"BUY",IF(M117&gt;Assumptions!$B$4,"SELL","HOLD")))</f>
        <v>HOLD</v>
      </c>
      <c r="W117" s="32" t="str">
        <f aca="false">IF(O117="","",IF(E117&gt;O117,"BUY","SELL"))</f>
        <v>BUY</v>
      </c>
      <c r="X117" s="32" t="str">
        <f aca="false">IF(T117="","",IF(S117&gt;T117,"BUY","SELL"))</f>
        <v>SELL</v>
      </c>
      <c r="Y117" s="34" t="n">
        <f aca="false">IF(OR(V117="",W117="",X117=""),"",IFERROR(IF(V117="BUY",1,IF(V117="SELL",-1,0))+IF(W117="BUY",1,IF(W117="SELL",-1,0))+IF(X117="BUY",1,IF(X117="SELL",-1,0)),0))</f>
        <v>0</v>
      </c>
      <c r="Z117" s="32" t="str">
        <f aca="false">IF(Y117="","",IF(Y117&gt;=2,"STRONG BUY",IF(Y117=1,"BUY",IF(Y117=0,"HOLD",IF(Y117=-1,"SELL","STRONG SELL")))))</f>
        <v>HOLD</v>
      </c>
    </row>
    <row r="118" customFormat="false" ht="15" hidden="false" customHeight="false" outlineLevel="0" collapsed="false">
      <c r="A118" s="24" t="n">
        <v>45932</v>
      </c>
      <c r="B118" s="25" t="n">
        <v>1472.2</v>
      </c>
      <c r="C118" s="25" t="n">
        <v>1476.5</v>
      </c>
      <c r="D118" s="25" t="n">
        <v>1472.2</v>
      </c>
      <c r="E118" s="25" t="n">
        <v>1474.35</v>
      </c>
      <c r="F118" s="26" t="n">
        <v>9247635</v>
      </c>
      <c r="G118" s="27" t="n">
        <f aca="false">E118-E117</f>
        <v>22.8599999999999</v>
      </c>
      <c r="H118" s="28" t="n">
        <f aca="false">G118/E117</f>
        <v>0.0157493334435648</v>
      </c>
      <c r="I118" s="29" t="n">
        <f aca="false">MAX(G118,0)</f>
        <v>22.8599999999999</v>
      </c>
      <c r="J118" s="29" t="n">
        <f aca="false">MAX(-G118,0)</f>
        <v>0</v>
      </c>
      <c r="K118" s="29" t="n">
        <f aca="false">(K117*13+I118)/14</f>
        <v>6.72375563665356</v>
      </c>
      <c r="L118" s="29" t="n">
        <f aca="false">(L117*13+J118)/14</f>
        <v>3.98948922576271</v>
      </c>
      <c r="M118" s="31" t="n">
        <f aca="false">IF(L118=0,100,100-100/(1+K118/MAX(L118,0.000001)))</f>
        <v>62.7611496143577</v>
      </c>
      <c r="N118" s="30" t="n">
        <f aca="false">AVERAGE(E99:E118)</f>
        <v>1451.748</v>
      </c>
      <c r="O118" s="30" t="n">
        <f aca="false">AVERAGE(E69:E118)</f>
        <v>1410.0942</v>
      </c>
      <c r="Q118" s="30" t="n">
        <f aca="false">Q117+(2/13)*(E118-Q117)</f>
        <v>1456.64930747886</v>
      </c>
      <c r="R118" s="30" t="n">
        <f aca="false">R117+(2/27)*(E118-R117)</f>
        <v>1439.94261958471</v>
      </c>
      <c r="S118" s="33" t="n">
        <f aca="false">Q118-R118</f>
        <v>16.7066878941553</v>
      </c>
      <c r="T118" s="33" t="n">
        <f aca="false">T117+(2/10)*(S118-T117)</f>
        <v>18.4229663927072</v>
      </c>
      <c r="U118" s="33" t="n">
        <f aca="false">S118-T118</f>
        <v>-1.71627849855193</v>
      </c>
      <c r="V118" s="32" t="str">
        <f aca="false">IF(M118="","",IF(M118&lt;Assumptions!$B$5,"BUY",IF(M118&gt;Assumptions!$B$4,"SELL","HOLD")))</f>
        <v>HOLD</v>
      </c>
      <c r="W118" s="32" t="str">
        <f aca="false">IF(O118="","",IF(E118&gt;O118,"BUY","SELL"))</f>
        <v>BUY</v>
      </c>
      <c r="X118" s="32" t="str">
        <f aca="false">IF(T118="","",IF(S118&gt;T118,"BUY","SELL"))</f>
        <v>SELL</v>
      </c>
      <c r="Y118" s="34" t="n">
        <f aca="false">IF(OR(V118="",W118="",X118=""),"",IFERROR(IF(V118="BUY",1,IF(V118="SELL",-1,0))+IF(W118="BUY",1,IF(W118="SELL",-1,0))+IF(X118="BUY",1,IF(X118="SELL",-1,0)),0))</f>
        <v>0</v>
      </c>
      <c r="Z118" s="32" t="str">
        <f aca="false">IF(Y118="","",IF(Y118&gt;=2,"STRONG BUY",IF(Y118=1,"BUY",IF(Y118=0,"HOLD",IF(Y118=-1,"SELL","STRONG SELL")))))</f>
        <v>HOLD</v>
      </c>
    </row>
    <row r="119" customFormat="false" ht="15" hidden="false" customHeight="false" outlineLevel="0" collapsed="false">
      <c r="A119" s="24" t="n">
        <v>45933</v>
      </c>
      <c r="B119" s="25" t="n">
        <v>1461.92</v>
      </c>
      <c r="C119" s="25" t="n">
        <v>1461.92</v>
      </c>
      <c r="D119" s="25" t="n">
        <v>1459.2</v>
      </c>
      <c r="E119" s="25" t="n">
        <v>1460.56</v>
      </c>
      <c r="F119" s="26" t="n">
        <v>6430789</v>
      </c>
      <c r="G119" s="27" t="n">
        <f aca="false">E119-E118</f>
        <v>-13.79</v>
      </c>
      <c r="H119" s="28" t="n">
        <f aca="false">G119/E118</f>
        <v>-0.00935327432427847</v>
      </c>
      <c r="I119" s="29" t="n">
        <f aca="false">MAX(G119,0)</f>
        <v>0</v>
      </c>
      <c r="J119" s="29" t="n">
        <f aca="false">MAX(-G119,0)</f>
        <v>13.79</v>
      </c>
      <c r="K119" s="29" t="n">
        <f aca="false">(K118*13+I119)/14</f>
        <v>6.24348737689259</v>
      </c>
      <c r="L119" s="29" t="n">
        <f aca="false">(L118*13+J119)/14</f>
        <v>4.6895257096368</v>
      </c>
      <c r="M119" s="31" t="n">
        <f aca="false">IF(L119=0,100,100-100/(1+K119/MAX(L119,0.000001)))</f>
        <v>57.106740177465</v>
      </c>
      <c r="N119" s="30" t="n">
        <f aca="false">AVERAGE(E100:E119)</f>
        <v>1454.479</v>
      </c>
      <c r="O119" s="30" t="n">
        <f aca="false">AVERAGE(E70:E119)</f>
        <v>1412.0952</v>
      </c>
      <c r="Q119" s="30" t="n">
        <f aca="false">Q118+(2/13)*(E119-Q118)</f>
        <v>1457.25095248211</v>
      </c>
      <c r="R119" s="30" t="n">
        <f aca="false">R118+(2/27)*(E119-R118)</f>
        <v>1441.4698329488</v>
      </c>
      <c r="S119" s="33" t="n">
        <f aca="false">Q119-R119</f>
        <v>15.7811195333113</v>
      </c>
      <c r="T119" s="33" t="n">
        <f aca="false">T118+(2/10)*(S119-T118)</f>
        <v>17.894597020828</v>
      </c>
      <c r="U119" s="33" t="n">
        <f aca="false">S119-T119</f>
        <v>-2.1134774875167</v>
      </c>
      <c r="V119" s="32" t="str">
        <f aca="false">IF(M119="","",IF(M119&lt;Assumptions!$B$5,"BUY",IF(M119&gt;Assumptions!$B$4,"SELL","HOLD")))</f>
        <v>HOLD</v>
      </c>
      <c r="W119" s="32" t="str">
        <f aca="false">IF(O119="","",IF(E119&gt;O119,"BUY","SELL"))</f>
        <v>BUY</v>
      </c>
      <c r="X119" s="32" t="str">
        <f aca="false">IF(T119="","",IF(S119&gt;T119,"BUY","SELL"))</f>
        <v>SELL</v>
      </c>
      <c r="Y119" s="34" t="n">
        <f aca="false">IF(OR(V119="",W119="",X119=""),"",IFERROR(IF(V119="BUY",1,IF(V119="SELL",-1,0))+IF(W119="BUY",1,IF(W119="SELL",-1,0))+IF(X119="BUY",1,IF(X119="SELL",-1,0)),0))</f>
        <v>0</v>
      </c>
      <c r="Z119" s="32" t="str">
        <f aca="false">IF(Y119="","",IF(Y119&gt;=2,"STRONG BUY",IF(Y119=1,"BUY",IF(Y119=0,"HOLD",IF(Y119=-1,"SELL","STRONG SELL")))))</f>
        <v>HOLD</v>
      </c>
    </row>
    <row r="120" customFormat="false" ht="15" hidden="false" customHeight="false" outlineLevel="0" collapsed="false">
      <c r="A120" s="24" t="n">
        <v>45936</v>
      </c>
      <c r="B120" s="25" t="n">
        <v>1455.79</v>
      </c>
      <c r="C120" s="25" t="n">
        <v>1469.76</v>
      </c>
      <c r="D120" s="25" t="n">
        <v>1440.42</v>
      </c>
      <c r="E120" s="25" t="n">
        <v>1455.09</v>
      </c>
      <c r="F120" s="26" t="n">
        <v>4080690</v>
      </c>
      <c r="G120" s="27" t="n">
        <f aca="false">E120-E119</f>
        <v>-5.47000000000003</v>
      </c>
      <c r="H120" s="28" t="n">
        <f aca="false">G120/E119</f>
        <v>-0.00374513885085175</v>
      </c>
      <c r="I120" s="29" t="n">
        <f aca="false">MAX(G120,0)</f>
        <v>0</v>
      </c>
      <c r="J120" s="29" t="n">
        <f aca="false">MAX(-G120,0)</f>
        <v>5.47000000000003</v>
      </c>
      <c r="K120" s="29" t="n">
        <f aca="false">(K119*13+I120)/14</f>
        <v>5.79752399282883</v>
      </c>
      <c r="L120" s="29" t="n">
        <f aca="false">(L119*13+J120)/14</f>
        <v>4.74527387323417</v>
      </c>
      <c r="M120" s="31" t="n">
        <f aca="false">IF(L120=0,100,100-100/(1+K120/MAX(L120,0.000001)))</f>
        <v>54.9903741538184</v>
      </c>
      <c r="N120" s="30" t="n">
        <f aca="false">AVERAGE(E101:E120)</f>
        <v>1456.149</v>
      </c>
      <c r="O120" s="30" t="n">
        <f aca="false">AVERAGE(E71:E120)</f>
        <v>1413.9758</v>
      </c>
      <c r="Q120" s="30" t="n">
        <f aca="false">Q119+(2/13)*(E120-Q119)</f>
        <v>1456.9184982541</v>
      </c>
      <c r="R120" s="30" t="n">
        <f aca="false">R119+(2/27)*(E120-R119)</f>
        <v>1442.47873421186</v>
      </c>
      <c r="S120" s="33" t="n">
        <f aca="false">Q120-R120</f>
        <v>14.4397640422419</v>
      </c>
      <c r="T120" s="33" t="n">
        <f aca="false">T119+(2/10)*(S120-T119)</f>
        <v>17.2036304251108</v>
      </c>
      <c r="U120" s="33" t="n">
        <f aca="false">S120-T120</f>
        <v>-2.76386638286889</v>
      </c>
      <c r="V120" s="32" t="str">
        <f aca="false">IF(M120="","",IF(M120&lt;Assumptions!$B$5,"BUY",IF(M120&gt;Assumptions!$B$4,"SELL","HOLD")))</f>
        <v>HOLD</v>
      </c>
      <c r="W120" s="32" t="str">
        <f aca="false">IF(O120="","",IF(E120&gt;O120,"BUY","SELL"))</f>
        <v>BUY</v>
      </c>
      <c r="X120" s="32" t="str">
        <f aca="false">IF(T120="","",IF(S120&gt;T120,"BUY","SELL"))</f>
        <v>SELL</v>
      </c>
      <c r="Y120" s="34" t="n">
        <f aca="false">IF(OR(V120="",W120="",X120=""),"",IFERROR(IF(V120="BUY",1,IF(V120="SELL",-1,0))+IF(W120="BUY",1,IF(W120="SELL",-1,0))+IF(X120="BUY",1,IF(X120="SELL",-1,0)),0))</f>
        <v>0</v>
      </c>
      <c r="Z120" s="32" t="str">
        <f aca="false">IF(Y120="","",IF(Y120&gt;=2,"STRONG BUY",IF(Y120=1,"BUY",IF(Y120=0,"HOLD",IF(Y120=-1,"SELL","STRONG SELL")))))</f>
        <v>HOLD</v>
      </c>
    </row>
    <row r="121" customFormat="false" ht="15" hidden="false" customHeight="false" outlineLevel="0" collapsed="false">
      <c r="A121" s="24" t="n">
        <v>45937</v>
      </c>
      <c r="B121" s="25" t="n">
        <v>1462.78</v>
      </c>
      <c r="C121" s="25" t="n">
        <v>1485.04</v>
      </c>
      <c r="D121" s="25" t="n">
        <v>1461.32</v>
      </c>
      <c r="E121" s="25" t="n">
        <v>1473.18</v>
      </c>
      <c r="F121" s="26" t="n">
        <v>5179007</v>
      </c>
      <c r="G121" s="27" t="n">
        <f aca="false">E121-E120</f>
        <v>18.0900000000001</v>
      </c>
      <c r="H121" s="28" t="n">
        <f aca="false">G121/E120</f>
        <v>0.0124322206873803</v>
      </c>
      <c r="I121" s="29" t="n">
        <f aca="false">MAX(G121,0)</f>
        <v>18.0900000000001</v>
      </c>
      <c r="J121" s="29" t="n">
        <f aca="false">MAX(-G121,0)</f>
        <v>0</v>
      </c>
      <c r="K121" s="29" t="n">
        <f aca="false">(K120*13+I121)/14</f>
        <v>6.67555799334107</v>
      </c>
      <c r="L121" s="29" t="n">
        <f aca="false">(L120*13+J121)/14</f>
        <v>4.40632573943173</v>
      </c>
      <c r="M121" s="31" t="n">
        <f aca="false">IF(L121=0,100,100-100/(1+K121/MAX(L121,0.000001)))</f>
        <v>60.2384770885047</v>
      </c>
      <c r="N121" s="30" t="n">
        <f aca="false">AVERAGE(E102:E121)</f>
        <v>1458.7355</v>
      </c>
      <c r="O121" s="30" t="n">
        <f aca="false">AVERAGE(E72:E121)</f>
        <v>1416.1534</v>
      </c>
      <c r="Q121" s="30" t="n">
        <f aca="false">Q120+(2/13)*(E121-Q120)</f>
        <v>1459.42026775347</v>
      </c>
      <c r="R121" s="30" t="n">
        <f aca="false">R120+(2/27)*(E121-R120)</f>
        <v>1444.75290204801</v>
      </c>
      <c r="S121" s="33" t="n">
        <f aca="false">Q121-R121</f>
        <v>14.6673657054525</v>
      </c>
      <c r="T121" s="33" t="n">
        <f aca="false">T120+(2/10)*(S121-T120)</f>
        <v>16.6963774811791</v>
      </c>
      <c r="U121" s="33" t="n">
        <f aca="false">S121-T121</f>
        <v>-2.02901177572661</v>
      </c>
      <c r="V121" s="32" t="str">
        <f aca="false">IF(M121="","",IF(M121&lt;Assumptions!$B$5,"BUY",IF(M121&gt;Assumptions!$B$4,"SELL","HOLD")))</f>
        <v>HOLD</v>
      </c>
      <c r="W121" s="32" t="str">
        <f aca="false">IF(O121="","",IF(E121&gt;O121,"BUY","SELL"))</f>
        <v>BUY</v>
      </c>
      <c r="X121" s="32" t="str">
        <f aca="false">IF(T121="","",IF(S121&gt;T121,"BUY","SELL"))</f>
        <v>SELL</v>
      </c>
      <c r="Y121" s="34" t="n">
        <f aca="false">IF(OR(V121="",W121="",X121=""),"",IFERROR(IF(V121="BUY",1,IF(V121="SELL",-1,0))+IF(W121="BUY",1,IF(W121="SELL",-1,0))+IF(X121="BUY",1,IF(X121="SELL",-1,0)),0))</f>
        <v>0</v>
      </c>
      <c r="Z121" s="32" t="str">
        <f aca="false">IF(Y121="","",IF(Y121&gt;=2,"STRONG BUY",IF(Y121=1,"BUY",IF(Y121=0,"HOLD",IF(Y121=-1,"SELL","STRONG SELL")))))</f>
        <v>HOLD</v>
      </c>
    </row>
    <row r="122" customFormat="false" ht="15" hidden="false" customHeight="false" outlineLevel="0" collapsed="false">
      <c r="A122" s="24" t="n">
        <v>45938</v>
      </c>
      <c r="B122" s="25" t="n">
        <v>1469.71</v>
      </c>
      <c r="C122" s="25" t="n">
        <v>1472.62</v>
      </c>
      <c r="D122" s="25" t="n">
        <v>1462.22</v>
      </c>
      <c r="E122" s="25" t="n">
        <v>1467.42</v>
      </c>
      <c r="F122" s="26" t="n">
        <v>4464800</v>
      </c>
      <c r="G122" s="27" t="n">
        <f aca="false">E122-E121</f>
        <v>-5.75999999999999</v>
      </c>
      <c r="H122" s="28" t="n">
        <f aca="false">G122/E121</f>
        <v>-0.00390990917606809</v>
      </c>
      <c r="I122" s="29" t="n">
        <f aca="false">MAX(G122,0)</f>
        <v>0</v>
      </c>
      <c r="J122" s="29" t="n">
        <f aca="false">MAX(-G122,0)</f>
        <v>5.75999999999999</v>
      </c>
      <c r="K122" s="29" t="n">
        <f aca="false">(K121*13+I122)/14</f>
        <v>6.19873242238813</v>
      </c>
      <c r="L122" s="29" t="n">
        <f aca="false">(L121*13+J122)/14</f>
        <v>4.50301675804375</v>
      </c>
      <c r="M122" s="31" t="n">
        <f aca="false">IF(L122=0,100,100-100/(1+K122/MAX(L122,0.000001)))</f>
        <v>57.9226098264618</v>
      </c>
      <c r="N122" s="30" t="n">
        <f aca="false">AVERAGE(E103:E122)</f>
        <v>1459.7665</v>
      </c>
      <c r="O122" s="30" t="n">
        <f aca="false">AVERAGE(E73:E122)</f>
        <v>1418.2904</v>
      </c>
      <c r="Q122" s="30" t="n">
        <f aca="false">Q121+(2/13)*(E122-Q121)</f>
        <v>1460.65099579139</v>
      </c>
      <c r="R122" s="30" t="n">
        <f aca="false">R121+(2/27)*(E122-R121)</f>
        <v>1446.43194634075</v>
      </c>
      <c r="S122" s="33" t="n">
        <f aca="false">Q122-R122</f>
        <v>14.219049450641</v>
      </c>
      <c r="T122" s="33" t="n">
        <f aca="false">T121+(2/10)*(S122-T121)</f>
        <v>16.2009118750715</v>
      </c>
      <c r="U122" s="33" t="n">
        <f aca="false">S122-T122</f>
        <v>-1.9818624244305</v>
      </c>
      <c r="V122" s="32" t="str">
        <f aca="false">IF(M122="","",IF(M122&lt;Assumptions!$B$5,"BUY",IF(M122&gt;Assumptions!$B$4,"SELL","HOLD")))</f>
        <v>HOLD</v>
      </c>
      <c r="W122" s="32" t="str">
        <f aca="false">IF(O122="","",IF(E122&gt;O122,"BUY","SELL"))</f>
        <v>BUY</v>
      </c>
      <c r="X122" s="32" t="str">
        <f aca="false">IF(T122="","",IF(S122&gt;T122,"BUY","SELL"))</f>
        <v>SELL</v>
      </c>
      <c r="Y122" s="34" t="n">
        <f aca="false">IF(OR(V122="",W122="",X122=""),"",IFERROR(IF(V122="BUY",1,IF(V122="SELL",-1,0))+IF(W122="BUY",1,IF(W122="SELL",-1,0))+IF(X122="BUY",1,IF(X122="SELL",-1,0)),0))</f>
        <v>0</v>
      </c>
      <c r="Z122" s="32" t="str">
        <f aca="false">IF(Y122="","",IF(Y122&gt;=2,"STRONG BUY",IF(Y122=1,"BUY",IF(Y122=0,"HOLD",IF(Y122=-1,"SELL","STRONG SELL")))))</f>
        <v>HOLD</v>
      </c>
    </row>
    <row r="123" customFormat="false" ht="15" hidden="false" customHeight="false" outlineLevel="0" collapsed="false">
      <c r="A123" s="24" t="n">
        <v>45939</v>
      </c>
      <c r="B123" s="25" t="n">
        <v>1457</v>
      </c>
      <c r="C123" s="25" t="n">
        <v>1469.77</v>
      </c>
      <c r="D123" s="25" t="n">
        <v>1455.75</v>
      </c>
      <c r="E123" s="25" t="n">
        <v>1462.76</v>
      </c>
      <c r="F123" s="26" t="n">
        <v>4028468</v>
      </c>
      <c r="G123" s="27" t="n">
        <f aca="false">E123-E122</f>
        <v>-4.66000000000008</v>
      </c>
      <c r="H123" s="28" t="n">
        <f aca="false">G123/E122</f>
        <v>-0.00317564160226798</v>
      </c>
      <c r="I123" s="29" t="n">
        <f aca="false">MAX(G123,0)</f>
        <v>0</v>
      </c>
      <c r="J123" s="29" t="n">
        <f aca="false">MAX(-G123,0)</f>
        <v>4.66000000000008</v>
      </c>
      <c r="K123" s="29" t="n">
        <f aca="false">(K122*13+I123)/14</f>
        <v>5.75596582078898</v>
      </c>
      <c r="L123" s="29" t="n">
        <f aca="false">(L122*13+J123)/14</f>
        <v>4.51422984675492</v>
      </c>
      <c r="M123" s="31" t="n">
        <f aca="false">IF(L123=0,100,100-100/(1+K123/MAX(L123,0.000001)))</f>
        <v>56.0453374708246</v>
      </c>
      <c r="N123" s="30" t="n">
        <f aca="false">AVERAGE(E104:E123)</f>
        <v>1460.7905</v>
      </c>
      <c r="O123" s="30" t="n">
        <f aca="false">AVERAGE(E74:E123)</f>
        <v>1420.1536</v>
      </c>
      <c r="Q123" s="30" t="n">
        <f aca="false">Q122+(2/13)*(E123-Q122)</f>
        <v>1460.97545797733</v>
      </c>
      <c r="R123" s="30" t="n">
        <f aca="false">R122+(2/27)*(E123-R122)</f>
        <v>1447.64143179699</v>
      </c>
      <c r="S123" s="33" t="n">
        <f aca="false">Q123-R123</f>
        <v>13.3340261803398</v>
      </c>
      <c r="T123" s="33" t="n">
        <f aca="false">T122+(2/10)*(S123-T122)</f>
        <v>15.6275347361252</v>
      </c>
      <c r="U123" s="33" t="n">
        <f aca="false">S123-T123</f>
        <v>-2.29350855578535</v>
      </c>
      <c r="V123" s="32" t="str">
        <f aca="false">IF(M123="","",IF(M123&lt;Assumptions!$B$5,"BUY",IF(M123&gt;Assumptions!$B$4,"SELL","HOLD")))</f>
        <v>HOLD</v>
      </c>
      <c r="W123" s="32" t="str">
        <f aca="false">IF(O123="","",IF(E123&gt;O123,"BUY","SELL"))</f>
        <v>BUY</v>
      </c>
      <c r="X123" s="32" t="str">
        <f aca="false">IF(T123="","",IF(S123&gt;T123,"BUY","SELL"))</f>
        <v>SELL</v>
      </c>
      <c r="Y123" s="34" t="n">
        <f aca="false">IF(OR(V123="",W123="",X123=""),"",IFERROR(IF(V123="BUY",1,IF(V123="SELL",-1,0))+IF(W123="BUY",1,IF(W123="SELL",-1,0))+IF(X123="BUY",1,IF(X123="SELL",-1,0)),0))</f>
        <v>0</v>
      </c>
      <c r="Z123" s="32" t="str">
        <f aca="false">IF(Y123="","",IF(Y123&gt;=2,"STRONG BUY",IF(Y123=1,"BUY",IF(Y123=0,"HOLD",IF(Y123=-1,"SELL","STRONG SELL")))))</f>
        <v>HOLD</v>
      </c>
    </row>
    <row r="124" customFormat="false" ht="15" hidden="false" customHeight="false" outlineLevel="0" collapsed="false">
      <c r="A124" s="24" t="n">
        <v>45940</v>
      </c>
      <c r="B124" s="25" t="n">
        <v>1463</v>
      </c>
      <c r="C124" s="25" t="n">
        <v>1473.27</v>
      </c>
      <c r="D124" s="25" t="n">
        <v>1455.11</v>
      </c>
      <c r="E124" s="25" t="n">
        <v>1464.19</v>
      </c>
      <c r="F124" s="26" t="n">
        <v>4959947</v>
      </c>
      <c r="G124" s="27" t="n">
        <f aca="false">E124-E123</f>
        <v>1.43000000000006</v>
      </c>
      <c r="H124" s="28" t="n">
        <f aca="false">G124/E123</f>
        <v>0.000977603981514441</v>
      </c>
      <c r="I124" s="29" t="n">
        <f aca="false">MAX(G124,0)</f>
        <v>1.43000000000006</v>
      </c>
      <c r="J124" s="29" t="n">
        <f aca="false">MAX(-G124,0)</f>
        <v>0</v>
      </c>
      <c r="K124" s="29" t="n">
        <f aca="false">(K123*13+I124)/14</f>
        <v>5.4469682621612</v>
      </c>
      <c r="L124" s="29" t="n">
        <f aca="false">(L123*13+J124)/14</f>
        <v>4.19178485770099</v>
      </c>
      <c r="M124" s="31" t="n">
        <f aca="false">IF(L124=0,100,100-100/(1+K124/MAX(L124,0.000001)))</f>
        <v>56.5111295457589</v>
      </c>
      <c r="N124" s="30" t="n">
        <f aca="false">AVERAGE(E105:E124)</f>
        <v>1460.8375</v>
      </c>
      <c r="O124" s="30" t="n">
        <f aca="false">AVERAGE(E75:E124)</f>
        <v>1421.899</v>
      </c>
      <c r="Q124" s="30" t="n">
        <f aca="false">Q123+(2/13)*(E124-Q123)</f>
        <v>1461.4700029039</v>
      </c>
      <c r="R124" s="30" t="n">
        <f aca="false">R123+(2/27)*(E124-R123)</f>
        <v>1448.86725166388</v>
      </c>
      <c r="S124" s="33" t="n">
        <f aca="false">Q124-R124</f>
        <v>12.6027512400144</v>
      </c>
      <c r="T124" s="33" t="n">
        <f aca="false">T123+(2/10)*(S124-T123)</f>
        <v>15.022578036903</v>
      </c>
      <c r="U124" s="33" t="n">
        <f aca="false">S124-T124</f>
        <v>-2.41982679688861</v>
      </c>
      <c r="V124" s="32" t="str">
        <f aca="false">IF(M124="","",IF(M124&lt;Assumptions!$B$5,"BUY",IF(M124&gt;Assumptions!$B$4,"SELL","HOLD")))</f>
        <v>HOLD</v>
      </c>
      <c r="W124" s="32" t="str">
        <f aca="false">IF(O124="","",IF(E124&gt;O124,"BUY","SELL"))</f>
        <v>BUY</v>
      </c>
      <c r="X124" s="32" t="str">
        <f aca="false">IF(T124="","",IF(S124&gt;T124,"BUY","SELL"))</f>
        <v>SELL</v>
      </c>
      <c r="Y124" s="34" t="n">
        <f aca="false">IF(OR(V124="",W124="",X124=""),"",IFERROR(IF(V124="BUY",1,IF(V124="SELL",-1,0))+IF(W124="BUY",1,IF(W124="SELL",-1,0))+IF(X124="BUY",1,IF(X124="SELL",-1,0)),0))</f>
        <v>0</v>
      </c>
      <c r="Z124" s="32" t="str">
        <f aca="false">IF(Y124="","",IF(Y124&gt;=2,"STRONG BUY",IF(Y124=1,"BUY",IF(Y124=0,"HOLD",IF(Y124=-1,"SELL","STRONG SELL")))))</f>
        <v>HOLD</v>
      </c>
    </row>
    <row r="125" customFormat="false" ht="15" hidden="false" customHeight="false" outlineLevel="0" collapsed="false">
      <c r="A125" s="24" t="n">
        <v>45943</v>
      </c>
      <c r="B125" s="25" t="n">
        <v>1446.73</v>
      </c>
      <c r="C125" s="25" t="n">
        <v>1455.85</v>
      </c>
      <c r="D125" s="25" t="n">
        <v>1440.29</v>
      </c>
      <c r="E125" s="25" t="n">
        <v>1448.07</v>
      </c>
      <c r="F125" s="26" t="n">
        <v>3669439</v>
      </c>
      <c r="G125" s="27" t="n">
        <f aca="false">E125-E124</f>
        <v>-16.1200000000001</v>
      </c>
      <c r="H125" s="28" t="n">
        <f aca="false">G125/E124</f>
        <v>-0.0110095001331795</v>
      </c>
      <c r="I125" s="29" t="n">
        <f aca="false">MAX(G125,0)</f>
        <v>0</v>
      </c>
      <c r="J125" s="29" t="n">
        <f aca="false">MAX(-G125,0)</f>
        <v>16.1200000000001</v>
      </c>
      <c r="K125" s="29" t="n">
        <f aca="false">(K124*13+I125)/14</f>
        <v>5.05789910057826</v>
      </c>
      <c r="L125" s="29" t="n">
        <f aca="false">(L124*13+J125)/14</f>
        <v>5.04380022500807</v>
      </c>
      <c r="M125" s="31" t="n">
        <f aca="false">IF(L125=0,100,100-100/(1+K125/MAX(L125,0.000001)))</f>
        <v>50.0697846724386</v>
      </c>
      <c r="N125" s="30" t="n">
        <f aca="false">AVERAGE(E106:E125)</f>
        <v>1459.9955</v>
      </c>
      <c r="O125" s="30" t="n">
        <f aca="false">AVERAGE(E76:E125)</f>
        <v>1422.7378</v>
      </c>
      <c r="Q125" s="30" t="n">
        <f aca="false">Q124+(2/13)*(E125-Q124)</f>
        <v>1459.40846399561</v>
      </c>
      <c r="R125" s="30" t="n">
        <f aca="false">R124+(2/27)*(E125-R124)</f>
        <v>1448.80819598508</v>
      </c>
      <c r="S125" s="33" t="n">
        <f aca="false">Q125-R125</f>
        <v>10.6002680105285</v>
      </c>
      <c r="T125" s="33" t="n">
        <f aca="false">T124+(2/10)*(S125-T124)</f>
        <v>14.1381160316281</v>
      </c>
      <c r="U125" s="33" t="n">
        <f aca="false">S125-T125</f>
        <v>-3.53784802109966</v>
      </c>
      <c r="V125" s="32" t="str">
        <f aca="false">IF(M125="","",IF(M125&lt;Assumptions!$B$5,"BUY",IF(M125&gt;Assumptions!$B$4,"SELL","HOLD")))</f>
        <v>HOLD</v>
      </c>
      <c r="W125" s="32" t="str">
        <f aca="false">IF(O125="","",IF(E125&gt;O125,"BUY","SELL"))</f>
        <v>BUY</v>
      </c>
      <c r="X125" s="32" t="str">
        <f aca="false">IF(T125="","",IF(S125&gt;T125,"BUY","SELL"))</f>
        <v>SELL</v>
      </c>
      <c r="Y125" s="34" t="n">
        <f aca="false">IF(OR(V125="",W125="",X125=""),"",IFERROR(IF(V125="BUY",1,IF(V125="SELL",-1,0))+IF(W125="BUY",1,IF(W125="SELL",-1,0))+IF(X125="BUY",1,IF(X125="SELL",-1,0)),0))</f>
        <v>0</v>
      </c>
      <c r="Z125" s="32" t="str">
        <f aca="false">IF(Y125="","",IF(Y125&gt;=2,"STRONG BUY",IF(Y125=1,"BUY",IF(Y125=0,"HOLD",IF(Y125=-1,"SELL","STRONG SELL")))))</f>
        <v>HOLD</v>
      </c>
    </row>
    <row r="126" customFormat="false" ht="15" hidden="false" customHeight="false" outlineLevel="0" collapsed="false">
      <c r="A126" s="24" t="n">
        <v>45944</v>
      </c>
      <c r="B126" s="25" t="n">
        <v>1451.12</v>
      </c>
      <c r="C126" s="25" t="n">
        <v>1451.12</v>
      </c>
      <c r="D126" s="25" t="n">
        <v>1451.04</v>
      </c>
      <c r="E126" s="25" t="n">
        <v>1451.08</v>
      </c>
      <c r="F126" s="26" t="n">
        <v>5311719</v>
      </c>
      <c r="G126" s="27" t="n">
        <f aca="false">E126-E125</f>
        <v>3.00999999999999</v>
      </c>
      <c r="H126" s="28" t="n">
        <f aca="false">G126/E125</f>
        <v>0.00207862879556927</v>
      </c>
      <c r="I126" s="29" t="n">
        <f aca="false">MAX(G126,0)</f>
        <v>3.00999999999999</v>
      </c>
      <c r="J126" s="29" t="n">
        <f aca="false">MAX(-G126,0)</f>
        <v>0</v>
      </c>
      <c r="K126" s="29" t="n">
        <f aca="false">(K125*13+I126)/14</f>
        <v>4.9116205933941</v>
      </c>
      <c r="L126" s="29" t="n">
        <f aca="false">(L125*13+J126)/14</f>
        <v>4.68352878036464</v>
      </c>
      <c r="M126" s="31" t="n">
        <f aca="false">IF(L126=0,100,100-100/(1+K126/MAX(L126,0.000001)))</f>
        <v>51.1885787502863</v>
      </c>
      <c r="N126" s="30" t="n">
        <f aca="false">AVERAGE(E107:E126)</f>
        <v>1459.636</v>
      </c>
      <c r="O126" s="30" t="n">
        <f aca="false">AVERAGE(E77:E126)</f>
        <v>1423.4766</v>
      </c>
      <c r="Q126" s="30" t="n">
        <f aca="false">Q125+(2/13)*(E126-Q125)</f>
        <v>1458.12716184244</v>
      </c>
      <c r="R126" s="30" t="n">
        <f aca="false">R125+(2/27)*(E126-R125)</f>
        <v>1448.97647776396</v>
      </c>
      <c r="S126" s="33" t="n">
        <f aca="false">Q126-R126</f>
        <v>9.15068407847525</v>
      </c>
      <c r="T126" s="33" t="n">
        <f aca="false">T125+(2/10)*(S126-T125)</f>
        <v>13.1406296409975</v>
      </c>
      <c r="U126" s="33" t="n">
        <f aca="false">S126-T126</f>
        <v>-3.98994556252229</v>
      </c>
      <c r="V126" s="32" t="str">
        <f aca="false">IF(M126="","",IF(M126&lt;Assumptions!$B$5,"BUY",IF(M126&gt;Assumptions!$B$4,"SELL","HOLD")))</f>
        <v>HOLD</v>
      </c>
      <c r="W126" s="32" t="str">
        <f aca="false">IF(O126="","",IF(E126&gt;O126,"BUY","SELL"))</f>
        <v>BUY</v>
      </c>
      <c r="X126" s="32" t="str">
        <f aca="false">IF(T126="","",IF(S126&gt;T126,"BUY","SELL"))</f>
        <v>SELL</v>
      </c>
      <c r="Y126" s="34" t="n">
        <f aca="false">IF(OR(V126="",W126="",X126=""),"",IFERROR(IF(V126="BUY",1,IF(V126="SELL",-1,0))+IF(W126="BUY",1,IF(W126="SELL",-1,0))+IF(X126="BUY",1,IF(X126="SELL",-1,0)),0))</f>
        <v>0</v>
      </c>
      <c r="Z126" s="32" t="str">
        <f aca="false">IF(Y126="","",IF(Y126&gt;=2,"STRONG BUY",IF(Y126=1,"BUY",IF(Y126=0,"HOLD",IF(Y126=-1,"SELL","STRONG SELL")))))</f>
        <v>HOLD</v>
      </c>
    </row>
    <row r="127" customFormat="false" ht="15" hidden="false" customHeight="false" outlineLevel="0" collapsed="false">
      <c r="A127" s="24" t="n">
        <v>45945</v>
      </c>
      <c r="B127" s="25" t="n">
        <v>1431.44</v>
      </c>
      <c r="C127" s="25" t="n">
        <v>1439.58</v>
      </c>
      <c r="D127" s="25" t="n">
        <v>1431.44</v>
      </c>
      <c r="E127" s="25" t="n">
        <v>1435.51</v>
      </c>
      <c r="F127" s="26" t="n">
        <v>4337281</v>
      </c>
      <c r="G127" s="27" t="n">
        <f aca="false">E127-E126</f>
        <v>-15.5699999999999</v>
      </c>
      <c r="H127" s="28" t="n">
        <f aca="false">G127/E126</f>
        <v>-0.0107299390798577</v>
      </c>
      <c r="I127" s="29" t="n">
        <f aca="false">MAX(G127,0)</f>
        <v>0</v>
      </c>
      <c r="J127" s="29" t="n">
        <f aca="false">MAX(-G127,0)</f>
        <v>15.5699999999999</v>
      </c>
      <c r="K127" s="29" t="n">
        <f aca="false">(K126*13+I127)/14</f>
        <v>4.5607905510088</v>
      </c>
      <c r="L127" s="29" t="n">
        <f aca="false">(L126*13+J127)/14</f>
        <v>5.46113386748145</v>
      </c>
      <c r="M127" s="31" t="n">
        <f aca="false">IF(L127=0,100,100-100/(1+K127/MAX(L127,0.000001)))</f>
        <v>45.5081315779456</v>
      </c>
      <c r="N127" s="30" t="n">
        <f aca="false">AVERAGE(E108:E127)</f>
        <v>1459.2275</v>
      </c>
      <c r="O127" s="30" t="n">
        <f aca="false">AVERAGE(E78:E127)</f>
        <v>1424.0558</v>
      </c>
      <c r="Q127" s="30" t="n">
        <f aca="false">Q126+(2/13)*(E127-Q126)</f>
        <v>1454.64759848206</v>
      </c>
      <c r="R127" s="30" t="n">
        <f aca="false">R126+(2/27)*(E127-R126)</f>
        <v>1447.97896089256</v>
      </c>
      <c r="S127" s="33" t="n">
        <f aca="false">Q127-R127</f>
        <v>6.66863758950512</v>
      </c>
      <c r="T127" s="33" t="n">
        <f aca="false">T126+(2/10)*(S127-T126)</f>
        <v>11.8462312306991</v>
      </c>
      <c r="U127" s="33" t="n">
        <f aca="false">S127-T127</f>
        <v>-5.17759364119393</v>
      </c>
      <c r="V127" s="32" t="str">
        <f aca="false">IF(M127="","",IF(M127&lt;Assumptions!$B$5,"BUY",IF(M127&gt;Assumptions!$B$4,"SELL","HOLD")))</f>
        <v>HOLD</v>
      </c>
      <c r="W127" s="32" t="str">
        <f aca="false">IF(O127="","",IF(E127&gt;O127,"BUY","SELL"))</f>
        <v>BUY</v>
      </c>
      <c r="X127" s="32" t="str">
        <f aca="false">IF(T127="","",IF(S127&gt;T127,"BUY","SELL"))</f>
        <v>SELL</v>
      </c>
      <c r="Y127" s="34" t="n">
        <f aca="false">IF(OR(V127="",W127="",X127=""),"",IFERROR(IF(V127="BUY",1,IF(V127="SELL",-1,0))+IF(W127="BUY",1,IF(W127="SELL",-1,0))+IF(X127="BUY",1,IF(X127="SELL",-1,0)),0))</f>
        <v>0</v>
      </c>
      <c r="Z127" s="32" t="str">
        <f aca="false">IF(Y127="","",IF(Y127&gt;=2,"STRONG BUY",IF(Y127=1,"BUY",IF(Y127=0,"HOLD",IF(Y127=-1,"SELL","STRONG SELL")))))</f>
        <v>HOLD</v>
      </c>
    </row>
    <row r="128" customFormat="false" ht="15" hidden="false" customHeight="false" outlineLevel="0" collapsed="false">
      <c r="A128" s="24" t="n">
        <v>45946</v>
      </c>
      <c r="B128" s="25" t="n">
        <v>1449.54</v>
      </c>
      <c r="C128" s="25" t="n">
        <v>1449.54</v>
      </c>
      <c r="D128" s="25" t="n">
        <v>1444.74</v>
      </c>
      <c r="E128" s="25" t="n">
        <v>1447.14</v>
      </c>
      <c r="F128" s="26" t="n">
        <v>2203494</v>
      </c>
      <c r="G128" s="27" t="n">
        <f aca="false">E128-E127</f>
        <v>11.6300000000001</v>
      </c>
      <c r="H128" s="28" t="n">
        <f aca="false">G128/E127</f>
        <v>0.00810165028456793</v>
      </c>
      <c r="I128" s="29" t="n">
        <f aca="false">MAX(G128,0)</f>
        <v>11.6300000000001</v>
      </c>
      <c r="J128" s="29" t="n">
        <f aca="false">MAX(-G128,0)</f>
        <v>0</v>
      </c>
      <c r="K128" s="29" t="n">
        <f aca="false">(K127*13+I128)/14</f>
        <v>5.06573408307961</v>
      </c>
      <c r="L128" s="29" t="n">
        <f aca="false">(L127*13+J128)/14</f>
        <v>5.07105287694706</v>
      </c>
      <c r="M128" s="31" t="n">
        <f aca="false">IF(L128=0,100,100-100/(1+K128/MAX(L128,0.000001)))</f>
        <v>49.9737648927198</v>
      </c>
      <c r="N128" s="30" t="n">
        <f aca="false">AVERAGE(E109:E128)</f>
        <v>1459.4915</v>
      </c>
      <c r="O128" s="30" t="n">
        <f aca="false">AVERAGE(E79:E128)</f>
        <v>1425.0066</v>
      </c>
      <c r="Q128" s="30" t="n">
        <f aca="false">Q127+(2/13)*(E128-Q127)</f>
        <v>1453.49258333097</v>
      </c>
      <c r="R128" s="30" t="n">
        <f aca="false">R127+(2/27)*(E128-R127)</f>
        <v>1447.91681564126</v>
      </c>
      <c r="S128" s="33" t="n">
        <f aca="false">Q128-R128</f>
        <v>5.57576768971944</v>
      </c>
      <c r="T128" s="33" t="n">
        <f aca="false">T127+(2/10)*(S128-T127)</f>
        <v>10.5921385225031</v>
      </c>
      <c r="U128" s="33" t="n">
        <f aca="false">S128-T128</f>
        <v>-5.01637083278369</v>
      </c>
      <c r="V128" s="32" t="str">
        <f aca="false">IF(M128="","",IF(M128&lt;Assumptions!$B$5,"BUY",IF(M128&gt;Assumptions!$B$4,"SELL","HOLD")))</f>
        <v>HOLD</v>
      </c>
      <c r="W128" s="32" t="str">
        <f aca="false">IF(O128="","",IF(E128&gt;O128,"BUY","SELL"))</f>
        <v>BUY</v>
      </c>
      <c r="X128" s="32" t="str">
        <f aca="false">IF(T128="","",IF(S128&gt;T128,"BUY","SELL"))</f>
        <v>SELL</v>
      </c>
      <c r="Y128" s="34" t="n">
        <f aca="false">IF(OR(V128="",W128="",X128=""),"",IFERROR(IF(V128="BUY",1,IF(V128="SELL",-1,0))+IF(W128="BUY",1,IF(W128="SELL",-1,0))+IF(X128="BUY",1,IF(X128="SELL",-1,0)),0))</f>
        <v>0</v>
      </c>
      <c r="Z128" s="32" t="str">
        <f aca="false">IF(Y128="","",IF(Y128&gt;=2,"STRONG BUY",IF(Y128=1,"BUY",IF(Y128=0,"HOLD",IF(Y128=-1,"SELL","STRONG SELL")))))</f>
        <v>HOLD</v>
      </c>
    </row>
    <row r="129" customFormat="false" ht="15" hidden="false" customHeight="false" outlineLevel="0" collapsed="false">
      <c r="A129" s="24" t="n">
        <v>45947</v>
      </c>
      <c r="B129" s="25" t="n">
        <v>1448.71</v>
      </c>
      <c r="C129" s="25" t="n">
        <v>1448.71</v>
      </c>
      <c r="D129" s="25" t="n">
        <v>1445.95</v>
      </c>
      <c r="E129" s="25" t="n">
        <v>1447.33</v>
      </c>
      <c r="F129" s="26" t="n">
        <v>4687431</v>
      </c>
      <c r="G129" s="27" t="n">
        <f aca="false">E129-E128</f>
        <v>0.189999999999827</v>
      </c>
      <c r="H129" s="28" t="n">
        <f aca="false">G129/E128</f>
        <v>0.000131293447765819</v>
      </c>
      <c r="I129" s="29" t="n">
        <f aca="false">MAX(G129,0)</f>
        <v>0.189999999999827</v>
      </c>
      <c r="J129" s="29" t="n">
        <f aca="false">MAX(-G129,0)</f>
        <v>0</v>
      </c>
      <c r="K129" s="29" t="n">
        <f aca="false">(K128*13+I129)/14</f>
        <v>4.71746736285963</v>
      </c>
      <c r="L129" s="29" t="n">
        <f aca="false">(L128*13+J129)/14</f>
        <v>4.70883481430798</v>
      </c>
      <c r="M129" s="31" t="n">
        <f aca="false">IF(L129=0,100,100-100/(1+K129/MAX(L129,0.000001)))</f>
        <v>50.0457896871403</v>
      </c>
      <c r="N129" s="30" t="n">
        <f aca="false">AVERAGE(E110:E129)</f>
        <v>1458.8285</v>
      </c>
      <c r="O129" s="30" t="n">
        <f aca="false">AVERAGE(E80:E129)</f>
        <v>1426.1672</v>
      </c>
      <c r="Q129" s="30" t="n">
        <f aca="false">Q128+(2/13)*(E129-Q128)</f>
        <v>1452.54449358775</v>
      </c>
      <c r="R129" s="30" t="n">
        <f aca="false">R128+(2/27)*(E129-R128)</f>
        <v>1447.87334781598</v>
      </c>
      <c r="S129" s="33" t="n">
        <f aca="false">Q129-R129</f>
        <v>4.67114577177063</v>
      </c>
      <c r="T129" s="33" t="n">
        <f aca="false">T128+(2/10)*(S129-T128)</f>
        <v>9.40793997235663</v>
      </c>
      <c r="U129" s="33" t="n">
        <f aca="false">S129-T129</f>
        <v>-4.73679420058601</v>
      </c>
      <c r="V129" s="32" t="str">
        <f aca="false">IF(M129="","",IF(M129&lt;Assumptions!$B$5,"BUY",IF(M129&gt;Assumptions!$B$4,"SELL","HOLD")))</f>
        <v>HOLD</v>
      </c>
      <c r="W129" s="32" t="str">
        <f aca="false">IF(O129="","",IF(E129&gt;O129,"BUY","SELL"))</f>
        <v>BUY</v>
      </c>
      <c r="X129" s="32" t="str">
        <f aca="false">IF(T129="","",IF(S129&gt;T129,"BUY","SELL"))</f>
        <v>SELL</v>
      </c>
      <c r="Y129" s="34" t="n">
        <f aca="false">IF(OR(V129="",W129="",X129=""),"",IFERROR(IF(V129="BUY",1,IF(V129="SELL",-1,0))+IF(W129="BUY",1,IF(W129="SELL",-1,0))+IF(X129="BUY",1,IF(X129="SELL",-1,0)),0))</f>
        <v>0</v>
      </c>
      <c r="Z129" s="32" t="str">
        <f aca="false">IF(Y129="","",IF(Y129&gt;=2,"STRONG BUY",IF(Y129=1,"BUY",IF(Y129=0,"HOLD",IF(Y129=-1,"SELL","STRONG SELL")))))</f>
        <v>HOLD</v>
      </c>
    </row>
    <row r="130" customFormat="false" ht="15" hidden="false" customHeight="false" outlineLevel="0" collapsed="false">
      <c r="A130" s="24" t="n">
        <v>45950</v>
      </c>
      <c r="B130" s="25" t="n">
        <v>1478.37</v>
      </c>
      <c r="C130" s="25" t="n">
        <v>1478.37</v>
      </c>
      <c r="D130" s="25" t="n">
        <v>1476.69</v>
      </c>
      <c r="E130" s="25" t="n">
        <v>1477.53</v>
      </c>
      <c r="F130" s="26" t="n">
        <v>5432456</v>
      </c>
      <c r="G130" s="27" t="n">
        <f aca="false">E130-E129</f>
        <v>30.2</v>
      </c>
      <c r="H130" s="28" t="n">
        <f aca="false">G130/E129</f>
        <v>0.0208660084431333</v>
      </c>
      <c r="I130" s="29" t="n">
        <f aca="false">MAX(G130,0)</f>
        <v>30.2</v>
      </c>
      <c r="J130" s="29" t="n">
        <f aca="false">MAX(-G130,0)</f>
        <v>0</v>
      </c>
      <c r="K130" s="29" t="n">
        <f aca="false">(K129*13+I130)/14</f>
        <v>6.53764826551251</v>
      </c>
      <c r="L130" s="29" t="n">
        <f aca="false">(L129*13+J130)/14</f>
        <v>4.37248947042884</v>
      </c>
      <c r="M130" s="31" t="n">
        <f aca="false">IF(L130=0,100,100-100/(1+K130/MAX(L130,0.000001)))</f>
        <v>59.9226923045663</v>
      </c>
      <c r="N130" s="30" t="n">
        <f aca="false">AVERAGE(E111:E130)</f>
        <v>1459.1295</v>
      </c>
      <c r="O130" s="30" t="n">
        <f aca="false">AVERAGE(E81:E130)</f>
        <v>1427.6898</v>
      </c>
      <c r="Q130" s="30" t="n">
        <f aca="false">Q129+(2/13)*(E130-Q129)</f>
        <v>1456.38841765117</v>
      </c>
      <c r="R130" s="30" t="n">
        <f aca="false">R129+(2/27)*(E130-R129)</f>
        <v>1450.07013686665</v>
      </c>
      <c r="S130" s="33" t="n">
        <f aca="false">Q130-R130</f>
        <v>6.31828078452577</v>
      </c>
      <c r="T130" s="33" t="n">
        <f aca="false">T129+(2/10)*(S130-T129)</f>
        <v>8.79000813479046</v>
      </c>
      <c r="U130" s="33" t="n">
        <f aca="false">S130-T130</f>
        <v>-2.47172735026469</v>
      </c>
      <c r="V130" s="32" t="str">
        <f aca="false">IF(M130="","",IF(M130&lt;Assumptions!$B$5,"BUY",IF(M130&gt;Assumptions!$B$4,"SELL","HOLD")))</f>
        <v>HOLD</v>
      </c>
      <c r="W130" s="32" t="str">
        <f aca="false">IF(O130="","",IF(E130&gt;O130,"BUY","SELL"))</f>
        <v>BUY</v>
      </c>
      <c r="X130" s="32" t="str">
        <f aca="false">IF(T130="","",IF(S130&gt;T130,"BUY","SELL"))</f>
        <v>SELL</v>
      </c>
      <c r="Y130" s="34" t="n">
        <f aca="false">IF(OR(V130="",W130="",X130=""),"",IFERROR(IF(V130="BUY",1,IF(V130="SELL",-1,0))+IF(W130="BUY",1,IF(W130="SELL",-1,0))+IF(X130="BUY",1,IF(X130="SELL",-1,0)),0))</f>
        <v>0</v>
      </c>
      <c r="Z130" s="32" t="str">
        <f aca="false">IF(Y130="","",IF(Y130&gt;=2,"STRONG BUY",IF(Y130=1,"BUY",IF(Y130=0,"HOLD",IF(Y130=-1,"SELL","STRONG SELL")))))</f>
        <v>HOLD</v>
      </c>
    </row>
    <row r="131" customFormat="false" ht="15" hidden="false" customHeight="false" outlineLevel="0" collapsed="false">
      <c r="A131" s="24" t="n">
        <v>45951</v>
      </c>
      <c r="B131" s="25" t="n">
        <v>1481.85</v>
      </c>
      <c r="C131" s="25" t="n">
        <v>1487.42</v>
      </c>
      <c r="D131" s="25" t="n">
        <v>1475.42</v>
      </c>
      <c r="E131" s="25" t="n">
        <v>1481.42</v>
      </c>
      <c r="F131" s="26" t="n">
        <v>5266868</v>
      </c>
      <c r="G131" s="27" t="n">
        <f aca="false">E131-E130</f>
        <v>3.8900000000001</v>
      </c>
      <c r="H131" s="28" t="n">
        <f aca="false">G131/E130</f>
        <v>0.00263277226181539</v>
      </c>
      <c r="I131" s="29" t="n">
        <f aca="false">MAX(G131,0)</f>
        <v>3.8900000000001</v>
      </c>
      <c r="J131" s="29" t="n">
        <f aca="false">MAX(-G131,0)</f>
        <v>0</v>
      </c>
      <c r="K131" s="29" t="n">
        <f aca="false">(K130*13+I131)/14</f>
        <v>6.34853053226163</v>
      </c>
      <c r="L131" s="29" t="n">
        <f aca="false">(L130*13+J131)/14</f>
        <v>4.06016879396964</v>
      </c>
      <c r="M131" s="31" t="n">
        <f aca="false">IF(L131=0,100,100-100/(1+K131/MAX(L131,0.000001)))</f>
        <v>60.992544152587</v>
      </c>
      <c r="N131" s="30" t="n">
        <f aca="false">AVERAGE(E112:E131)</f>
        <v>1459.16</v>
      </c>
      <c r="O131" s="30" t="n">
        <f aca="false">AVERAGE(E82:E131)</f>
        <v>1429.43</v>
      </c>
      <c r="Q131" s="30" t="n">
        <f aca="false">Q130+(2/13)*(E131-Q130)</f>
        <v>1460.23943032022</v>
      </c>
      <c r="R131" s="30" t="n">
        <f aca="false">R130+(2/27)*(E131-R130)</f>
        <v>1452.3923489506</v>
      </c>
      <c r="S131" s="33" t="n">
        <f aca="false">Q131-R131</f>
        <v>7.84708136962422</v>
      </c>
      <c r="T131" s="33" t="n">
        <f aca="false">T130+(2/10)*(S131-T130)</f>
        <v>8.60142278175721</v>
      </c>
      <c r="U131" s="33" t="n">
        <f aca="false">S131-T131</f>
        <v>-0.754341412132991</v>
      </c>
      <c r="V131" s="32" t="str">
        <f aca="false">IF(M131="","",IF(M131&lt;Assumptions!$B$5,"BUY",IF(M131&gt;Assumptions!$B$4,"SELL","HOLD")))</f>
        <v>HOLD</v>
      </c>
      <c r="W131" s="32" t="str">
        <f aca="false">IF(O131="","",IF(E131&gt;O131,"BUY","SELL"))</f>
        <v>BUY</v>
      </c>
      <c r="X131" s="32" t="str">
        <f aca="false">IF(T131="","",IF(S131&gt;T131,"BUY","SELL"))</f>
        <v>SELL</v>
      </c>
      <c r="Y131" s="34" t="n">
        <f aca="false">IF(OR(V131="",W131="",X131=""),"",IFERROR(IF(V131="BUY",1,IF(V131="SELL",-1,0))+IF(W131="BUY",1,IF(W131="SELL",-1,0))+IF(X131="BUY",1,IF(X131="SELL",-1,0)),0))</f>
        <v>0</v>
      </c>
      <c r="Z131" s="32" t="str">
        <f aca="false">IF(Y131="","",IF(Y131&gt;=2,"STRONG BUY",IF(Y131=1,"BUY",IF(Y131=0,"HOLD",IF(Y131=-1,"SELL","STRONG SELL")))))</f>
        <v>HOLD</v>
      </c>
    </row>
    <row r="132" customFormat="false" ht="15" hidden="false" customHeight="false" outlineLevel="0" collapsed="false">
      <c r="A132" s="24" t="n">
        <v>45952</v>
      </c>
      <c r="B132" s="25" t="n">
        <v>1498.87</v>
      </c>
      <c r="C132" s="25" t="n">
        <v>1506.93</v>
      </c>
      <c r="D132" s="25" t="n">
        <v>1492.85</v>
      </c>
      <c r="E132" s="25" t="n">
        <v>1499.89</v>
      </c>
      <c r="F132" s="26" t="n">
        <v>7192963</v>
      </c>
      <c r="G132" s="27" t="n">
        <f aca="false">E132-E131</f>
        <v>18.47</v>
      </c>
      <c r="H132" s="28" t="n">
        <f aca="false">G132/E131</f>
        <v>0.0124677674123476</v>
      </c>
      <c r="I132" s="29" t="n">
        <f aca="false">MAX(G132,0)</f>
        <v>18.47</v>
      </c>
      <c r="J132" s="29" t="n">
        <f aca="false">MAX(-G132,0)</f>
        <v>0</v>
      </c>
      <c r="K132" s="29" t="n">
        <f aca="false">(K131*13+I132)/14</f>
        <v>7.21434977995723</v>
      </c>
      <c r="L132" s="29" t="n">
        <f aca="false">(L131*13+J132)/14</f>
        <v>3.77015673725752</v>
      </c>
      <c r="M132" s="31" t="n">
        <f aca="false">IF(L132=0,100,100-100/(1+K132/MAX(L132,0.000001)))</f>
        <v>65.677504662144</v>
      </c>
      <c r="N132" s="30" t="n">
        <f aca="false">AVERAGE(E113:E132)</f>
        <v>1461.673</v>
      </c>
      <c r="O132" s="30" t="n">
        <f aca="false">AVERAGE(E83:E132)</f>
        <v>1431.5544</v>
      </c>
      <c r="Q132" s="30" t="n">
        <f aca="false">Q131+(2/13)*(E132-Q131)</f>
        <v>1466.33951796326</v>
      </c>
      <c r="R132" s="30" t="n">
        <f aca="false">R131+(2/27)*(E132-R131)</f>
        <v>1455.91069347278</v>
      </c>
      <c r="S132" s="33" t="n">
        <f aca="false">Q132-R132</f>
        <v>10.428824490489</v>
      </c>
      <c r="T132" s="33" t="n">
        <f aca="false">T131+(2/10)*(S132-T131)</f>
        <v>8.96690312350357</v>
      </c>
      <c r="U132" s="33" t="n">
        <f aca="false">S132-T132</f>
        <v>1.46192136698541</v>
      </c>
      <c r="V132" s="32" t="str">
        <f aca="false">IF(M132="","",IF(M132&lt;Assumptions!$B$5,"BUY",IF(M132&gt;Assumptions!$B$4,"SELL","HOLD")))</f>
        <v>HOLD</v>
      </c>
      <c r="W132" s="32" t="str">
        <f aca="false">IF(O132="","",IF(E132&gt;O132,"BUY","SELL"))</f>
        <v>BUY</v>
      </c>
      <c r="X132" s="32" t="str">
        <f aca="false">IF(T132="","",IF(S132&gt;T132,"BUY","SELL"))</f>
        <v>BUY</v>
      </c>
      <c r="Y132" s="34" t="n">
        <f aca="false">IF(OR(V132="",W132="",X132=""),"",IFERROR(IF(V132="BUY",1,IF(V132="SELL",-1,0))+IF(W132="BUY",1,IF(W132="SELL",-1,0))+IF(X132="BUY",1,IF(X132="SELL",-1,0)),0))</f>
        <v>2</v>
      </c>
      <c r="Z132" s="32" t="str">
        <f aca="false">IF(Y132="","",IF(Y132&gt;=2,"STRONG BUY",IF(Y132=1,"BUY",IF(Y132=0,"HOLD",IF(Y132=-1,"SELL","STRONG SELL")))))</f>
        <v>STRONG BUY</v>
      </c>
    </row>
    <row r="133" customFormat="false" ht="15" hidden="false" customHeight="false" outlineLevel="0" collapsed="false">
      <c r="A133" s="24" t="n">
        <v>45953</v>
      </c>
      <c r="B133" s="25" t="n">
        <v>1481.55</v>
      </c>
      <c r="C133" s="25" t="n">
        <v>1484.37</v>
      </c>
      <c r="D133" s="25" t="n">
        <v>1480.73</v>
      </c>
      <c r="E133" s="25" t="n">
        <v>1482.55</v>
      </c>
      <c r="F133" s="26" t="n">
        <v>4139869</v>
      </c>
      <c r="G133" s="27" t="n">
        <f aca="false">E133-E132</f>
        <v>-17.3400000000001</v>
      </c>
      <c r="H133" s="28" t="n">
        <f aca="false">G133/E132</f>
        <v>-0.0115608477955051</v>
      </c>
      <c r="I133" s="29" t="n">
        <f aca="false">MAX(G133,0)</f>
        <v>0</v>
      </c>
      <c r="J133" s="29" t="n">
        <f aca="false">MAX(-G133,0)</f>
        <v>17.3400000000001</v>
      </c>
      <c r="K133" s="29" t="n">
        <f aca="false">(K132*13+I133)/14</f>
        <v>6.69903908138885</v>
      </c>
      <c r="L133" s="29" t="n">
        <f aca="false">(L132*13+J133)/14</f>
        <v>4.73943125602485</v>
      </c>
      <c r="M133" s="31" t="n">
        <f aca="false">IF(L133=0,100,100-100/(1+K133/MAX(L133,0.000001)))</f>
        <v>58.5658648733581</v>
      </c>
      <c r="N133" s="30" t="n">
        <f aca="false">AVERAGE(E114:E133)</f>
        <v>1462.8465</v>
      </c>
      <c r="O133" s="30" t="n">
        <f aca="false">AVERAGE(E84:E133)</f>
        <v>1433.1406</v>
      </c>
      <c r="Q133" s="30" t="n">
        <f aca="false">Q132+(2/13)*(E133-Q132)</f>
        <v>1468.83343827661</v>
      </c>
      <c r="R133" s="30" t="n">
        <f aca="false">R132+(2/27)*(E133-R132)</f>
        <v>1457.88397543776</v>
      </c>
      <c r="S133" s="33" t="n">
        <f aca="false">Q133-R133</f>
        <v>10.9494628388534</v>
      </c>
      <c r="T133" s="33" t="n">
        <f aca="false">T132+(2/10)*(S133-T132)</f>
        <v>9.36341506657353</v>
      </c>
      <c r="U133" s="33" t="n">
        <f aca="false">S133-T133</f>
        <v>1.58604777227985</v>
      </c>
      <c r="V133" s="32" t="str">
        <f aca="false">IF(M133="","",IF(M133&lt;Assumptions!$B$5,"BUY",IF(M133&gt;Assumptions!$B$4,"SELL","HOLD")))</f>
        <v>HOLD</v>
      </c>
      <c r="W133" s="32" t="str">
        <f aca="false">IF(O133="","",IF(E133&gt;O133,"BUY","SELL"))</f>
        <v>BUY</v>
      </c>
      <c r="X133" s="32" t="str">
        <f aca="false">IF(T133="","",IF(S133&gt;T133,"BUY","SELL"))</f>
        <v>BUY</v>
      </c>
      <c r="Y133" s="34" t="n">
        <f aca="false">IF(OR(V133="",W133="",X133=""),"",IFERROR(IF(V133="BUY",1,IF(V133="SELL",-1,0))+IF(W133="BUY",1,IF(W133="SELL",-1,0))+IF(X133="BUY",1,IF(X133="SELL",-1,0)),0))</f>
        <v>2</v>
      </c>
      <c r="Z133" s="32" t="str">
        <f aca="false">IF(Y133="","",IF(Y133&gt;=2,"STRONG BUY",IF(Y133=1,"BUY",IF(Y133=0,"HOLD",IF(Y133=-1,"SELL","STRONG SELL")))))</f>
        <v>STRONG BUY</v>
      </c>
    </row>
    <row r="134" customFormat="false" ht="15" hidden="false" customHeight="false" outlineLevel="0" collapsed="false">
      <c r="A134" s="24" t="n">
        <v>45954</v>
      </c>
      <c r="B134" s="25" t="n">
        <v>1476.02</v>
      </c>
      <c r="C134" s="25" t="n">
        <v>1488.07</v>
      </c>
      <c r="D134" s="25" t="n">
        <v>1474.07</v>
      </c>
      <c r="E134" s="25" t="n">
        <v>1481.07</v>
      </c>
      <c r="F134" s="26" t="n">
        <v>6593378</v>
      </c>
      <c r="G134" s="27" t="n">
        <f aca="false">E134-E133</f>
        <v>-1.48000000000002</v>
      </c>
      <c r="H134" s="28" t="n">
        <f aca="false">G134/E133</f>
        <v>-0.000998279990556823</v>
      </c>
      <c r="I134" s="29" t="n">
        <f aca="false">MAX(G134,0)</f>
        <v>0</v>
      </c>
      <c r="J134" s="29" t="n">
        <f aca="false">MAX(-G134,0)</f>
        <v>1.48000000000002</v>
      </c>
      <c r="K134" s="29" t="n">
        <f aca="false">(K133*13+I134)/14</f>
        <v>6.22053628986108</v>
      </c>
      <c r="L134" s="29" t="n">
        <f aca="false">(L133*13+J134)/14</f>
        <v>4.50661473773736</v>
      </c>
      <c r="M134" s="31" t="n">
        <f aca="false">IF(L134=0,100,100-100/(1+K134/MAX(L134,0.000001)))</f>
        <v>57.9887080349396</v>
      </c>
      <c r="N134" s="30" t="n">
        <f aca="false">AVERAGE(E115:E134)</f>
        <v>1463.573</v>
      </c>
      <c r="O134" s="30" t="n">
        <f aca="false">AVERAGE(E85:E134)</f>
        <v>1434.8766</v>
      </c>
      <c r="Q134" s="30" t="n">
        <f aca="false">Q133+(2/13)*(E134-Q133)</f>
        <v>1470.71598623405</v>
      </c>
      <c r="R134" s="30" t="n">
        <f aca="false">R133+(2/27)*(E134-R133)</f>
        <v>1459.60145873866</v>
      </c>
      <c r="S134" s="33" t="n">
        <f aca="false">Q134-R134</f>
        <v>11.1145274953913</v>
      </c>
      <c r="T134" s="33" t="n">
        <f aca="false">T133+(2/10)*(S134-T133)</f>
        <v>9.71363755233707</v>
      </c>
      <c r="U134" s="33" t="n">
        <f aca="false">S134-T134</f>
        <v>1.40088994305419</v>
      </c>
      <c r="V134" s="32" t="str">
        <f aca="false">IF(M134="","",IF(M134&lt;Assumptions!$B$5,"BUY",IF(M134&gt;Assumptions!$B$4,"SELL","HOLD")))</f>
        <v>HOLD</v>
      </c>
      <c r="W134" s="32" t="str">
        <f aca="false">IF(O134="","",IF(E134&gt;O134,"BUY","SELL"))</f>
        <v>BUY</v>
      </c>
      <c r="X134" s="32" t="str">
        <f aca="false">IF(T134="","",IF(S134&gt;T134,"BUY","SELL"))</f>
        <v>BUY</v>
      </c>
      <c r="Y134" s="34" t="n">
        <f aca="false">IF(OR(V134="",W134="",X134=""),"",IFERROR(IF(V134="BUY",1,IF(V134="SELL",-1,0))+IF(W134="BUY",1,IF(W134="SELL",-1,0))+IF(X134="BUY",1,IF(X134="SELL",-1,0)),0))</f>
        <v>2</v>
      </c>
      <c r="Z134" s="32" t="str">
        <f aca="false">IF(Y134="","",IF(Y134&gt;=2,"STRONG BUY",IF(Y134=1,"BUY",IF(Y134=0,"HOLD",IF(Y134=-1,"SELL","STRONG SELL")))))</f>
        <v>STRONG BUY</v>
      </c>
    </row>
    <row r="135" customFormat="false" ht="15" hidden="false" customHeight="false" outlineLevel="0" collapsed="false">
      <c r="A135" s="24" t="n">
        <v>45957</v>
      </c>
      <c r="B135" s="25" t="n">
        <v>1479.26</v>
      </c>
      <c r="C135" s="25" t="n">
        <v>1493.88</v>
      </c>
      <c r="D135" s="25" t="n">
        <v>1477.18</v>
      </c>
      <c r="E135" s="25" t="n">
        <v>1485.53</v>
      </c>
      <c r="F135" s="26" t="n">
        <v>5360394</v>
      </c>
      <c r="G135" s="27" t="n">
        <f aca="false">E135-E134</f>
        <v>4.46000000000004</v>
      </c>
      <c r="H135" s="28" t="n">
        <f aca="false">G135/E134</f>
        <v>0.00301133639868476</v>
      </c>
      <c r="I135" s="29" t="n">
        <f aca="false">MAX(G135,0)</f>
        <v>4.46000000000004</v>
      </c>
      <c r="J135" s="29" t="n">
        <f aca="false">MAX(-G135,0)</f>
        <v>0</v>
      </c>
      <c r="K135" s="29" t="n">
        <f aca="false">(K134*13+I135)/14</f>
        <v>6.09478369772815</v>
      </c>
      <c r="L135" s="29" t="n">
        <f aca="false">(L134*13+J135)/14</f>
        <v>4.18471368504184</v>
      </c>
      <c r="M135" s="31" t="n">
        <f aca="false">IF(L135=0,100,100-100/(1+K135/MAX(L135,0.000001)))</f>
        <v>59.2906780436944</v>
      </c>
      <c r="N135" s="30" t="n">
        <f aca="false">AVERAGE(E116:E135)</f>
        <v>1464.877</v>
      </c>
      <c r="O135" s="30" t="n">
        <f aca="false">AVERAGE(E86:E135)</f>
        <v>1436.7726</v>
      </c>
      <c r="Q135" s="30" t="n">
        <f aca="false">Q134+(2/13)*(E135-Q134)</f>
        <v>1472.99506527497</v>
      </c>
      <c r="R135" s="30" t="n">
        <f aca="false">R134+(2/27)*(E135-R134)</f>
        <v>1461.52209142469</v>
      </c>
      <c r="S135" s="33" t="n">
        <f aca="false">Q135-R135</f>
        <v>11.4729738502811</v>
      </c>
      <c r="T135" s="33" t="n">
        <f aca="false">T134+(2/10)*(S135-T134)</f>
        <v>10.0655048119259</v>
      </c>
      <c r="U135" s="33" t="n">
        <f aca="false">S135-T135</f>
        <v>1.40746903835518</v>
      </c>
      <c r="V135" s="32" t="str">
        <f aca="false">IF(M135="","",IF(M135&lt;Assumptions!$B$5,"BUY",IF(M135&gt;Assumptions!$B$4,"SELL","HOLD")))</f>
        <v>HOLD</v>
      </c>
      <c r="W135" s="32" t="str">
        <f aca="false">IF(O135="","",IF(E135&gt;O135,"BUY","SELL"))</f>
        <v>BUY</v>
      </c>
      <c r="X135" s="32" t="str">
        <f aca="false">IF(T135="","",IF(S135&gt;T135,"BUY","SELL"))</f>
        <v>BUY</v>
      </c>
      <c r="Y135" s="34" t="n">
        <f aca="false">IF(OR(V135="",W135="",X135=""),"",IFERROR(IF(V135="BUY",1,IF(V135="SELL",-1,0))+IF(W135="BUY",1,IF(W135="SELL",-1,0))+IF(X135="BUY",1,IF(X135="SELL",-1,0)),0))</f>
        <v>2</v>
      </c>
      <c r="Z135" s="32" t="str">
        <f aca="false">IF(Y135="","",IF(Y135&gt;=2,"STRONG BUY",IF(Y135=1,"BUY",IF(Y135=0,"HOLD",IF(Y135=-1,"SELL","STRONG SELL")))))</f>
        <v>STRONG BUY</v>
      </c>
    </row>
    <row r="136" customFormat="false" ht="15" hidden="false" customHeight="false" outlineLevel="0" collapsed="false">
      <c r="A136" s="24" t="n">
        <v>45958</v>
      </c>
      <c r="B136" s="25" t="n">
        <v>1510.39</v>
      </c>
      <c r="C136" s="25" t="n">
        <v>1510.39</v>
      </c>
      <c r="D136" s="25" t="n">
        <v>1508.03</v>
      </c>
      <c r="E136" s="25" t="n">
        <v>1509.21</v>
      </c>
      <c r="F136" s="26" t="n">
        <v>6859439</v>
      </c>
      <c r="G136" s="27" t="n">
        <f aca="false">E136-E135</f>
        <v>23.6800000000001</v>
      </c>
      <c r="H136" s="28" t="n">
        <f aca="false">G136/E135</f>
        <v>0.0159404387659624</v>
      </c>
      <c r="I136" s="29" t="n">
        <f aca="false">MAX(G136,0)</f>
        <v>23.6800000000001</v>
      </c>
      <c r="J136" s="29" t="n">
        <f aca="false">MAX(-G136,0)</f>
        <v>0</v>
      </c>
      <c r="K136" s="29" t="n">
        <f aca="false">(K135*13+I136)/14</f>
        <v>7.35087057646186</v>
      </c>
      <c r="L136" s="29" t="n">
        <f aca="false">(L135*13+J136)/14</f>
        <v>3.88580556468171</v>
      </c>
      <c r="M136" s="31" t="n">
        <f aca="false">IF(L136=0,100,100-100/(1+K136/MAX(L136,0.000001)))</f>
        <v>65.4185497929084</v>
      </c>
      <c r="N136" s="30" t="n">
        <f aca="false">AVERAGE(E117:E136)</f>
        <v>1467.7685</v>
      </c>
      <c r="O136" s="30" t="n">
        <f aca="false">AVERAGE(E87:E136)</f>
        <v>1439.5966</v>
      </c>
      <c r="Q136" s="30" t="n">
        <f aca="false">Q135+(2/13)*(E136-Q135)</f>
        <v>1478.5665936942</v>
      </c>
      <c r="R136" s="30" t="n">
        <f aca="false">R135+(2/27)*(E136-R135)</f>
        <v>1465.05452909693</v>
      </c>
      <c r="S136" s="33" t="n">
        <f aca="false">Q136-R136</f>
        <v>13.5120645972713</v>
      </c>
      <c r="T136" s="33" t="n">
        <f aca="false">T135+(2/10)*(S136-T135)</f>
        <v>10.754816768995</v>
      </c>
      <c r="U136" s="33" t="n">
        <f aca="false">S136-T136</f>
        <v>2.75724782827636</v>
      </c>
      <c r="V136" s="32" t="str">
        <f aca="false">IF(M136="","",IF(M136&lt;Assumptions!$B$5,"BUY",IF(M136&gt;Assumptions!$B$4,"SELL","HOLD")))</f>
        <v>HOLD</v>
      </c>
      <c r="W136" s="32" t="str">
        <f aca="false">IF(O136="","",IF(E136&gt;O136,"BUY","SELL"))</f>
        <v>BUY</v>
      </c>
      <c r="X136" s="32" t="str">
        <f aca="false">IF(T136="","",IF(S136&gt;T136,"BUY","SELL"))</f>
        <v>BUY</v>
      </c>
      <c r="Y136" s="34" t="n">
        <f aca="false">IF(OR(V136="",W136="",X136=""),"",IFERROR(IF(V136="BUY",1,IF(V136="SELL",-1,0))+IF(W136="BUY",1,IF(W136="SELL",-1,0))+IF(X136="BUY",1,IF(X136="SELL",-1,0)),0))</f>
        <v>2</v>
      </c>
      <c r="Z136" s="32" t="str">
        <f aca="false">IF(Y136="","",IF(Y136&gt;=2,"STRONG BUY",IF(Y136=1,"BUY",IF(Y136=0,"HOLD",IF(Y136=-1,"SELL","STRONG SELL")))))</f>
        <v>STRONG BUY</v>
      </c>
    </row>
    <row r="137" customFormat="false" ht="15" hidden="false" customHeight="false" outlineLevel="0" collapsed="false">
      <c r="A137" s="24" t="n">
        <v>45959</v>
      </c>
      <c r="B137" s="25" t="n">
        <v>1489.34</v>
      </c>
      <c r="C137" s="25" t="n">
        <v>1490.38</v>
      </c>
      <c r="D137" s="25" t="n">
        <v>1483.02</v>
      </c>
      <c r="E137" s="25" t="n">
        <v>1486.7</v>
      </c>
      <c r="F137" s="26" t="n">
        <v>3407819</v>
      </c>
      <c r="G137" s="27" t="n">
        <f aca="false">E137-E136</f>
        <v>-22.51</v>
      </c>
      <c r="H137" s="28" t="n">
        <f aca="false">G137/E136</f>
        <v>-0.0149150880261859</v>
      </c>
      <c r="I137" s="29" t="n">
        <f aca="false">MAX(G137,0)</f>
        <v>0</v>
      </c>
      <c r="J137" s="29" t="n">
        <f aca="false">MAX(-G137,0)</f>
        <v>22.51</v>
      </c>
      <c r="K137" s="29" t="n">
        <f aca="false">(K136*13+I137)/14</f>
        <v>6.82580839242887</v>
      </c>
      <c r="L137" s="29" t="n">
        <f aca="false">(L136*13+J137)/14</f>
        <v>5.21610516720444</v>
      </c>
      <c r="M137" s="31" t="n">
        <f aca="false">IF(L137=0,100,100-100/(1+K137/MAX(L137,0.000001)))</f>
        <v>56.6837517860137</v>
      </c>
      <c r="N137" s="30" t="n">
        <f aca="false">AVERAGE(E118:E137)</f>
        <v>1469.529</v>
      </c>
      <c r="O137" s="30" t="n">
        <f aca="false">AVERAGE(E88:E137)</f>
        <v>1442.233</v>
      </c>
      <c r="Q137" s="30" t="n">
        <f aca="false">Q136+(2/13)*(E137-Q136)</f>
        <v>1479.81788697202</v>
      </c>
      <c r="R137" s="30" t="n">
        <f aca="false">R136+(2/27)*(E137-R136)</f>
        <v>1466.65789731197</v>
      </c>
      <c r="S137" s="33" t="n">
        <f aca="false">Q137-R137</f>
        <v>13.1599896600439</v>
      </c>
      <c r="T137" s="33" t="n">
        <f aca="false">T136+(2/10)*(S137-T136)</f>
        <v>11.2358513472048</v>
      </c>
      <c r="U137" s="33" t="n">
        <f aca="false">S137-T137</f>
        <v>1.92413831283919</v>
      </c>
      <c r="V137" s="32" t="str">
        <f aca="false">IF(M137="","",IF(M137&lt;Assumptions!$B$5,"BUY",IF(M137&gt;Assumptions!$B$4,"SELL","HOLD")))</f>
        <v>HOLD</v>
      </c>
      <c r="W137" s="32" t="str">
        <f aca="false">IF(O137="","",IF(E137&gt;O137,"BUY","SELL"))</f>
        <v>BUY</v>
      </c>
      <c r="X137" s="32" t="str">
        <f aca="false">IF(T137="","",IF(S137&gt;T137,"BUY","SELL"))</f>
        <v>BUY</v>
      </c>
      <c r="Y137" s="34" t="n">
        <f aca="false">IF(OR(V137="",W137="",X137=""),"",IFERROR(IF(V137="BUY",1,IF(V137="SELL",-1,0))+IF(W137="BUY",1,IF(W137="SELL",-1,0))+IF(X137="BUY",1,IF(X137="SELL",-1,0)),0))</f>
        <v>2</v>
      </c>
      <c r="Z137" s="32" t="str">
        <f aca="false">IF(Y137="","",IF(Y137&gt;=2,"STRONG BUY",IF(Y137=1,"BUY",IF(Y137=0,"HOLD",IF(Y137=-1,"SELL","STRONG SELL")))))</f>
        <v>STRONG BUY</v>
      </c>
    </row>
    <row r="138" customFormat="false" ht="15" hidden="false" customHeight="false" outlineLevel="0" collapsed="false">
      <c r="A138" s="24" t="n">
        <v>45960</v>
      </c>
      <c r="B138" s="25" t="n">
        <v>1503.96</v>
      </c>
      <c r="C138" s="25" t="n">
        <v>1511.49</v>
      </c>
      <c r="D138" s="25" t="n">
        <v>1488.83</v>
      </c>
      <c r="E138" s="25" t="n">
        <v>1500.16</v>
      </c>
      <c r="F138" s="26" t="n">
        <v>5938907</v>
      </c>
      <c r="G138" s="27" t="n">
        <f aca="false">E138-E137</f>
        <v>13.46</v>
      </c>
      <c r="H138" s="28" t="n">
        <f aca="false">G138/E137</f>
        <v>0.00905360866348291</v>
      </c>
      <c r="I138" s="29" t="n">
        <f aca="false">MAX(G138,0)</f>
        <v>13.46</v>
      </c>
      <c r="J138" s="29" t="n">
        <f aca="false">MAX(-G138,0)</f>
        <v>0</v>
      </c>
      <c r="K138" s="29" t="n">
        <f aca="false">(K137*13+I138)/14</f>
        <v>7.29967922154109</v>
      </c>
      <c r="L138" s="29" t="n">
        <f aca="false">(L137*13+J138)/14</f>
        <v>4.84352622668984</v>
      </c>
      <c r="M138" s="31" t="n">
        <f aca="false">IF(L138=0,100,100-100/(1+K138/MAX(L138,0.000001)))</f>
        <v>60.1132810661994</v>
      </c>
      <c r="N138" s="30" t="n">
        <f aca="false">AVERAGE(E119:E138)</f>
        <v>1470.8195</v>
      </c>
      <c r="O138" s="30" t="n">
        <f aca="false">AVERAGE(E89:E138)</f>
        <v>1445.274</v>
      </c>
      <c r="Q138" s="30" t="n">
        <f aca="false">Q137+(2/13)*(E138-Q137)</f>
        <v>1482.94744282248</v>
      </c>
      <c r="R138" s="30" t="n">
        <f aca="false">R137+(2/27)*(E138-R137)</f>
        <v>1469.13953454812</v>
      </c>
      <c r="S138" s="33" t="n">
        <f aca="false">Q138-R138</f>
        <v>13.8079082743527</v>
      </c>
      <c r="T138" s="33" t="n">
        <f aca="false">T137+(2/10)*(S138-T137)</f>
        <v>11.7502627326343</v>
      </c>
      <c r="U138" s="33" t="n">
        <f aca="false">S138-T138</f>
        <v>2.05764554171837</v>
      </c>
      <c r="V138" s="32" t="str">
        <f aca="false">IF(M138="","",IF(M138&lt;Assumptions!$B$5,"BUY",IF(M138&gt;Assumptions!$B$4,"SELL","HOLD")))</f>
        <v>HOLD</v>
      </c>
      <c r="W138" s="32" t="str">
        <f aca="false">IF(O138="","",IF(E138&gt;O138,"BUY","SELL"))</f>
        <v>BUY</v>
      </c>
      <c r="X138" s="32" t="str">
        <f aca="false">IF(T138="","",IF(S138&gt;T138,"BUY","SELL"))</f>
        <v>BUY</v>
      </c>
      <c r="Y138" s="34" t="n">
        <f aca="false">IF(OR(V138="",W138="",X138=""),"",IFERROR(IF(V138="BUY",1,IF(V138="SELL",-1,0))+IF(W138="BUY",1,IF(W138="SELL",-1,0))+IF(X138="BUY",1,IF(X138="SELL",-1,0)),0))</f>
        <v>2</v>
      </c>
      <c r="Z138" s="32" t="str">
        <f aca="false">IF(Y138="","",IF(Y138&gt;=2,"STRONG BUY",IF(Y138=1,"BUY",IF(Y138=0,"HOLD",IF(Y138=-1,"SELL","STRONG SELL")))))</f>
        <v>STRONG BUY</v>
      </c>
    </row>
    <row r="139" customFormat="false" ht="15" hidden="false" customHeight="false" outlineLevel="0" collapsed="false">
      <c r="A139" s="24" t="n">
        <v>45961</v>
      </c>
      <c r="B139" s="25" t="n">
        <v>1506.62</v>
      </c>
      <c r="C139" s="25" t="n">
        <v>1510.02</v>
      </c>
      <c r="D139" s="25" t="n">
        <v>1506.62</v>
      </c>
      <c r="E139" s="25" t="n">
        <v>1508.32</v>
      </c>
      <c r="F139" s="26" t="n">
        <v>4427099</v>
      </c>
      <c r="G139" s="27" t="n">
        <f aca="false">E139-E138</f>
        <v>8.15999999999985</v>
      </c>
      <c r="H139" s="28" t="n">
        <f aca="false">G139/E138</f>
        <v>0.00543941979522175</v>
      </c>
      <c r="I139" s="29" t="n">
        <f aca="false">MAX(G139,0)</f>
        <v>8.15999999999985</v>
      </c>
      <c r="J139" s="29" t="n">
        <f aca="false">MAX(-G139,0)</f>
        <v>0</v>
      </c>
      <c r="K139" s="29" t="n">
        <f aca="false">(K138*13+I139)/14</f>
        <v>7.36113070571672</v>
      </c>
      <c r="L139" s="29" t="n">
        <f aca="false">(L138*13+J139)/14</f>
        <v>4.49756006764056</v>
      </c>
      <c r="M139" s="31" t="n">
        <f aca="false">IF(L139=0,100,100-100/(1+K139/MAX(L139,0.000001)))</f>
        <v>62.0737216814426</v>
      </c>
      <c r="N139" s="30" t="n">
        <f aca="false">AVERAGE(E120:E139)</f>
        <v>1473.2075</v>
      </c>
      <c r="O139" s="30" t="n">
        <f aca="false">AVERAGE(E90:E139)</f>
        <v>1448.3744</v>
      </c>
      <c r="Q139" s="30" t="n">
        <f aca="false">Q138+(2/13)*(E139-Q138)</f>
        <v>1486.85091315748</v>
      </c>
      <c r="R139" s="30" t="n">
        <f aca="false">R138+(2/27)*(E139-R138)</f>
        <v>1472.04179124826</v>
      </c>
      <c r="S139" s="33" t="n">
        <f aca="false">Q139-R139</f>
        <v>14.8091219092173</v>
      </c>
      <c r="T139" s="33" t="n">
        <f aca="false">T138+(2/10)*(S139-T138)</f>
        <v>12.3620345679509</v>
      </c>
      <c r="U139" s="33" t="n">
        <f aca="false">S139-T139</f>
        <v>2.44708734126637</v>
      </c>
      <c r="V139" s="32" t="str">
        <f aca="false">IF(M139="","",IF(M139&lt;Assumptions!$B$5,"BUY",IF(M139&gt;Assumptions!$B$4,"SELL","HOLD")))</f>
        <v>HOLD</v>
      </c>
      <c r="W139" s="32" t="str">
        <f aca="false">IF(O139="","",IF(E139&gt;O139,"BUY","SELL"))</f>
        <v>BUY</v>
      </c>
      <c r="X139" s="32" t="str">
        <f aca="false">IF(T139="","",IF(S139&gt;T139,"BUY","SELL"))</f>
        <v>BUY</v>
      </c>
      <c r="Y139" s="34" t="n">
        <f aca="false">IF(OR(V139="",W139="",X139=""),"",IFERROR(IF(V139="BUY",1,IF(V139="SELL",-1,0))+IF(W139="BUY",1,IF(W139="SELL",-1,0))+IF(X139="BUY",1,IF(X139="SELL",-1,0)),0))</f>
        <v>2</v>
      </c>
      <c r="Z139" s="32" t="str">
        <f aca="false">IF(Y139="","",IF(Y139&gt;=2,"STRONG BUY",IF(Y139=1,"BUY",IF(Y139=0,"HOLD",IF(Y139=-1,"SELL","STRONG SELL")))))</f>
        <v>STRONG BUY</v>
      </c>
    </row>
    <row r="140" customFormat="false" ht="15" hidden="false" customHeight="false" outlineLevel="0" collapsed="false">
      <c r="A140" s="24" t="n">
        <v>45964</v>
      </c>
      <c r="B140" s="25" t="n">
        <v>1529.31</v>
      </c>
      <c r="C140" s="25" t="n">
        <v>1534.03</v>
      </c>
      <c r="D140" s="25" t="n">
        <v>1524.83</v>
      </c>
      <c r="E140" s="25" t="n">
        <v>1529.43</v>
      </c>
      <c r="F140" s="26" t="n">
        <v>5216553</v>
      </c>
      <c r="G140" s="27" t="n">
        <f aca="false">E140-E139</f>
        <v>21.1100000000001</v>
      </c>
      <c r="H140" s="28" t="n">
        <f aca="false">G140/E139</f>
        <v>0.0139957038294262</v>
      </c>
      <c r="I140" s="29" t="n">
        <f aca="false">MAX(G140,0)</f>
        <v>21.1100000000001</v>
      </c>
      <c r="J140" s="29" t="n">
        <f aca="false">MAX(-G140,0)</f>
        <v>0</v>
      </c>
      <c r="K140" s="29" t="n">
        <f aca="false">(K139*13+I140)/14</f>
        <v>8.34319279816553</v>
      </c>
      <c r="L140" s="29" t="n">
        <f aca="false">(L139*13+J140)/14</f>
        <v>4.17630577709481</v>
      </c>
      <c r="M140" s="31" t="n">
        <f aca="false">IF(L140=0,100,100-100/(1+K140/MAX(L140,0.000001)))</f>
        <v>66.6415891020782</v>
      </c>
      <c r="N140" s="30" t="n">
        <f aca="false">AVERAGE(E121:E140)</f>
        <v>1476.9245</v>
      </c>
      <c r="O140" s="30" t="n">
        <f aca="false">AVERAGE(E91:E140)</f>
        <v>1451.602</v>
      </c>
      <c r="Q140" s="30" t="n">
        <f aca="false">Q139+(2/13)*(E140-Q139)</f>
        <v>1493.40154190248</v>
      </c>
      <c r="R140" s="30" t="n">
        <f aca="false">R139+(2/27)*(E140-R139)</f>
        <v>1476.29276967432</v>
      </c>
      <c r="S140" s="33" t="n">
        <f aca="false">Q140-R140</f>
        <v>17.1087722281657</v>
      </c>
      <c r="T140" s="33" t="n">
        <f aca="false">T139+(2/10)*(S140-T139)</f>
        <v>13.3113820999939</v>
      </c>
      <c r="U140" s="33" t="n">
        <f aca="false">S140-T140</f>
        <v>3.79739012817178</v>
      </c>
      <c r="V140" s="32" t="str">
        <f aca="false">IF(M140="","",IF(M140&lt;Assumptions!$B$5,"BUY",IF(M140&gt;Assumptions!$B$4,"SELL","HOLD")))</f>
        <v>HOLD</v>
      </c>
      <c r="W140" s="32" t="str">
        <f aca="false">IF(O140="","",IF(E140&gt;O140,"BUY","SELL"))</f>
        <v>BUY</v>
      </c>
      <c r="X140" s="32" t="str">
        <f aca="false">IF(T140="","",IF(S140&gt;T140,"BUY","SELL"))</f>
        <v>BUY</v>
      </c>
      <c r="Y140" s="34" t="n">
        <f aca="false">IF(OR(V140="",W140="",X140=""),"",IFERROR(IF(V140="BUY",1,IF(V140="SELL",-1,0))+IF(W140="BUY",1,IF(W140="SELL",-1,0))+IF(X140="BUY",1,IF(X140="SELL",-1,0)),0))</f>
        <v>2</v>
      </c>
      <c r="Z140" s="32" t="str">
        <f aca="false">IF(Y140="","",IF(Y140&gt;=2,"STRONG BUY",IF(Y140=1,"BUY",IF(Y140=0,"HOLD",IF(Y140=-1,"SELL","STRONG SELL")))))</f>
        <v>STRONG BUY</v>
      </c>
    </row>
    <row r="141" customFormat="false" ht="15" hidden="false" customHeight="false" outlineLevel="0" collapsed="false">
      <c r="A141" s="24" t="n">
        <v>45965</v>
      </c>
      <c r="B141" s="25" t="n">
        <v>1540.54</v>
      </c>
      <c r="C141" s="25" t="n">
        <v>1551.98</v>
      </c>
      <c r="D141" s="25" t="n">
        <v>1526.86</v>
      </c>
      <c r="E141" s="25" t="n">
        <v>1539.42</v>
      </c>
      <c r="F141" s="26" t="n">
        <v>3789127</v>
      </c>
      <c r="G141" s="27" t="n">
        <f aca="false">E141-E140</f>
        <v>9.99000000000001</v>
      </c>
      <c r="H141" s="28" t="n">
        <f aca="false">G141/E140</f>
        <v>0.00653184519723035</v>
      </c>
      <c r="I141" s="29" t="n">
        <f aca="false">MAX(G141,0)</f>
        <v>9.99000000000001</v>
      </c>
      <c r="J141" s="29" t="n">
        <f aca="false">MAX(-G141,0)</f>
        <v>0</v>
      </c>
      <c r="K141" s="29" t="n">
        <f aca="false">(K140*13+I141)/14</f>
        <v>8.46082188401085</v>
      </c>
      <c r="L141" s="29" t="n">
        <f aca="false">(L140*13+J141)/14</f>
        <v>3.87799822158804</v>
      </c>
      <c r="M141" s="31" t="n">
        <f aca="false">IF(L141=0,100,100-100/(1+K141/MAX(L141,0.000001)))</f>
        <v>68.5707532130374</v>
      </c>
      <c r="N141" s="30" t="n">
        <f aca="false">AVERAGE(E122:E141)</f>
        <v>1480.2365</v>
      </c>
      <c r="O141" s="30" t="n">
        <f aca="false">AVERAGE(E92:E141)</f>
        <v>1455.0312</v>
      </c>
      <c r="Q141" s="30" t="n">
        <f aca="false">Q140+(2/13)*(E141-Q140)</f>
        <v>1500.48130468672</v>
      </c>
      <c r="R141" s="30" t="n">
        <f aca="false">R140+(2/27)*(E141-R140)</f>
        <v>1480.96886080955</v>
      </c>
      <c r="S141" s="33" t="n">
        <f aca="false">Q141-R141</f>
        <v>19.5124438771632</v>
      </c>
      <c r="T141" s="33" t="n">
        <f aca="false">T140+(2/10)*(S141-T140)</f>
        <v>14.5515944554277</v>
      </c>
      <c r="U141" s="33" t="n">
        <f aca="false">S141-T141</f>
        <v>4.96084942173541</v>
      </c>
      <c r="V141" s="32" t="str">
        <f aca="false">IF(M141="","",IF(M141&lt;Assumptions!$B$5,"BUY",IF(M141&gt;Assumptions!$B$4,"SELL","HOLD")))</f>
        <v>HOLD</v>
      </c>
      <c r="W141" s="32" t="str">
        <f aca="false">IF(O141="","",IF(E141&gt;O141,"BUY","SELL"))</f>
        <v>BUY</v>
      </c>
      <c r="X141" s="32" t="str">
        <f aca="false">IF(T141="","",IF(S141&gt;T141,"BUY","SELL"))</f>
        <v>BUY</v>
      </c>
      <c r="Y141" s="34" t="n">
        <f aca="false">IF(OR(V141="",W141="",X141=""),"",IFERROR(IF(V141="BUY",1,IF(V141="SELL",-1,0))+IF(W141="BUY",1,IF(W141="SELL",-1,0))+IF(X141="BUY",1,IF(X141="SELL",-1,0)),0))</f>
        <v>2</v>
      </c>
      <c r="Z141" s="32" t="str">
        <f aca="false">IF(Y141="","",IF(Y141&gt;=2,"STRONG BUY",IF(Y141=1,"BUY",IF(Y141=0,"HOLD",IF(Y141=-1,"SELL","STRONG SELL")))))</f>
        <v>STRONG BUY</v>
      </c>
    </row>
    <row r="142" customFormat="false" ht="15" hidden="false" customHeight="false" outlineLevel="0" collapsed="false">
      <c r="A142" s="24" t="n">
        <v>45966</v>
      </c>
      <c r="B142" s="25" t="n">
        <v>1539.35</v>
      </c>
      <c r="C142" s="25" t="n">
        <v>1550.31</v>
      </c>
      <c r="D142" s="25" t="n">
        <v>1530.29</v>
      </c>
      <c r="E142" s="25" t="n">
        <v>1540.3</v>
      </c>
      <c r="F142" s="26" t="n">
        <v>1751117</v>
      </c>
      <c r="G142" s="27" t="n">
        <f aca="false">E142-E141</f>
        <v>0.879999999999882</v>
      </c>
      <c r="H142" s="28" t="n">
        <f aca="false">G142/E141</f>
        <v>0.000571643865871485</v>
      </c>
      <c r="I142" s="29" t="n">
        <f aca="false">MAX(G142,0)</f>
        <v>0.879999999999882</v>
      </c>
      <c r="J142" s="29" t="n">
        <f aca="false">MAX(-G142,0)</f>
        <v>0</v>
      </c>
      <c r="K142" s="29" t="n">
        <f aca="false">(K141*13+I142)/14</f>
        <v>7.9193346065815</v>
      </c>
      <c r="L142" s="29" t="n">
        <f aca="false">(L141*13+J142)/14</f>
        <v>3.60099834861746</v>
      </c>
      <c r="M142" s="31" t="n">
        <f aca="false">IF(L142=0,100,100-100/(1+K142/MAX(L142,0.000001)))</f>
        <v>68.7422372025074</v>
      </c>
      <c r="N142" s="30" t="n">
        <f aca="false">AVERAGE(E123:E142)</f>
        <v>1483.8805</v>
      </c>
      <c r="O142" s="30" t="n">
        <f aca="false">AVERAGE(E93:E142)</f>
        <v>1458.4108</v>
      </c>
      <c r="Q142" s="30" t="n">
        <f aca="false">Q141+(2/13)*(E142-Q141)</f>
        <v>1506.60725781184</v>
      </c>
      <c r="R142" s="30" t="n">
        <f aca="false">R141+(2/27)*(E142-R141)</f>
        <v>1485.36376000885</v>
      </c>
      <c r="S142" s="33" t="n">
        <f aca="false">Q142-R142</f>
        <v>21.2434978029914</v>
      </c>
      <c r="T142" s="33" t="n">
        <f aca="false">T141+(2/10)*(S142-T141)</f>
        <v>15.8899751249405</v>
      </c>
      <c r="U142" s="33" t="n">
        <f aca="false">S142-T142</f>
        <v>5.35352267805097</v>
      </c>
      <c r="V142" s="32" t="str">
        <f aca="false">IF(M142="","",IF(M142&lt;Assumptions!$B$5,"BUY",IF(M142&gt;Assumptions!$B$4,"SELL","HOLD")))</f>
        <v>HOLD</v>
      </c>
      <c r="W142" s="32" t="str">
        <f aca="false">IF(O142="","",IF(E142&gt;O142,"BUY","SELL"))</f>
        <v>BUY</v>
      </c>
      <c r="X142" s="32" t="str">
        <f aca="false">IF(T142="","",IF(S142&gt;T142,"BUY","SELL"))</f>
        <v>BUY</v>
      </c>
      <c r="Y142" s="34" t="n">
        <f aca="false">IF(OR(V142="",W142="",X142=""),"",IFERROR(IF(V142="BUY",1,IF(V142="SELL",-1,0))+IF(W142="BUY",1,IF(W142="SELL",-1,0))+IF(X142="BUY",1,IF(X142="SELL",-1,0)),0))</f>
        <v>2</v>
      </c>
      <c r="Z142" s="32" t="str">
        <f aca="false">IF(Y142="","",IF(Y142&gt;=2,"STRONG BUY",IF(Y142=1,"BUY",IF(Y142=0,"HOLD",IF(Y142=-1,"SELL","STRONG SELL")))))</f>
        <v>STRONG BUY</v>
      </c>
    </row>
    <row r="143" customFormat="false" ht="15" hidden="false" customHeight="false" outlineLevel="0" collapsed="false">
      <c r="A143" s="24" t="n">
        <v>45967</v>
      </c>
      <c r="B143" s="25" t="n">
        <v>1538.47</v>
      </c>
      <c r="C143" s="25" t="n">
        <v>1539.67</v>
      </c>
      <c r="D143" s="25" t="n">
        <v>1526.81</v>
      </c>
      <c r="E143" s="25" t="n">
        <v>1533.24</v>
      </c>
      <c r="F143" s="26" t="n">
        <v>4906486</v>
      </c>
      <c r="G143" s="27" t="n">
        <f aca="false">E143-E142</f>
        <v>-7.05999999999995</v>
      </c>
      <c r="H143" s="28" t="n">
        <f aca="false">G143/E142</f>
        <v>-0.00458352269038495</v>
      </c>
      <c r="I143" s="29" t="n">
        <f aca="false">MAX(G143,0)</f>
        <v>0</v>
      </c>
      <c r="J143" s="29" t="n">
        <f aca="false">MAX(-G143,0)</f>
        <v>7.05999999999995</v>
      </c>
      <c r="K143" s="29" t="n">
        <f aca="false">(K142*13+I143)/14</f>
        <v>7.35366784896853</v>
      </c>
      <c r="L143" s="29" t="n">
        <f aca="false">(L142*13+J143)/14</f>
        <v>3.84806989514478</v>
      </c>
      <c r="M143" s="31" t="n">
        <f aca="false">IF(L143=0,100,100-100/(1+K143/MAX(L143,0.000001)))</f>
        <v>65.6475630563035</v>
      </c>
      <c r="N143" s="30" t="n">
        <f aca="false">AVERAGE(E124:E143)</f>
        <v>1487.4045</v>
      </c>
      <c r="O143" s="30" t="n">
        <f aca="false">AVERAGE(E94:E143)</f>
        <v>1461.605</v>
      </c>
      <c r="Q143" s="30" t="n">
        <f aca="false">Q142+(2/13)*(E143-Q142)</f>
        <v>1510.70460276386</v>
      </c>
      <c r="R143" s="30" t="n">
        <f aca="false">R142+(2/27)*(E143-R142)</f>
        <v>1488.91014815634</v>
      </c>
      <c r="S143" s="33" t="n">
        <f aca="false">Q143-R143</f>
        <v>21.7944546075235</v>
      </c>
      <c r="T143" s="33" t="n">
        <f aca="false">T142+(2/10)*(S143-T142)</f>
        <v>17.0708710214571</v>
      </c>
      <c r="U143" s="33" t="n">
        <f aca="false">S143-T143</f>
        <v>4.72358358606638</v>
      </c>
      <c r="V143" s="32" t="str">
        <f aca="false">IF(M143="","",IF(M143&lt;Assumptions!$B$5,"BUY",IF(M143&gt;Assumptions!$B$4,"SELL","HOLD")))</f>
        <v>HOLD</v>
      </c>
      <c r="W143" s="32" t="str">
        <f aca="false">IF(O143="","",IF(E143&gt;O143,"BUY","SELL"))</f>
        <v>BUY</v>
      </c>
      <c r="X143" s="32" t="str">
        <f aca="false">IF(T143="","",IF(S143&gt;T143,"BUY","SELL"))</f>
        <v>BUY</v>
      </c>
      <c r="Y143" s="34" t="n">
        <f aca="false">IF(OR(V143="",W143="",X143=""),"",IFERROR(IF(V143="BUY",1,IF(V143="SELL",-1,0))+IF(W143="BUY",1,IF(W143="SELL",-1,0))+IF(X143="BUY",1,IF(X143="SELL",-1,0)),0))</f>
        <v>2</v>
      </c>
      <c r="Z143" s="32" t="str">
        <f aca="false">IF(Y143="","",IF(Y143&gt;=2,"STRONG BUY",IF(Y143=1,"BUY",IF(Y143=0,"HOLD",IF(Y143=-1,"SELL","STRONG SELL")))))</f>
        <v>STRONG BUY</v>
      </c>
    </row>
    <row r="144" customFormat="false" ht="15" hidden="false" customHeight="false" outlineLevel="0" collapsed="false">
      <c r="A144" s="24" t="n">
        <v>45968</v>
      </c>
      <c r="B144" s="25" t="n">
        <v>1510.54</v>
      </c>
      <c r="C144" s="25" t="n">
        <v>1525.3</v>
      </c>
      <c r="D144" s="25" t="n">
        <v>1507.22</v>
      </c>
      <c r="E144" s="25" t="n">
        <v>1516.26</v>
      </c>
      <c r="F144" s="26" t="n">
        <v>4735534</v>
      </c>
      <c r="G144" s="27" t="n">
        <f aca="false">E144-E143</f>
        <v>-16.98</v>
      </c>
      <c r="H144" s="28" t="n">
        <f aca="false">G144/E143</f>
        <v>-0.011074587148783</v>
      </c>
      <c r="I144" s="29" t="n">
        <f aca="false">MAX(G144,0)</f>
        <v>0</v>
      </c>
      <c r="J144" s="29" t="n">
        <f aca="false">MAX(-G144,0)</f>
        <v>16.98</v>
      </c>
      <c r="K144" s="29" t="n">
        <f aca="false">(K143*13+I144)/14</f>
        <v>6.8284058597565</v>
      </c>
      <c r="L144" s="29" t="n">
        <f aca="false">(L143*13+J144)/14</f>
        <v>4.78606490263444</v>
      </c>
      <c r="M144" s="31" t="n">
        <f aca="false">IF(L144=0,100,100-100/(1+K144/MAX(L144,0.000001)))</f>
        <v>58.7922256592845</v>
      </c>
      <c r="N144" s="30" t="n">
        <f aca="false">AVERAGE(E125:E144)</f>
        <v>1490.008</v>
      </c>
      <c r="O144" s="30" t="n">
        <f aca="false">AVERAGE(E95:E144)</f>
        <v>1464.1874</v>
      </c>
      <c r="Q144" s="30" t="n">
        <f aca="false">Q143+(2/13)*(E144-Q143)</f>
        <v>1511.55927926173</v>
      </c>
      <c r="R144" s="30" t="n">
        <f aca="false">R143+(2/27)*(E144-R143)</f>
        <v>1490.93606310772</v>
      </c>
      <c r="S144" s="33" t="n">
        <f aca="false">Q144-R144</f>
        <v>20.6232161540086</v>
      </c>
      <c r="T144" s="33" t="n">
        <f aca="false">T143+(2/10)*(S144-T143)</f>
        <v>17.7813400479674</v>
      </c>
      <c r="U144" s="33" t="n">
        <f aca="false">S144-T144</f>
        <v>2.84187610604119</v>
      </c>
      <c r="V144" s="32" t="str">
        <f aca="false">IF(M144="","",IF(M144&lt;Assumptions!$B$5,"BUY",IF(M144&gt;Assumptions!$B$4,"SELL","HOLD")))</f>
        <v>HOLD</v>
      </c>
      <c r="W144" s="32" t="str">
        <f aca="false">IF(O144="","",IF(E144&gt;O144,"BUY","SELL"))</f>
        <v>BUY</v>
      </c>
      <c r="X144" s="32" t="str">
        <f aca="false">IF(T144="","",IF(S144&gt;T144,"BUY","SELL"))</f>
        <v>BUY</v>
      </c>
      <c r="Y144" s="34" t="n">
        <f aca="false">IF(OR(V144="",W144="",X144=""),"",IFERROR(IF(V144="BUY",1,IF(V144="SELL",-1,0))+IF(W144="BUY",1,IF(W144="SELL",-1,0))+IF(X144="BUY",1,IF(X144="SELL",-1,0)),0))</f>
        <v>2</v>
      </c>
      <c r="Z144" s="32" t="str">
        <f aca="false">IF(Y144="","",IF(Y144&gt;=2,"STRONG BUY",IF(Y144=1,"BUY",IF(Y144=0,"HOLD",IF(Y144=-1,"SELL","STRONG SELL")))))</f>
        <v>STRONG BUY</v>
      </c>
    </row>
    <row r="145" customFormat="false" ht="15" hidden="false" customHeight="false" outlineLevel="0" collapsed="false">
      <c r="A145" s="24" t="n">
        <v>45971</v>
      </c>
      <c r="B145" s="25" t="n">
        <v>1520.18</v>
      </c>
      <c r="C145" s="25" t="n">
        <v>1541.17</v>
      </c>
      <c r="D145" s="25" t="n">
        <v>1496.99</v>
      </c>
      <c r="E145" s="25" t="n">
        <v>1519.08</v>
      </c>
      <c r="F145" s="26" t="n">
        <v>6162756</v>
      </c>
      <c r="G145" s="27" t="n">
        <f aca="false">E145-E144</f>
        <v>2.81999999999994</v>
      </c>
      <c r="H145" s="28" t="n">
        <f aca="false">G145/E144</f>
        <v>0.00185983934153769</v>
      </c>
      <c r="I145" s="29" t="n">
        <f aca="false">MAX(G145,0)</f>
        <v>2.81999999999994</v>
      </c>
      <c r="J145" s="29" t="n">
        <f aca="false">MAX(-G145,0)</f>
        <v>0</v>
      </c>
      <c r="K145" s="29" t="n">
        <f aca="false">(K144*13+I145)/14</f>
        <v>6.54209115548817</v>
      </c>
      <c r="L145" s="29" t="n">
        <f aca="false">(L144*13+J145)/14</f>
        <v>4.44420312387484</v>
      </c>
      <c r="M145" s="31" t="n">
        <f aca="false">IF(L145=0,100,100-100/(1+K145/MAX(L145,0.000001)))</f>
        <v>59.5477509443474</v>
      </c>
      <c r="N145" s="30" t="n">
        <f aca="false">AVERAGE(E126:E145)</f>
        <v>1493.5585</v>
      </c>
      <c r="O145" s="30" t="n">
        <f aca="false">AVERAGE(E96:E145)</f>
        <v>1466.5994</v>
      </c>
      <c r="Q145" s="30" t="n">
        <f aca="false">Q144+(2/13)*(E145-Q144)</f>
        <v>1512.71631322146</v>
      </c>
      <c r="R145" s="30" t="n">
        <f aca="false">R144+(2/27)*(E145-R144)</f>
        <v>1493.02079917382</v>
      </c>
      <c r="S145" s="33" t="n">
        <f aca="false">Q145-R145</f>
        <v>19.6955140476475</v>
      </c>
      <c r="T145" s="33" t="n">
        <f aca="false">T144+(2/10)*(S145-T144)</f>
        <v>18.1641748479034</v>
      </c>
      <c r="U145" s="33" t="n">
        <f aca="false">S145-T145</f>
        <v>1.53133919974412</v>
      </c>
      <c r="V145" s="32" t="str">
        <f aca="false">IF(M145="","",IF(M145&lt;Assumptions!$B$5,"BUY",IF(M145&gt;Assumptions!$B$4,"SELL","HOLD")))</f>
        <v>HOLD</v>
      </c>
      <c r="W145" s="32" t="str">
        <f aca="false">IF(O145="","",IF(E145&gt;O145,"BUY","SELL"))</f>
        <v>BUY</v>
      </c>
      <c r="X145" s="32" t="str">
        <f aca="false">IF(T145="","",IF(S145&gt;T145,"BUY","SELL"))</f>
        <v>BUY</v>
      </c>
      <c r="Y145" s="34" t="n">
        <f aca="false">IF(OR(V145="",W145="",X145=""),"",IFERROR(IF(V145="BUY",1,IF(V145="SELL",-1,0))+IF(W145="BUY",1,IF(W145="SELL",-1,0))+IF(X145="BUY",1,IF(X145="SELL",-1,0)),0))</f>
        <v>2</v>
      </c>
      <c r="Z145" s="32" t="str">
        <f aca="false">IF(Y145="","",IF(Y145&gt;=2,"STRONG BUY",IF(Y145=1,"BUY",IF(Y145=0,"HOLD",IF(Y145=-1,"SELL","STRONG SELL")))))</f>
        <v>STRONG BUY</v>
      </c>
    </row>
    <row r="146" customFormat="false" ht="15" hidden="false" customHeight="false" outlineLevel="0" collapsed="false">
      <c r="A146" s="24" t="n">
        <v>45972</v>
      </c>
      <c r="B146" s="25" t="n">
        <v>1513.77</v>
      </c>
      <c r="C146" s="25" t="n">
        <v>1519.45</v>
      </c>
      <c r="D146" s="25" t="n">
        <v>1513.77</v>
      </c>
      <c r="E146" s="25" t="n">
        <v>1516.61</v>
      </c>
      <c r="F146" s="26" t="n">
        <v>5318442</v>
      </c>
      <c r="G146" s="27" t="n">
        <f aca="false">E146-E145</f>
        <v>-2.47000000000003</v>
      </c>
      <c r="H146" s="28" t="n">
        <f aca="false">G146/E145</f>
        <v>-0.00162598414830031</v>
      </c>
      <c r="I146" s="29" t="n">
        <f aca="false">MAX(G146,0)</f>
        <v>0</v>
      </c>
      <c r="J146" s="29" t="n">
        <f aca="false">MAX(-G146,0)</f>
        <v>2.47000000000003</v>
      </c>
      <c r="K146" s="29" t="n">
        <f aca="false">(K145*13+I146)/14</f>
        <v>6.07479893009616</v>
      </c>
      <c r="L146" s="29" t="n">
        <f aca="false">(L145*13+J146)/14</f>
        <v>4.30318861502664</v>
      </c>
      <c r="M146" s="31" t="n">
        <f aca="false">IF(L146=0,100,100-100/(1+K146/MAX(L146,0.000001)))</f>
        <v>58.535423208819</v>
      </c>
      <c r="N146" s="30" t="n">
        <f aca="false">AVERAGE(E127:E146)</f>
        <v>1496.835</v>
      </c>
      <c r="O146" s="30" t="n">
        <f aca="false">AVERAGE(E97:E146)</f>
        <v>1468.8902</v>
      </c>
      <c r="Q146" s="30" t="n">
        <f aca="false">Q145+(2/13)*(E146-Q145)</f>
        <v>1513.31534195662</v>
      </c>
      <c r="R146" s="30" t="n">
        <f aca="false">R145+(2/27)*(E146-R145)</f>
        <v>1494.76814738316</v>
      </c>
      <c r="S146" s="33" t="n">
        <f aca="false">Q146-R146</f>
        <v>18.54719457346</v>
      </c>
      <c r="T146" s="33" t="n">
        <f aca="false">T145+(2/10)*(S146-T145)</f>
        <v>18.2407787930147</v>
      </c>
      <c r="U146" s="33" t="n">
        <f aca="false">S146-T146</f>
        <v>0.306415780445317</v>
      </c>
      <c r="V146" s="32" t="str">
        <f aca="false">IF(M146="","",IF(M146&lt;Assumptions!$B$5,"BUY",IF(M146&gt;Assumptions!$B$4,"SELL","HOLD")))</f>
        <v>HOLD</v>
      </c>
      <c r="W146" s="32" t="str">
        <f aca="false">IF(O146="","",IF(E146&gt;O146,"BUY","SELL"))</f>
        <v>BUY</v>
      </c>
      <c r="X146" s="32" t="str">
        <f aca="false">IF(T146="","",IF(S146&gt;T146,"BUY","SELL"))</f>
        <v>BUY</v>
      </c>
      <c r="Y146" s="34" t="n">
        <f aca="false">IF(OR(V146="",W146="",X146=""),"",IFERROR(IF(V146="BUY",1,IF(V146="SELL",-1,0))+IF(W146="BUY",1,IF(W146="SELL",-1,0))+IF(X146="BUY",1,IF(X146="SELL",-1,0)),0))</f>
        <v>2</v>
      </c>
      <c r="Z146" s="32" t="str">
        <f aca="false">IF(Y146="","",IF(Y146&gt;=2,"STRONG BUY",IF(Y146=1,"BUY",IF(Y146=0,"HOLD",IF(Y146=-1,"SELL","STRONG SELL")))))</f>
        <v>STRONG BUY</v>
      </c>
    </row>
    <row r="147" customFormat="false" ht="15" hidden="false" customHeight="false" outlineLevel="0" collapsed="false">
      <c r="A147" s="24" t="n">
        <v>45973</v>
      </c>
      <c r="B147" s="25" t="n">
        <v>1547.84</v>
      </c>
      <c r="C147" s="25" t="n">
        <v>1547.84</v>
      </c>
      <c r="D147" s="25" t="n">
        <v>1541.34</v>
      </c>
      <c r="E147" s="25" t="n">
        <v>1544.59</v>
      </c>
      <c r="F147" s="26" t="n">
        <v>5032194</v>
      </c>
      <c r="G147" s="27" t="n">
        <f aca="false">E147-E146</f>
        <v>27.98</v>
      </c>
      <c r="H147" s="28" t="n">
        <f aca="false">G147/E146</f>
        <v>0.0184490409531785</v>
      </c>
      <c r="I147" s="29" t="n">
        <f aca="false">MAX(G147,0)</f>
        <v>27.98</v>
      </c>
      <c r="J147" s="29" t="n">
        <f aca="false">MAX(-G147,0)</f>
        <v>0</v>
      </c>
      <c r="K147" s="29" t="n">
        <f aca="false">(K146*13+I147)/14</f>
        <v>7.63945614937501</v>
      </c>
      <c r="L147" s="29" t="n">
        <f aca="false">(L146*13+J147)/14</f>
        <v>3.99581799966759</v>
      </c>
      <c r="M147" s="31" t="n">
        <f aca="false">IF(L147=0,100,100-100/(1+K147/MAX(L147,0.000001)))</f>
        <v>65.6577236730053</v>
      </c>
      <c r="N147" s="30" t="n">
        <f aca="false">AVERAGE(E128:E147)</f>
        <v>1502.289</v>
      </c>
      <c r="O147" s="30" t="n">
        <f aca="false">AVERAGE(E98:E147)</f>
        <v>1471.9918</v>
      </c>
      <c r="Q147" s="30" t="n">
        <f aca="false">Q146+(2/13)*(E147-Q146)</f>
        <v>1518.12682780945</v>
      </c>
      <c r="R147" s="30" t="n">
        <f aca="false">R146+(2/27)*(E147-R146)</f>
        <v>1498.45865498441</v>
      </c>
      <c r="S147" s="33" t="n">
        <f aca="false">Q147-R147</f>
        <v>19.6681728250401</v>
      </c>
      <c r="T147" s="33" t="n">
        <f aca="false">T146+(2/10)*(S147-T146)</f>
        <v>18.5262575994198</v>
      </c>
      <c r="U147" s="33" t="n">
        <f aca="false">S147-T147</f>
        <v>1.14191522562027</v>
      </c>
      <c r="V147" s="32" t="str">
        <f aca="false">IF(M147="","",IF(M147&lt;Assumptions!$B$5,"BUY",IF(M147&gt;Assumptions!$B$4,"SELL","HOLD")))</f>
        <v>HOLD</v>
      </c>
      <c r="W147" s="32" t="str">
        <f aca="false">IF(O147="","",IF(E147&gt;O147,"BUY","SELL"))</f>
        <v>BUY</v>
      </c>
      <c r="X147" s="32" t="str">
        <f aca="false">IF(T147="","",IF(S147&gt;T147,"BUY","SELL"))</f>
        <v>BUY</v>
      </c>
      <c r="Y147" s="34" t="n">
        <f aca="false">IF(OR(V147="",W147="",X147=""),"",IFERROR(IF(V147="BUY",1,IF(V147="SELL",-1,0))+IF(W147="BUY",1,IF(W147="SELL",-1,0))+IF(X147="BUY",1,IF(X147="SELL",-1,0)),0))</f>
        <v>2</v>
      </c>
      <c r="Z147" s="32" t="str">
        <f aca="false">IF(Y147="","",IF(Y147&gt;=2,"STRONG BUY",IF(Y147=1,"BUY",IF(Y147=0,"HOLD",IF(Y147=-1,"SELL","STRONG SELL")))))</f>
        <v>STRONG BUY</v>
      </c>
    </row>
    <row r="148" customFormat="false" ht="15" hidden="false" customHeight="false" outlineLevel="0" collapsed="false">
      <c r="A148" s="24" t="n">
        <v>45974</v>
      </c>
      <c r="B148" s="25" t="n">
        <v>1533.44</v>
      </c>
      <c r="C148" s="25" t="n">
        <v>1542.63</v>
      </c>
      <c r="D148" s="25" t="n">
        <v>1529.91</v>
      </c>
      <c r="E148" s="25" t="n">
        <v>1536.27</v>
      </c>
      <c r="F148" s="26" t="n">
        <v>5318405</v>
      </c>
      <c r="G148" s="27" t="n">
        <f aca="false">E148-E147</f>
        <v>-8.31999999999994</v>
      </c>
      <c r="H148" s="28" t="n">
        <f aca="false">G148/E147</f>
        <v>-0.00538654270712612</v>
      </c>
      <c r="I148" s="29" t="n">
        <f aca="false">MAX(G148,0)</f>
        <v>0</v>
      </c>
      <c r="J148" s="29" t="n">
        <f aca="false">MAX(-G148,0)</f>
        <v>8.31999999999994</v>
      </c>
      <c r="K148" s="29" t="n">
        <f aca="false">(K147*13+I148)/14</f>
        <v>7.09378071013393</v>
      </c>
      <c r="L148" s="29" t="n">
        <f aca="false">(L147*13+J148)/14</f>
        <v>4.30468814254848</v>
      </c>
      <c r="M148" s="31" t="n">
        <f aca="false">IF(L148=0,100,100-100/(1+K148/MAX(L148,0.000001)))</f>
        <v>62.2345053692413</v>
      </c>
      <c r="N148" s="30" t="n">
        <f aca="false">AVERAGE(E129:E148)</f>
        <v>1506.7455</v>
      </c>
      <c r="O148" s="30" t="n">
        <f aca="false">AVERAGE(E99:E148)</f>
        <v>1474.6974</v>
      </c>
      <c r="Q148" s="30" t="n">
        <f aca="false">Q147+(2/13)*(E148-Q147)</f>
        <v>1520.91808506954</v>
      </c>
      <c r="R148" s="30" t="n">
        <f aca="false">R147+(2/27)*(E148-R147)</f>
        <v>1501.25949535594</v>
      </c>
      <c r="S148" s="33" t="n">
        <f aca="false">Q148-R148</f>
        <v>19.6585897135997</v>
      </c>
      <c r="T148" s="33" t="n">
        <f aca="false">T147+(2/10)*(S148-T147)</f>
        <v>18.7527240222558</v>
      </c>
      <c r="U148" s="33" t="n">
        <f aca="false">S148-T148</f>
        <v>0.905865691343895</v>
      </c>
      <c r="V148" s="32" t="str">
        <f aca="false">IF(M148="","",IF(M148&lt;Assumptions!$B$5,"BUY",IF(M148&gt;Assumptions!$B$4,"SELL","HOLD")))</f>
        <v>HOLD</v>
      </c>
      <c r="W148" s="32" t="str">
        <f aca="false">IF(O148="","",IF(E148&gt;O148,"BUY","SELL"))</f>
        <v>BUY</v>
      </c>
      <c r="X148" s="32" t="str">
        <f aca="false">IF(T148="","",IF(S148&gt;T148,"BUY","SELL"))</f>
        <v>BUY</v>
      </c>
      <c r="Y148" s="34" t="n">
        <f aca="false">IF(OR(V148="",W148="",X148=""),"",IFERROR(IF(V148="BUY",1,IF(V148="SELL",-1,0))+IF(W148="BUY",1,IF(W148="SELL",-1,0))+IF(X148="BUY",1,IF(X148="SELL",-1,0)),0))</f>
        <v>2</v>
      </c>
      <c r="Z148" s="32" t="str">
        <f aca="false">IF(Y148="","",IF(Y148&gt;=2,"STRONG BUY",IF(Y148=1,"BUY",IF(Y148=0,"HOLD",IF(Y148=-1,"SELL","STRONG SELL")))))</f>
        <v>STRONG BUY</v>
      </c>
    </row>
    <row r="149" customFormat="false" ht="15" hidden="false" customHeight="false" outlineLevel="0" collapsed="false">
      <c r="A149" s="24" t="n">
        <v>45975</v>
      </c>
      <c r="B149" s="25" t="n">
        <v>1538.89</v>
      </c>
      <c r="C149" s="25" t="n">
        <v>1555.25</v>
      </c>
      <c r="D149" s="25" t="n">
        <v>1526.47</v>
      </c>
      <c r="E149" s="25" t="n">
        <v>1540.86</v>
      </c>
      <c r="F149" s="26" t="n">
        <v>3158078</v>
      </c>
      <c r="G149" s="27" t="n">
        <f aca="false">E149-E148</f>
        <v>4.58999999999992</v>
      </c>
      <c r="H149" s="28" t="n">
        <f aca="false">G149/E148</f>
        <v>0.00298775605850529</v>
      </c>
      <c r="I149" s="29" t="n">
        <f aca="false">MAX(G149,0)</f>
        <v>4.58999999999992</v>
      </c>
      <c r="J149" s="29" t="n">
        <f aca="false">MAX(-G149,0)</f>
        <v>0</v>
      </c>
      <c r="K149" s="29" t="n">
        <f aca="false">(K148*13+I149)/14</f>
        <v>6.91493923083865</v>
      </c>
      <c r="L149" s="29" t="n">
        <f aca="false">(L148*13+J149)/14</f>
        <v>3.99721041808073</v>
      </c>
      <c r="M149" s="31" t="n">
        <f aca="false">IF(L149=0,100,100-100/(1+K149/MAX(L149,0.000001)))</f>
        <v>63.3691752158424</v>
      </c>
      <c r="N149" s="30" t="n">
        <f aca="false">AVERAGE(E130:E149)</f>
        <v>1511.422</v>
      </c>
      <c r="O149" s="30" t="n">
        <f aca="false">AVERAGE(E100:E149)</f>
        <v>1477.3958</v>
      </c>
      <c r="Q149" s="30" t="n">
        <f aca="false">Q148+(2/13)*(E149-Q148)</f>
        <v>1523.98607198191</v>
      </c>
      <c r="R149" s="30" t="n">
        <f aca="false">R148+(2/27)*(E149-R148)</f>
        <v>1504.19286607031</v>
      </c>
      <c r="S149" s="33" t="n">
        <f aca="false">Q149-R149</f>
        <v>19.7932059116038</v>
      </c>
      <c r="T149" s="33" t="n">
        <f aca="false">T148+(2/10)*(S149-T148)</f>
        <v>18.9608204001254</v>
      </c>
      <c r="U149" s="33" t="n">
        <f aca="false">S149-T149</f>
        <v>0.832385511478393</v>
      </c>
      <c r="V149" s="32" t="str">
        <f aca="false">IF(M149="","",IF(M149&lt;Assumptions!$B$5,"BUY",IF(M149&gt;Assumptions!$B$4,"SELL","HOLD")))</f>
        <v>HOLD</v>
      </c>
      <c r="W149" s="32" t="str">
        <f aca="false">IF(O149="","",IF(E149&gt;O149,"BUY","SELL"))</f>
        <v>BUY</v>
      </c>
      <c r="X149" s="32" t="str">
        <f aca="false">IF(T149="","",IF(S149&gt;T149,"BUY","SELL"))</f>
        <v>BUY</v>
      </c>
      <c r="Y149" s="34" t="n">
        <f aca="false">IF(OR(V149="",W149="",X149=""),"",IFERROR(IF(V149="BUY",1,IF(V149="SELL",-1,0))+IF(W149="BUY",1,IF(W149="SELL",-1,0))+IF(X149="BUY",1,IF(X149="SELL",-1,0)),0))</f>
        <v>2</v>
      </c>
      <c r="Z149" s="32" t="str">
        <f aca="false">IF(Y149="","",IF(Y149&gt;=2,"STRONG BUY",IF(Y149=1,"BUY",IF(Y149=0,"HOLD",IF(Y149=-1,"SELL","STRONG SELL")))))</f>
        <v>STRONG BUY</v>
      </c>
    </row>
    <row r="150" customFormat="false" ht="15" hidden="false" customHeight="false" outlineLevel="0" collapsed="false">
      <c r="A150" s="24" t="n">
        <v>45978</v>
      </c>
      <c r="B150" s="25" t="n">
        <v>1511.48</v>
      </c>
      <c r="C150" s="25" t="n">
        <v>1527.34</v>
      </c>
      <c r="D150" s="25" t="n">
        <v>1511.48</v>
      </c>
      <c r="E150" s="25" t="n">
        <v>1519.41</v>
      </c>
      <c r="F150" s="26" t="n">
        <v>5577139</v>
      </c>
      <c r="G150" s="27" t="n">
        <f aca="false">E150-E149</f>
        <v>-21.4499999999998</v>
      </c>
      <c r="H150" s="28" t="n">
        <f aca="false">G150/E149</f>
        <v>-0.0139207974767337</v>
      </c>
      <c r="I150" s="29" t="n">
        <f aca="false">MAX(G150,0)</f>
        <v>0</v>
      </c>
      <c r="J150" s="29" t="n">
        <f aca="false">MAX(-G150,0)</f>
        <v>21.4499999999998</v>
      </c>
      <c r="K150" s="29" t="n">
        <f aca="false">(K149*13+I150)/14</f>
        <v>6.42101500006446</v>
      </c>
      <c r="L150" s="29" t="n">
        <f aca="false">(L149*13+J150)/14</f>
        <v>5.24383824536066</v>
      </c>
      <c r="M150" s="31" t="n">
        <f aca="false">IF(L150=0,100,100-100/(1+K150/MAX(L150,0.000001)))</f>
        <v>55.045827538231</v>
      </c>
      <c r="N150" s="30" t="n">
        <f aca="false">AVERAGE(E131:E150)</f>
        <v>1513.516</v>
      </c>
      <c r="O150" s="30" t="n">
        <f aca="false">AVERAGE(E101:E150)</f>
        <v>1479.3502</v>
      </c>
      <c r="Q150" s="30" t="n">
        <f aca="false">Q149+(2/13)*(E150-Q149)</f>
        <v>1523.28206090777</v>
      </c>
      <c r="R150" s="30" t="n">
        <f aca="false">R149+(2/27)*(E150-R149)</f>
        <v>1505.32006117621</v>
      </c>
      <c r="S150" s="33" t="n">
        <f aca="false">Q150-R150</f>
        <v>17.9619997315601</v>
      </c>
      <c r="T150" s="33" t="n">
        <f aca="false">T149+(2/10)*(S150-T149)</f>
        <v>18.7610562664123</v>
      </c>
      <c r="U150" s="33" t="n">
        <f aca="false">S150-T150</f>
        <v>-0.799056534852195</v>
      </c>
      <c r="V150" s="32" t="str">
        <f aca="false">IF(M150="","",IF(M150&lt;Assumptions!$B$5,"BUY",IF(M150&gt;Assumptions!$B$4,"SELL","HOLD")))</f>
        <v>HOLD</v>
      </c>
      <c r="W150" s="32" t="str">
        <f aca="false">IF(O150="","",IF(E150&gt;O150,"BUY","SELL"))</f>
        <v>BUY</v>
      </c>
      <c r="X150" s="32" t="str">
        <f aca="false">IF(T150="","",IF(S150&gt;T150,"BUY","SELL"))</f>
        <v>SELL</v>
      </c>
      <c r="Y150" s="34" t="n">
        <f aca="false">IF(OR(V150="",W150="",X150=""),"",IFERROR(IF(V150="BUY",1,IF(V150="SELL",-1,0))+IF(W150="BUY",1,IF(W150="SELL",-1,0))+IF(X150="BUY",1,IF(X150="SELL",-1,0)),0))</f>
        <v>0</v>
      </c>
      <c r="Z150" s="32" t="str">
        <f aca="false">IF(Y150="","",IF(Y150&gt;=2,"STRONG BUY",IF(Y150=1,"BUY",IF(Y150=0,"HOLD",IF(Y150=-1,"SELL","STRONG SELL")))))</f>
        <v>HOLD</v>
      </c>
    </row>
    <row r="151" customFormat="false" ht="15" hidden="false" customHeight="false" outlineLevel="0" collapsed="false">
      <c r="A151" s="24" t="n">
        <v>45979</v>
      </c>
      <c r="B151" s="25" t="n">
        <v>1506.71</v>
      </c>
      <c r="C151" s="25" t="n">
        <v>1526.53</v>
      </c>
      <c r="D151" s="25" t="n">
        <v>1501.79</v>
      </c>
      <c r="E151" s="25" t="n">
        <v>1514.16</v>
      </c>
      <c r="F151" s="26" t="n">
        <v>1541974</v>
      </c>
      <c r="G151" s="27" t="n">
        <f aca="false">E151-E150</f>
        <v>-5.25</v>
      </c>
      <c r="H151" s="28" t="n">
        <f aca="false">G151/E150</f>
        <v>-0.00345528856595652</v>
      </c>
      <c r="I151" s="29" t="n">
        <f aca="false">MAX(G151,0)</f>
        <v>0</v>
      </c>
      <c r="J151" s="29" t="n">
        <f aca="false">MAX(-G151,0)</f>
        <v>5.25</v>
      </c>
      <c r="K151" s="29" t="n">
        <f aca="false">(K150*13+I151)/14</f>
        <v>5.96237107148843</v>
      </c>
      <c r="L151" s="29" t="n">
        <f aca="false">(L150*13+J151)/14</f>
        <v>5.24427837069204</v>
      </c>
      <c r="M151" s="31" t="n">
        <f aca="false">IF(L151=0,100,100-100/(1+K151/MAX(L151,0.000001)))</f>
        <v>53.2038688481393</v>
      </c>
      <c r="N151" s="30" t="n">
        <f aca="false">AVERAGE(E132:E151)</f>
        <v>1515.153</v>
      </c>
      <c r="O151" s="30" t="n">
        <f aca="false">AVERAGE(E102:E151)</f>
        <v>1481.2044</v>
      </c>
      <c r="Q151" s="30" t="n">
        <f aca="false">Q150+(2/13)*(E151-Q150)</f>
        <v>1521.87866692196</v>
      </c>
      <c r="R151" s="30" t="n">
        <f aca="false">R150+(2/27)*(E151-R150)</f>
        <v>1505.97487145946</v>
      </c>
      <c r="S151" s="33" t="n">
        <f aca="false">Q151-R151</f>
        <v>15.9037954625053</v>
      </c>
      <c r="T151" s="33" t="n">
        <f aca="false">T150+(2/10)*(S151-T150)</f>
        <v>18.1896041056309</v>
      </c>
      <c r="U151" s="33" t="n">
        <f aca="false">S151-T151</f>
        <v>-2.28580864312563</v>
      </c>
      <c r="V151" s="32" t="str">
        <f aca="false">IF(M151="","",IF(M151&lt;Assumptions!$B$5,"BUY",IF(M151&gt;Assumptions!$B$4,"SELL","HOLD")))</f>
        <v>HOLD</v>
      </c>
      <c r="W151" s="32" t="str">
        <f aca="false">IF(O151="","",IF(E151&gt;O151,"BUY","SELL"))</f>
        <v>BUY</v>
      </c>
      <c r="X151" s="32" t="str">
        <f aca="false">IF(T151="","",IF(S151&gt;T151,"BUY","SELL"))</f>
        <v>SELL</v>
      </c>
      <c r="Y151" s="34" t="n">
        <f aca="false">IF(OR(V151="",W151="",X151=""),"",IFERROR(IF(V151="BUY",1,IF(V151="SELL",-1,0))+IF(W151="BUY",1,IF(W151="SELL",-1,0))+IF(X151="BUY",1,IF(X151="SELL",-1,0)),0))</f>
        <v>0</v>
      </c>
      <c r="Z151" s="32" t="str">
        <f aca="false">IF(Y151="","",IF(Y151&gt;=2,"STRONG BUY",IF(Y151=1,"BUY",IF(Y151=0,"HOLD",IF(Y151=-1,"SELL","STRONG SELL")))))</f>
        <v>HOLD</v>
      </c>
    </row>
    <row r="152" customFormat="false" ht="15" hidden="false" customHeight="false" outlineLevel="0" collapsed="false">
      <c r="A152" s="24" t="n">
        <v>45980</v>
      </c>
      <c r="B152" s="25" t="n">
        <v>1521.33</v>
      </c>
      <c r="C152" s="25" t="n">
        <v>1528.05</v>
      </c>
      <c r="D152" s="25" t="n">
        <v>1507.69</v>
      </c>
      <c r="E152" s="25" t="n">
        <v>1517.87</v>
      </c>
      <c r="F152" s="26" t="n">
        <v>2705130</v>
      </c>
      <c r="G152" s="27" t="n">
        <f aca="false">E152-E151</f>
        <v>3.70999999999981</v>
      </c>
      <c r="H152" s="28" t="n">
        <f aca="false">G152/E151</f>
        <v>0.00245020341311342</v>
      </c>
      <c r="I152" s="29" t="n">
        <f aca="false">MAX(G152,0)</f>
        <v>3.70999999999981</v>
      </c>
      <c r="J152" s="29" t="n">
        <f aca="false">MAX(-G152,0)</f>
        <v>0</v>
      </c>
      <c r="K152" s="29" t="n">
        <f aca="false">(K151*13+I152)/14</f>
        <v>5.80148742352495</v>
      </c>
      <c r="L152" s="29" t="n">
        <f aca="false">(L151*13+J152)/14</f>
        <v>4.86968705849975</v>
      </c>
      <c r="M152" s="31" t="n">
        <f aca="false">IF(L152=0,100,100-100/(1+K152/MAX(L152,0.000001)))</f>
        <v>54.3659691189325</v>
      </c>
      <c r="N152" s="30" t="n">
        <f aca="false">AVERAGE(E133:E152)</f>
        <v>1516.052</v>
      </c>
      <c r="O152" s="30" t="n">
        <f aca="false">AVERAGE(E103:E152)</f>
        <v>1482.6258</v>
      </c>
      <c r="Q152" s="30" t="n">
        <f aca="false">Q151+(2/13)*(E152-Q151)</f>
        <v>1521.26194893397</v>
      </c>
      <c r="R152" s="30" t="n">
        <f aca="false">R151+(2/27)*(E152-R151)</f>
        <v>1506.85599209209</v>
      </c>
      <c r="S152" s="33" t="n">
        <f aca="false">Q152-R152</f>
        <v>14.4059568418782</v>
      </c>
      <c r="T152" s="33" t="n">
        <f aca="false">T151+(2/10)*(S152-T151)</f>
        <v>17.4328746528804</v>
      </c>
      <c r="U152" s="33" t="n">
        <f aca="false">S152-T152</f>
        <v>-3.02691781100221</v>
      </c>
      <c r="V152" s="32" t="str">
        <f aca="false">IF(M152="","",IF(M152&lt;Assumptions!$B$5,"BUY",IF(M152&gt;Assumptions!$B$4,"SELL","HOLD")))</f>
        <v>HOLD</v>
      </c>
      <c r="W152" s="32" t="str">
        <f aca="false">IF(O152="","",IF(E152&gt;O152,"BUY","SELL"))</f>
        <v>BUY</v>
      </c>
      <c r="X152" s="32" t="str">
        <f aca="false">IF(T152="","",IF(S152&gt;T152,"BUY","SELL"))</f>
        <v>SELL</v>
      </c>
      <c r="Y152" s="34" t="n">
        <f aca="false">IF(OR(V152="",W152="",X152=""),"",IFERROR(IF(V152="BUY",1,IF(V152="SELL",-1,0))+IF(W152="BUY",1,IF(W152="SELL",-1,0))+IF(X152="BUY",1,IF(X152="SELL",-1,0)),0))</f>
        <v>0</v>
      </c>
      <c r="Z152" s="32" t="str">
        <f aca="false">IF(Y152="","",IF(Y152&gt;=2,"STRONG BUY",IF(Y152=1,"BUY",IF(Y152=0,"HOLD",IF(Y152=-1,"SELL","STRONG SELL")))))</f>
        <v>HOLD</v>
      </c>
    </row>
    <row r="153" customFormat="false" ht="15" hidden="false" customHeight="false" outlineLevel="0" collapsed="false">
      <c r="A153" s="24" t="n">
        <v>45981</v>
      </c>
      <c r="B153" s="25" t="n">
        <v>1530.41</v>
      </c>
      <c r="C153" s="25" t="n">
        <v>1545.37</v>
      </c>
      <c r="D153" s="25" t="n">
        <v>1513.27</v>
      </c>
      <c r="E153" s="25" t="n">
        <v>1529.32</v>
      </c>
      <c r="F153" s="26" t="n">
        <v>4402950</v>
      </c>
      <c r="G153" s="27" t="n">
        <f aca="false">E153-E152</f>
        <v>11.45</v>
      </c>
      <c r="H153" s="28" t="n">
        <f aca="false">G153/E152</f>
        <v>0.0075434655141745</v>
      </c>
      <c r="I153" s="29" t="n">
        <f aca="false">MAX(G153,0)</f>
        <v>11.45</v>
      </c>
      <c r="J153" s="29" t="n">
        <f aca="false">MAX(-G153,0)</f>
        <v>0</v>
      </c>
      <c r="K153" s="29" t="n">
        <f aca="false">(K152*13+I153)/14</f>
        <v>6.20495260755889</v>
      </c>
      <c r="L153" s="29" t="n">
        <f aca="false">(L152*13+J153)/14</f>
        <v>4.52185226860691</v>
      </c>
      <c r="M153" s="31" t="n">
        <f aca="false">IF(L153=0,100,100-100/(1+K153/MAX(L153,0.000001)))</f>
        <v>57.8453013659813</v>
      </c>
      <c r="N153" s="30" t="n">
        <f aca="false">AVERAGE(E134:E153)</f>
        <v>1518.3905</v>
      </c>
      <c r="O153" s="30" t="n">
        <f aca="false">AVERAGE(E104:E153)</f>
        <v>1484.3666</v>
      </c>
      <c r="Q153" s="30" t="n">
        <f aca="false">Q152+(2/13)*(E153-Q152)</f>
        <v>1522.50164909797</v>
      </c>
      <c r="R153" s="30" t="n">
        <f aca="false">R152+(2/27)*(E153-R152)</f>
        <v>1508.51999267786</v>
      </c>
      <c r="S153" s="33" t="n">
        <f aca="false">Q153-R153</f>
        <v>13.9816564201119</v>
      </c>
      <c r="T153" s="33" t="n">
        <f aca="false">T152+(2/10)*(S153-T152)</f>
        <v>16.7426310063267</v>
      </c>
      <c r="U153" s="33" t="n">
        <f aca="false">S153-T153</f>
        <v>-2.76097458621476</v>
      </c>
      <c r="V153" s="32" t="str">
        <f aca="false">IF(M153="","",IF(M153&lt;Assumptions!$B$5,"BUY",IF(M153&gt;Assumptions!$B$4,"SELL","HOLD")))</f>
        <v>HOLD</v>
      </c>
      <c r="W153" s="32" t="str">
        <f aca="false">IF(O153="","",IF(E153&gt;O153,"BUY","SELL"))</f>
        <v>BUY</v>
      </c>
      <c r="X153" s="32" t="str">
        <f aca="false">IF(T153="","",IF(S153&gt;T153,"BUY","SELL"))</f>
        <v>SELL</v>
      </c>
      <c r="Y153" s="34" t="n">
        <f aca="false">IF(OR(V153="",W153="",X153=""),"",IFERROR(IF(V153="BUY",1,IF(V153="SELL",-1,0))+IF(W153="BUY",1,IF(W153="SELL",-1,0))+IF(X153="BUY",1,IF(X153="SELL",-1,0)),0))</f>
        <v>0</v>
      </c>
      <c r="Z153" s="32" t="str">
        <f aca="false">IF(Y153="","",IF(Y153&gt;=2,"STRONG BUY",IF(Y153=1,"BUY",IF(Y153=0,"HOLD",IF(Y153=-1,"SELL","STRONG SELL")))))</f>
        <v>HOLD</v>
      </c>
    </row>
    <row r="154" customFormat="false" ht="15" hidden="false" customHeight="false" outlineLevel="0" collapsed="false">
      <c r="A154" s="24" t="n">
        <v>45982</v>
      </c>
      <c r="B154" s="25" t="n">
        <v>1553.56</v>
      </c>
      <c r="C154" s="25" t="n">
        <v>1553.56</v>
      </c>
      <c r="D154" s="25" t="n">
        <v>1545.52</v>
      </c>
      <c r="E154" s="25" t="n">
        <v>1549.54</v>
      </c>
      <c r="F154" s="26" t="n">
        <v>4985126</v>
      </c>
      <c r="G154" s="27" t="n">
        <f aca="false">E154-E153</f>
        <v>20.22</v>
      </c>
      <c r="H154" s="28" t="n">
        <f aca="false">G154/E153</f>
        <v>0.0132215625245207</v>
      </c>
      <c r="I154" s="29" t="n">
        <f aca="false">MAX(G154,0)</f>
        <v>20.22</v>
      </c>
      <c r="J154" s="29" t="n">
        <f aca="false">MAX(-G154,0)</f>
        <v>0</v>
      </c>
      <c r="K154" s="29" t="n">
        <f aca="false">(K153*13+I154)/14</f>
        <v>7.20602742130468</v>
      </c>
      <c r="L154" s="29" t="n">
        <f aca="false">(L153*13+J154)/14</f>
        <v>4.19886282084928</v>
      </c>
      <c r="M154" s="31" t="n">
        <f aca="false">IF(L154=0,100,100-100/(1+K154/MAX(L154,0.000001)))</f>
        <v>63.1836630454388</v>
      </c>
      <c r="N154" s="30" t="n">
        <f aca="false">AVERAGE(E135:E154)</f>
        <v>1521.814</v>
      </c>
      <c r="O154" s="30" t="n">
        <f aca="false">AVERAGE(E105:E154)</f>
        <v>1486.0924</v>
      </c>
      <c r="Q154" s="30" t="n">
        <f aca="false">Q153+(2/13)*(E154-Q153)</f>
        <v>1526.66139539059</v>
      </c>
      <c r="R154" s="30" t="n">
        <f aca="false">R153+(2/27)*(E154-R153)</f>
        <v>1511.55851173876</v>
      </c>
      <c r="S154" s="33" t="n">
        <f aca="false">Q154-R154</f>
        <v>15.1028836518321</v>
      </c>
      <c r="T154" s="33" t="n">
        <f aca="false">T153+(2/10)*(S154-T153)</f>
        <v>16.4146815354278</v>
      </c>
      <c r="U154" s="33" t="n">
        <f aca="false">S154-T154</f>
        <v>-1.31179788359562</v>
      </c>
      <c r="V154" s="32" t="str">
        <f aca="false">IF(M154="","",IF(M154&lt;Assumptions!$B$5,"BUY",IF(M154&gt;Assumptions!$B$4,"SELL","HOLD")))</f>
        <v>HOLD</v>
      </c>
      <c r="W154" s="32" t="str">
        <f aca="false">IF(O154="","",IF(E154&gt;O154,"BUY","SELL"))</f>
        <v>BUY</v>
      </c>
      <c r="X154" s="32" t="str">
        <f aca="false">IF(T154="","",IF(S154&gt;T154,"BUY","SELL"))</f>
        <v>SELL</v>
      </c>
      <c r="Y154" s="34" t="n">
        <f aca="false">IF(OR(V154="",W154="",X154=""),"",IFERROR(IF(V154="BUY",1,IF(V154="SELL",-1,0))+IF(W154="BUY",1,IF(W154="SELL",-1,0))+IF(X154="BUY",1,IF(X154="SELL",-1,0)),0))</f>
        <v>0</v>
      </c>
      <c r="Z154" s="32" t="str">
        <f aca="false">IF(Y154="","",IF(Y154&gt;=2,"STRONG BUY",IF(Y154=1,"BUY",IF(Y154=0,"HOLD",IF(Y154=-1,"SELL","STRONG SELL")))))</f>
        <v>HOLD</v>
      </c>
    </row>
    <row r="155" customFormat="false" ht="15" hidden="false" customHeight="false" outlineLevel="0" collapsed="false">
      <c r="A155" s="24" t="n">
        <v>45985</v>
      </c>
      <c r="B155" s="25" t="n">
        <v>1548.31</v>
      </c>
      <c r="C155" s="25" t="n">
        <v>1561.14</v>
      </c>
      <c r="D155" s="25" t="n">
        <v>1537.02</v>
      </c>
      <c r="E155" s="25" t="n">
        <v>1549.08</v>
      </c>
      <c r="F155" s="26" t="n">
        <v>5875454</v>
      </c>
      <c r="G155" s="27" t="n">
        <f aca="false">E155-E154</f>
        <v>-0.460000000000036</v>
      </c>
      <c r="H155" s="28" t="n">
        <f aca="false">G155/E154</f>
        <v>-0.00029686229461649</v>
      </c>
      <c r="I155" s="29" t="n">
        <f aca="false">MAX(G155,0)</f>
        <v>0</v>
      </c>
      <c r="J155" s="29" t="n">
        <f aca="false">MAX(-G155,0)</f>
        <v>0.460000000000036</v>
      </c>
      <c r="K155" s="29" t="n">
        <f aca="false">(K154*13+I155)/14</f>
        <v>6.69131117692578</v>
      </c>
      <c r="L155" s="29" t="n">
        <f aca="false">(L154*13+J155)/14</f>
        <v>3.93180119078862</v>
      </c>
      <c r="M155" s="31" t="n">
        <f aca="false">IF(L155=0,100,100-100/(1+K155/MAX(L155,0.000001)))</f>
        <v>62.9882368303089</v>
      </c>
      <c r="N155" s="30" t="n">
        <f aca="false">AVERAGE(E136:E155)</f>
        <v>1524.9915</v>
      </c>
      <c r="O155" s="30" t="n">
        <f aca="false">AVERAGE(E106:E155)</f>
        <v>1487.7758</v>
      </c>
      <c r="Q155" s="30" t="n">
        <f aca="false">Q154+(2/13)*(E155-Q154)</f>
        <v>1530.11041148435</v>
      </c>
      <c r="R155" s="30" t="n">
        <f aca="false">R154+(2/27)*(E155-R154)</f>
        <v>1514.33788123959</v>
      </c>
      <c r="S155" s="33" t="n">
        <f aca="false">Q155-R155</f>
        <v>15.7725302447545</v>
      </c>
      <c r="T155" s="33" t="n">
        <f aca="false">T154+(2/10)*(S155-T154)</f>
        <v>16.2862512772931</v>
      </c>
      <c r="U155" s="33" t="n">
        <f aca="false">S155-T155</f>
        <v>-0.513721032538584</v>
      </c>
      <c r="V155" s="32" t="str">
        <f aca="false">IF(M155="","",IF(M155&lt;Assumptions!$B$5,"BUY",IF(M155&gt;Assumptions!$B$4,"SELL","HOLD")))</f>
        <v>HOLD</v>
      </c>
      <c r="W155" s="32" t="str">
        <f aca="false">IF(O155="","",IF(E155&gt;O155,"BUY","SELL"))</f>
        <v>BUY</v>
      </c>
      <c r="X155" s="32" t="str">
        <f aca="false">IF(T155="","",IF(S155&gt;T155,"BUY","SELL"))</f>
        <v>SELL</v>
      </c>
      <c r="Y155" s="34" t="n">
        <f aca="false">IF(OR(V155="",W155="",X155=""),"",IFERROR(IF(V155="BUY",1,IF(V155="SELL",-1,0))+IF(W155="BUY",1,IF(W155="SELL",-1,0))+IF(X155="BUY",1,IF(X155="SELL",-1,0)),0))</f>
        <v>0</v>
      </c>
      <c r="Z155" s="32" t="str">
        <f aca="false">IF(Y155="","",IF(Y155&gt;=2,"STRONG BUY",IF(Y155=1,"BUY",IF(Y155=0,"HOLD",IF(Y155=-1,"SELL","STRONG SELL")))))</f>
        <v>HOLD</v>
      </c>
    </row>
    <row r="156" customFormat="false" ht="15" hidden="false" customHeight="false" outlineLevel="0" collapsed="false">
      <c r="A156" s="24" t="n">
        <v>45986</v>
      </c>
      <c r="B156" s="25" t="n">
        <v>1528.38</v>
      </c>
      <c r="C156" s="25" t="n">
        <v>1539.1</v>
      </c>
      <c r="D156" s="25" t="n">
        <v>1528.38</v>
      </c>
      <c r="E156" s="25" t="n">
        <v>1533.74</v>
      </c>
      <c r="F156" s="26" t="n">
        <v>6929571</v>
      </c>
      <c r="G156" s="27" t="n">
        <f aca="false">E156-E155</f>
        <v>-15.3399999999999</v>
      </c>
      <c r="H156" s="28" t="n">
        <f aca="false">G156/E155</f>
        <v>-0.00990265189660955</v>
      </c>
      <c r="I156" s="29" t="n">
        <f aca="false">MAX(G156,0)</f>
        <v>0</v>
      </c>
      <c r="J156" s="29" t="n">
        <f aca="false">MAX(-G156,0)</f>
        <v>15.3399999999999</v>
      </c>
      <c r="K156" s="29" t="n">
        <f aca="false">(K155*13+I156)/14</f>
        <v>6.21336037857394</v>
      </c>
      <c r="L156" s="29" t="n">
        <f aca="false">(L155*13+J156)/14</f>
        <v>4.74667253430371</v>
      </c>
      <c r="M156" s="31" t="n">
        <f aca="false">IF(L156=0,100,100-100/(1+K156/MAX(L156,0.000001)))</f>
        <v>56.6910740867709</v>
      </c>
      <c r="N156" s="30" t="n">
        <f aca="false">AVERAGE(E137:E156)</f>
        <v>1526.218</v>
      </c>
      <c r="O156" s="30" t="n">
        <f aca="false">AVERAGE(E107:E156)</f>
        <v>1489.2852</v>
      </c>
      <c r="Q156" s="30" t="n">
        <f aca="false">Q155+(2/13)*(E156-Q155)</f>
        <v>1530.66880971752</v>
      </c>
      <c r="R156" s="30" t="n">
        <f aca="false">R155+(2/27)*(E156-R155)</f>
        <v>1515.77507522185</v>
      </c>
      <c r="S156" s="33" t="n">
        <f aca="false">Q156-R156</f>
        <v>14.8937344956794</v>
      </c>
      <c r="T156" s="33" t="n">
        <f aca="false">T155+(2/10)*(S156-T155)</f>
        <v>16.0077479209704</v>
      </c>
      <c r="U156" s="33" t="n">
        <f aca="false">S156-T156</f>
        <v>-1.11401342529099</v>
      </c>
      <c r="V156" s="32" t="str">
        <f aca="false">IF(M156="","",IF(M156&lt;Assumptions!$B$5,"BUY",IF(M156&gt;Assumptions!$B$4,"SELL","HOLD")))</f>
        <v>HOLD</v>
      </c>
      <c r="W156" s="32" t="str">
        <f aca="false">IF(O156="","",IF(E156&gt;O156,"BUY","SELL"))</f>
        <v>BUY</v>
      </c>
      <c r="X156" s="32" t="str">
        <f aca="false">IF(T156="","",IF(S156&gt;T156,"BUY","SELL"))</f>
        <v>SELL</v>
      </c>
      <c r="Y156" s="34" t="n">
        <f aca="false">IF(OR(V156="",W156="",X156=""),"",IFERROR(IF(V156="BUY",1,IF(V156="SELL",-1,0))+IF(W156="BUY",1,IF(W156="SELL",-1,0))+IF(X156="BUY",1,IF(X156="SELL",-1,0)),0))</f>
        <v>0</v>
      </c>
      <c r="Z156" s="32" t="str">
        <f aca="false">IF(Y156="","",IF(Y156&gt;=2,"STRONG BUY",IF(Y156=1,"BUY",IF(Y156=0,"HOLD",IF(Y156=-1,"SELL","STRONG SELL")))))</f>
        <v>HOLD</v>
      </c>
    </row>
    <row r="157" customFormat="false" ht="15" hidden="false" customHeight="false" outlineLevel="0" collapsed="false">
      <c r="A157" s="24" t="n">
        <v>45987</v>
      </c>
      <c r="B157" s="25" t="n">
        <v>1537.71</v>
      </c>
      <c r="C157" s="25" t="n">
        <v>1544.07</v>
      </c>
      <c r="D157" s="25" t="n">
        <v>1536.39</v>
      </c>
      <c r="E157" s="25" t="n">
        <v>1540.23</v>
      </c>
      <c r="F157" s="26" t="n">
        <v>5027933</v>
      </c>
      <c r="G157" s="27" t="n">
        <f aca="false">E157-E156</f>
        <v>6.49000000000001</v>
      </c>
      <c r="H157" s="28" t="n">
        <f aca="false">G157/E156</f>
        <v>0.00423148643185938</v>
      </c>
      <c r="I157" s="29" t="n">
        <f aca="false">MAX(G157,0)</f>
        <v>6.49000000000001</v>
      </c>
      <c r="J157" s="29" t="n">
        <f aca="false">MAX(-G157,0)</f>
        <v>0</v>
      </c>
      <c r="K157" s="29" t="n">
        <f aca="false">(K156*13+I157)/14</f>
        <v>6.23312035153294</v>
      </c>
      <c r="L157" s="29" t="n">
        <f aca="false">(L156*13+J157)/14</f>
        <v>4.40762449613916</v>
      </c>
      <c r="M157" s="31" t="n">
        <f aca="false">IF(L157=0,100,100-100/(1+K157/MAX(L157,0.000001)))</f>
        <v>58.5778574786198</v>
      </c>
      <c r="N157" s="30" t="n">
        <f aca="false">AVERAGE(E138:E157)</f>
        <v>1528.8945</v>
      </c>
      <c r="O157" s="30" t="n">
        <f aca="false">AVERAGE(E108:E157)</f>
        <v>1491.2162</v>
      </c>
      <c r="Q157" s="30" t="n">
        <f aca="false">Q156+(2/13)*(E157-Q156)</f>
        <v>1532.13976206867</v>
      </c>
      <c r="R157" s="30" t="n">
        <f aca="false">R156+(2/27)*(E157-R156)</f>
        <v>1517.58655113134</v>
      </c>
      <c r="S157" s="33" t="n">
        <f aca="false">Q157-R157</f>
        <v>14.5532109373366</v>
      </c>
      <c r="T157" s="33" t="n">
        <f aca="false">T156+(2/10)*(S157-T156)</f>
        <v>15.7168405242436</v>
      </c>
      <c r="U157" s="33" t="n">
        <f aca="false">S157-T157</f>
        <v>-1.16362958690698</v>
      </c>
      <c r="V157" s="32" t="str">
        <f aca="false">IF(M157="","",IF(M157&lt;Assumptions!$B$5,"BUY",IF(M157&gt;Assumptions!$B$4,"SELL","HOLD")))</f>
        <v>HOLD</v>
      </c>
      <c r="W157" s="32" t="str">
        <f aca="false">IF(O157="","",IF(E157&gt;O157,"BUY","SELL"))</f>
        <v>BUY</v>
      </c>
      <c r="X157" s="32" t="str">
        <f aca="false">IF(T157="","",IF(S157&gt;T157,"BUY","SELL"))</f>
        <v>SELL</v>
      </c>
      <c r="Y157" s="34" t="n">
        <f aca="false">IF(OR(V157="",W157="",X157=""),"",IFERROR(IF(V157="BUY",1,IF(V157="SELL",-1,0))+IF(W157="BUY",1,IF(W157="SELL",-1,0))+IF(X157="BUY",1,IF(X157="SELL",-1,0)),0))</f>
        <v>0</v>
      </c>
      <c r="Z157" s="32" t="str">
        <f aca="false">IF(Y157="","",IF(Y157&gt;=2,"STRONG BUY",IF(Y157=1,"BUY",IF(Y157=0,"HOLD",IF(Y157=-1,"SELL","STRONG SELL")))))</f>
        <v>HOLD</v>
      </c>
    </row>
    <row r="158" customFormat="false" ht="15" hidden="false" customHeight="false" outlineLevel="0" collapsed="false">
      <c r="A158" s="24" t="n">
        <v>45988</v>
      </c>
      <c r="B158" s="25" t="n">
        <v>1549.2</v>
      </c>
      <c r="C158" s="25" t="n">
        <v>1557.14</v>
      </c>
      <c r="D158" s="25" t="n">
        <v>1538</v>
      </c>
      <c r="E158" s="25" t="n">
        <v>1547.57</v>
      </c>
      <c r="F158" s="26" t="n">
        <v>4416854</v>
      </c>
      <c r="G158" s="27" t="n">
        <f aca="false">E158-E157</f>
        <v>7.33999999999992</v>
      </c>
      <c r="H158" s="28" t="n">
        <f aca="false">G158/E157</f>
        <v>0.00476552203242368</v>
      </c>
      <c r="I158" s="29" t="n">
        <f aca="false">MAX(G158,0)</f>
        <v>7.33999999999992</v>
      </c>
      <c r="J158" s="29" t="n">
        <f aca="false">MAX(-G158,0)</f>
        <v>0</v>
      </c>
      <c r="K158" s="29" t="n">
        <f aca="false">(K157*13+I158)/14</f>
        <v>6.3121831835663</v>
      </c>
      <c r="L158" s="29" t="n">
        <f aca="false">(L157*13+J158)/14</f>
        <v>4.09279417498636</v>
      </c>
      <c r="M158" s="31" t="n">
        <f aca="false">IF(L158=0,100,100-100/(1+K158/MAX(L158,0.000001)))</f>
        <v>60.6650352619732</v>
      </c>
      <c r="N158" s="30" t="n">
        <f aca="false">AVERAGE(E139:E158)</f>
        <v>1531.265</v>
      </c>
      <c r="O158" s="30" t="n">
        <f aca="false">AVERAGE(E109:E158)</f>
        <v>1493.3304</v>
      </c>
      <c r="Q158" s="30" t="n">
        <f aca="false">Q157+(2/13)*(E158-Q157)</f>
        <v>1534.51364482734</v>
      </c>
      <c r="R158" s="30" t="n">
        <f aca="false">R157+(2/27)*(E158-R157)</f>
        <v>1519.80754734383</v>
      </c>
      <c r="S158" s="33" t="n">
        <f aca="false">Q158-R158</f>
        <v>14.7060974835085</v>
      </c>
      <c r="T158" s="33" t="n">
        <f aca="false">T157+(2/10)*(S158-T157)</f>
        <v>15.5146919160966</v>
      </c>
      <c r="U158" s="33" t="n">
        <f aca="false">S158-T158</f>
        <v>-0.808594432588077</v>
      </c>
      <c r="V158" s="32" t="str">
        <f aca="false">IF(M158="","",IF(M158&lt;Assumptions!$B$5,"BUY",IF(M158&gt;Assumptions!$B$4,"SELL","HOLD")))</f>
        <v>HOLD</v>
      </c>
      <c r="W158" s="32" t="str">
        <f aca="false">IF(O158="","",IF(E158&gt;O158,"BUY","SELL"))</f>
        <v>BUY</v>
      </c>
      <c r="X158" s="32" t="str">
        <f aca="false">IF(T158="","",IF(S158&gt;T158,"BUY","SELL"))</f>
        <v>SELL</v>
      </c>
      <c r="Y158" s="34" t="n">
        <f aca="false">IF(OR(V158="",W158="",X158=""),"",IFERROR(IF(V158="BUY",1,IF(V158="SELL",-1,0))+IF(W158="BUY",1,IF(W158="SELL",-1,0))+IF(X158="BUY",1,IF(X158="SELL",-1,0)),0))</f>
        <v>0</v>
      </c>
      <c r="Z158" s="32" t="str">
        <f aca="false">IF(Y158="","",IF(Y158&gt;=2,"STRONG BUY",IF(Y158=1,"BUY",IF(Y158=0,"HOLD",IF(Y158=-1,"SELL","STRONG SELL")))))</f>
        <v>HOLD</v>
      </c>
    </row>
    <row r="159" customFormat="false" ht="15" hidden="false" customHeight="false" outlineLevel="0" collapsed="false">
      <c r="A159" s="24" t="n">
        <v>45989</v>
      </c>
      <c r="B159" s="25" t="n">
        <v>1560.95</v>
      </c>
      <c r="C159" s="25" t="n">
        <v>1560.95</v>
      </c>
      <c r="D159" s="25" t="n">
        <v>1548.23</v>
      </c>
      <c r="E159" s="25" t="n">
        <v>1554.59</v>
      </c>
      <c r="F159" s="26" t="n">
        <v>7428625</v>
      </c>
      <c r="G159" s="27" t="n">
        <f aca="false">E159-E158</f>
        <v>7.01999999999998</v>
      </c>
      <c r="H159" s="28" t="n">
        <f aca="false">G159/E158</f>
        <v>0.00453614376086379</v>
      </c>
      <c r="I159" s="29" t="n">
        <f aca="false">MAX(G159,0)</f>
        <v>7.01999999999998</v>
      </c>
      <c r="J159" s="29" t="n">
        <f aca="false">MAX(-G159,0)</f>
        <v>0</v>
      </c>
      <c r="K159" s="29" t="n">
        <f aca="false">(K158*13+I159)/14</f>
        <v>6.36274152759727</v>
      </c>
      <c r="L159" s="29" t="n">
        <f aca="false">(L158*13+J159)/14</f>
        <v>3.80045173391591</v>
      </c>
      <c r="M159" s="31" t="n">
        <f aca="false">IF(L159=0,100,100-100/(1+K159/MAX(L159,0.000001)))</f>
        <v>62.6057319178631</v>
      </c>
      <c r="N159" s="30" t="n">
        <f aca="false">AVERAGE(E140:E159)</f>
        <v>1533.5785</v>
      </c>
      <c r="O159" s="30" t="n">
        <f aca="false">AVERAGE(E110:E159)</f>
        <v>1495.2104</v>
      </c>
      <c r="Q159" s="30" t="n">
        <f aca="false">Q158+(2/13)*(E159-Q158)</f>
        <v>1537.6023148539</v>
      </c>
      <c r="R159" s="30" t="n">
        <f aca="false">R158+(2/27)*(E159-R158)</f>
        <v>1522.38402531836</v>
      </c>
      <c r="S159" s="33" t="n">
        <f aca="false">Q159-R159</f>
        <v>15.2182895355406</v>
      </c>
      <c r="T159" s="33" t="n">
        <f aca="false">T158+(2/10)*(S159-T158)</f>
        <v>15.4554114399854</v>
      </c>
      <c r="U159" s="33" t="n">
        <f aca="false">S159-T159</f>
        <v>-0.237121904444777</v>
      </c>
      <c r="V159" s="32" t="str">
        <f aca="false">IF(M159="","",IF(M159&lt;Assumptions!$B$5,"BUY",IF(M159&gt;Assumptions!$B$4,"SELL","HOLD")))</f>
        <v>HOLD</v>
      </c>
      <c r="W159" s="32" t="str">
        <f aca="false">IF(O159="","",IF(E159&gt;O159,"BUY","SELL"))</f>
        <v>BUY</v>
      </c>
      <c r="X159" s="32" t="str">
        <f aca="false">IF(T159="","",IF(S159&gt;T159,"BUY","SELL"))</f>
        <v>SELL</v>
      </c>
      <c r="Y159" s="34" t="n">
        <f aca="false">IF(OR(V159="",W159="",X159=""),"",IFERROR(IF(V159="BUY",1,IF(V159="SELL",-1,0))+IF(W159="BUY",1,IF(W159="SELL",-1,0))+IF(X159="BUY",1,IF(X159="SELL",-1,0)),0))</f>
        <v>0</v>
      </c>
      <c r="Z159" s="32" t="str">
        <f aca="false">IF(Y159="","",IF(Y159&gt;=2,"STRONG BUY",IF(Y159=1,"BUY",IF(Y159=0,"HOLD",IF(Y159=-1,"SELL","STRONG SELL")))))</f>
        <v>HOLD</v>
      </c>
    </row>
    <row r="160" customFormat="false" ht="15" hidden="false" customHeight="false" outlineLevel="0" collapsed="false">
      <c r="A160" s="24" t="n">
        <v>45992</v>
      </c>
      <c r="B160" s="25" t="n">
        <v>1538.74</v>
      </c>
      <c r="C160" s="25" t="n">
        <v>1551.22</v>
      </c>
      <c r="D160" s="25" t="n">
        <v>1538.74</v>
      </c>
      <c r="E160" s="25" t="n">
        <v>1544.98</v>
      </c>
      <c r="F160" s="26" t="n">
        <v>11566102</v>
      </c>
      <c r="G160" s="27" t="n">
        <f aca="false">E160-E159</f>
        <v>-9.6099999999999</v>
      </c>
      <c r="H160" s="28" t="n">
        <f aca="false">G160/E159</f>
        <v>-0.00618169420876238</v>
      </c>
      <c r="I160" s="29" t="n">
        <f aca="false">MAX(G160,0)</f>
        <v>0</v>
      </c>
      <c r="J160" s="29" t="n">
        <f aca="false">MAX(-G160,0)</f>
        <v>9.6099999999999</v>
      </c>
      <c r="K160" s="29" t="n">
        <f aca="false">(K159*13+I160)/14</f>
        <v>5.90825998991175</v>
      </c>
      <c r="L160" s="29" t="n">
        <f aca="false">(L159*13+J160)/14</f>
        <v>4.21541946720762</v>
      </c>
      <c r="M160" s="31" t="n">
        <f aca="false">IF(L160=0,100,100-100/(1+K160/MAX(L160,0.000001)))</f>
        <v>58.3607967334133</v>
      </c>
      <c r="N160" s="30" t="n">
        <f aca="false">AVERAGE(E141:E160)</f>
        <v>1534.356</v>
      </c>
      <c r="O160" s="30" t="n">
        <f aca="false">AVERAGE(E111:E160)</f>
        <v>1496.6798</v>
      </c>
      <c r="Q160" s="30" t="n">
        <f aca="false">Q159+(2/13)*(E160-Q159)</f>
        <v>1538.73734333792</v>
      </c>
      <c r="R160" s="30" t="n">
        <f aca="false">R159+(2/27)*(E160-R159)</f>
        <v>1524.05780122071</v>
      </c>
      <c r="S160" s="33" t="n">
        <f aca="false">Q160-R160</f>
        <v>14.6795421172119</v>
      </c>
      <c r="T160" s="33" t="n">
        <f aca="false">T159+(2/10)*(S160-T159)</f>
        <v>15.3002375754307</v>
      </c>
      <c r="U160" s="33" t="n">
        <f aca="false">S160-T160</f>
        <v>-0.620695458218814</v>
      </c>
      <c r="V160" s="32" t="str">
        <f aca="false">IF(M160="","",IF(M160&lt;Assumptions!$B$5,"BUY",IF(M160&gt;Assumptions!$B$4,"SELL","HOLD")))</f>
        <v>HOLD</v>
      </c>
      <c r="W160" s="32" t="str">
        <f aca="false">IF(O160="","",IF(E160&gt;O160,"BUY","SELL"))</f>
        <v>BUY</v>
      </c>
      <c r="X160" s="32" t="str">
        <f aca="false">IF(T160="","",IF(S160&gt;T160,"BUY","SELL"))</f>
        <v>SELL</v>
      </c>
      <c r="Y160" s="34" t="n">
        <f aca="false">IF(OR(V160="",W160="",X160=""),"",IFERROR(IF(V160="BUY",1,IF(V160="SELL",-1,0))+IF(W160="BUY",1,IF(W160="SELL",-1,0))+IF(X160="BUY",1,IF(X160="SELL",-1,0)),0))</f>
        <v>0</v>
      </c>
      <c r="Z160" s="32" t="str">
        <f aca="false">IF(Y160="","",IF(Y160&gt;=2,"STRONG BUY",IF(Y160=1,"BUY",IF(Y160=0,"HOLD",IF(Y160=-1,"SELL","STRONG SELL")))))</f>
        <v>HOLD</v>
      </c>
    </row>
    <row r="161" customFormat="false" ht="15" hidden="false" customHeight="false" outlineLevel="0" collapsed="false">
      <c r="A161" s="24" t="n">
        <v>45993</v>
      </c>
      <c r="B161" s="25" t="n">
        <v>1558.66</v>
      </c>
      <c r="C161" s="25" t="n">
        <v>1572.21</v>
      </c>
      <c r="D161" s="25" t="n">
        <v>1549.75</v>
      </c>
      <c r="E161" s="25" t="n">
        <v>1560.98</v>
      </c>
      <c r="F161" s="26" t="n">
        <v>3775193</v>
      </c>
      <c r="G161" s="27" t="n">
        <f aca="false">E161-E160</f>
        <v>16</v>
      </c>
      <c r="H161" s="28" t="n">
        <f aca="false">G161/E160</f>
        <v>0.0103561211148364</v>
      </c>
      <c r="I161" s="29" t="n">
        <f aca="false">MAX(G161,0)</f>
        <v>16</v>
      </c>
      <c r="J161" s="29" t="n">
        <f aca="false">MAX(-G161,0)</f>
        <v>0</v>
      </c>
      <c r="K161" s="29" t="n">
        <f aca="false">(K160*13+I161)/14</f>
        <v>6.62909856206092</v>
      </c>
      <c r="L161" s="29" t="n">
        <f aca="false">(L160*13+J161)/14</f>
        <v>3.91431807669279</v>
      </c>
      <c r="M161" s="31" t="n">
        <f aca="false">IF(L161=0,100,100-100/(1+K161/MAX(L161,0.000001)))</f>
        <v>62.8742919794595</v>
      </c>
      <c r="N161" s="30" t="n">
        <f aca="false">AVERAGE(E142:E161)</f>
        <v>1535.434</v>
      </c>
      <c r="O161" s="30" t="n">
        <f aca="false">AVERAGE(E112:E161)</f>
        <v>1498.2832</v>
      </c>
      <c r="Q161" s="30" t="n">
        <f aca="false">Q160+(2/13)*(E161-Q160)</f>
        <v>1542.1592905167</v>
      </c>
      <c r="R161" s="30" t="n">
        <f aca="false">R160+(2/27)*(E161-R160)</f>
        <v>1526.79277890806</v>
      </c>
      <c r="S161" s="33" t="n">
        <f aca="false">Q161-R161</f>
        <v>15.3665116086388</v>
      </c>
      <c r="T161" s="33" t="n">
        <f aca="false">T160+(2/10)*(S161-T160)</f>
        <v>15.3134923820723</v>
      </c>
      <c r="U161" s="33" t="n">
        <f aca="false">S161-T161</f>
        <v>0.0530192265664748</v>
      </c>
      <c r="V161" s="32" t="str">
        <f aca="false">IF(M161="","",IF(M161&lt;Assumptions!$B$5,"BUY",IF(M161&gt;Assumptions!$B$4,"SELL","HOLD")))</f>
        <v>HOLD</v>
      </c>
      <c r="W161" s="32" t="str">
        <f aca="false">IF(O161="","",IF(E161&gt;O161,"BUY","SELL"))</f>
        <v>BUY</v>
      </c>
      <c r="X161" s="32" t="str">
        <f aca="false">IF(T161="","",IF(S161&gt;T161,"BUY","SELL"))</f>
        <v>BUY</v>
      </c>
      <c r="Y161" s="34" t="n">
        <f aca="false">IF(OR(V161="",W161="",X161=""),"",IFERROR(IF(V161="BUY",1,IF(V161="SELL",-1,0))+IF(W161="BUY",1,IF(W161="SELL",-1,0))+IF(X161="BUY",1,IF(X161="SELL",-1,0)),0))</f>
        <v>2</v>
      </c>
      <c r="Z161" s="32" t="str">
        <f aca="false">IF(Y161="","",IF(Y161&gt;=2,"STRONG BUY",IF(Y161=1,"BUY",IF(Y161=0,"HOLD",IF(Y161=-1,"SELL","STRONG SELL")))))</f>
        <v>STRONG BUY</v>
      </c>
    </row>
    <row r="162" customFormat="false" ht="15" hidden="false" customHeight="false" outlineLevel="0" collapsed="false">
      <c r="A162" s="24" t="n">
        <v>45994</v>
      </c>
      <c r="B162" s="25" t="n">
        <v>1565</v>
      </c>
      <c r="C162" s="25" t="n">
        <v>1577.62</v>
      </c>
      <c r="D162" s="25" t="n">
        <v>1547.12</v>
      </c>
      <c r="E162" s="25" t="n">
        <v>1562.37</v>
      </c>
      <c r="F162" s="26" t="n">
        <v>2502531</v>
      </c>
      <c r="G162" s="27" t="n">
        <f aca="false">E162-E161</f>
        <v>1.38999999999987</v>
      </c>
      <c r="H162" s="28" t="n">
        <f aca="false">G162/E161</f>
        <v>0.000890466245563603</v>
      </c>
      <c r="I162" s="29" t="n">
        <f aca="false">MAX(G162,0)</f>
        <v>1.38999999999987</v>
      </c>
      <c r="J162" s="29" t="n">
        <f aca="false">MAX(-G162,0)</f>
        <v>0</v>
      </c>
      <c r="K162" s="29" t="n">
        <f aca="false">(K161*13+I162)/14</f>
        <v>6.25487723619941</v>
      </c>
      <c r="L162" s="29" t="n">
        <f aca="false">(L161*13+J162)/14</f>
        <v>3.63472392835759</v>
      </c>
      <c r="M162" s="31" t="n">
        <f aca="false">IF(L162=0,100,100-100/(1+K162/MAX(L162,0.000001)))</f>
        <v>63.2470120090995</v>
      </c>
      <c r="N162" s="30" t="n">
        <f aca="false">AVERAGE(E143:E162)</f>
        <v>1536.5375</v>
      </c>
      <c r="O162" s="30" t="n">
        <f aca="false">AVERAGE(E113:E162)</f>
        <v>1500.538</v>
      </c>
      <c r="Q162" s="30" t="n">
        <f aca="false">Q161+(2/13)*(E162-Q161)</f>
        <v>1545.26863043721</v>
      </c>
      <c r="R162" s="30" t="n">
        <f aca="false">R161+(2/27)*(E162-R161)</f>
        <v>1529.42812861858</v>
      </c>
      <c r="S162" s="33" t="n">
        <f aca="false">Q162-R162</f>
        <v>15.8405018186324</v>
      </c>
      <c r="T162" s="33" t="n">
        <f aca="false">T161+(2/10)*(S162-T161)</f>
        <v>15.4188942693844</v>
      </c>
      <c r="U162" s="33" t="n">
        <f aca="false">S162-T162</f>
        <v>0.421607549248096</v>
      </c>
      <c r="V162" s="32" t="str">
        <f aca="false">IF(M162="","",IF(M162&lt;Assumptions!$B$5,"BUY",IF(M162&gt;Assumptions!$B$4,"SELL","HOLD")))</f>
        <v>HOLD</v>
      </c>
      <c r="W162" s="32" t="str">
        <f aca="false">IF(O162="","",IF(E162&gt;O162,"BUY","SELL"))</f>
        <v>BUY</v>
      </c>
      <c r="X162" s="32" t="str">
        <f aca="false">IF(T162="","",IF(S162&gt;T162,"BUY","SELL"))</f>
        <v>BUY</v>
      </c>
      <c r="Y162" s="34" t="n">
        <f aca="false">IF(OR(V162="",W162="",X162=""),"",IFERROR(IF(V162="BUY",1,IF(V162="SELL",-1,0))+IF(W162="BUY",1,IF(W162="SELL",-1,0))+IF(X162="BUY",1,IF(X162="SELL",-1,0)),0))</f>
        <v>2</v>
      </c>
      <c r="Z162" s="32" t="str">
        <f aca="false">IF(Y162="","",IF(Y162&gt;=2,"STRONG BUY",IF(Y162=1,"BUY",IF(Y162=0,"HOLD",IF(Y162=-1,"SELL","STRONG SELL")))))</f>
        <v>STRONG BUY</v>
      </c>
    </row>
    <row r="163" customFormat="false" ht="15" hidden="false" customHeight="false" outlineLevel="0" collapsed="false">
      <c r="A163" s="24" t="n">
        <v>45995</v>
      </c>
      <c r="B163" s="25" t="n">
        <v>1574.92</v>
      </c>
      <c r="C163" s="25" t="n">
        <v>1574.92</v>
      </c>
      <c r="D163" s="25" t="n">
        <v>1569.88</v>
      </c>
      <c r="E163" s="25" t="n">
        <v>1572.4</v>
      </c>
      <c r="F163" s="26" t="n">
        <v>4442654</v>
      </c>
      <c r="G163" s="27" t="n">
        <f aca="false">E163-E162</f>
        <v>10.0300000000002</v>
      </c>
      <c r="H163" s="28" t="n">
        <f aca="false">G163/E162</f>
        <v>0.00641973412187907</v>
      </c>
      <c r="I163" s="29" t="n">
        <f aca="false">MAX(G163,0)</f>
        <v>10.0300000000002</v>
      </c>
      <c r="J163" s="29" t="n">
        <f aca="false">MAX(-G163,0)</f>
        <v>0</v>
      </c>
      <c r="K163" s="29" t="n">
        <f aca="false">(K162*13+I163)/14</f>
        <v>6.52452886218518</v>
      </c>
      <c r="L163" s="29" t="n">
        <f aca="false">(L162*13+J163)/14</f>
        <v>3.37510079061777</v>
      </c>
      <c r="M163" s="31" t="n">
        <f aca="false">IF(L163=0,100,100-100/(1+K163/MAX(L163,0.000001)))</f>
        <v>65.9067974359814</v>
      </c>
      <c r="N163" s="30" t="n">
        <f aca="false">AVERAGE(E144:E163)</f>
        <v>1538.4955</v>
      </c>
      <c r="O163" s="30" t="n">
        <f aca="false">AVERAGE(E114:E163)</f>
        <v>1502.8044</v>
      </c>
      <c r="Q163" s="30" t="n">
        <f aca="false">Q162+(2/13)*(E163-Q162)</f>
        <v>1549.44268729302</v>
      </c>
      <c r="R163" s="30" t="n">
        <f aca="false">R162+(2/27)*(E163-R162)</f>
        <v>1532.61123020238</v>
      </c>
      <c r="S163" s="33" t="n">
        <f aca="false">Q163-R163</f>
        <v>16.8314570906375</v>
      </c>
      <c r="T163" s="33" t="n">
        <f aca="false">T162+(2/10)*(S163-T162)</f>
        <v>15.701406833635</v>
      </c>
      <c r="U163" s="33" t="n">
        <f aca="false">S163-T163</f>
        <v>1.13005025700253</v>
      </c>
      <c r="V163" s="32" t="str">
        <f aca="false">IF(M163="","",IF(M163&lt;Assumptions!$B$5,"BUY",IF(M163&gt;Assumptions!$B$4,"SELL","HOLD")))</f>
        <v>HOLD</v>
      </c>
      <c r="W163" s="32" t="str">
        <f aca="false">IF(O163="","",IF(E163&gt;O163,"BUY","SELL"))</f>
        <v>BUY</v>
      </c>
      <c r="X163" s="32" t="str">
        <f aca="false">IF(T163="","",IF(S163&gt;T163,"BUY","SELL"))</f>
        <v>BUY</v>
      </c>
      <c r="Y163" s="34" t="n">
        <f aca="false">IF(OR(V163="",W163="",X163=""),"",IFERROR(IF(V163="BUY",1,IF(V163="SELL",-1,0))+IF(W163="BUY",1,IF(W163="SELL",-1,0))+IF(X163="BUY",1,IF(X163="SELL",-1,0)),0))</f>
        <v>2</v>
      </c>
      <c r="Z163" s="32" t="str">
        <f aca="false">IF(Y163="","",IF(Y163&gt;=2,"STRONG BUY",IF(Y163=1,"BUY",IF(Y163=0,"HOLD",IF(Y163=-1,"SELL","STRONG SELL")))))</f>
        <v>STRONG BUY</v>
      </c>
    </row>
    <row r="164" customFormat="false" ht="15" hidden="false" customHeight="false" outlineLevel="0" collapsed="false">
      <c r="A164" s="24" t="n">
        <v>45996</v>
      </c>
      <c r="B164" s="25" t="n">
        <v>1586.08</v>
      </c>
      <c r="C164" s="25" t="n">
        <v>1602.34</v>
      </c>
      <c r="D164" s="25" t="n">
        <v>1579.04</v>
      </c>
      <c r="E164" s="25" t="n">
        <v>1590.69</v>
      </c>
      <c r="F164" s="26" t="n">
        <v>4235514</v>
      </c>
      <c r="G164" s="27" t="n">
        <f aca="false">E164-E163</f>
        <v>18.29</v>
      </c>
      <c r="H164" s="28" t="n">
        <f aca="false">G164/E163</f>
        <v>0.011631900279827</v>
      </c>
      <c r="I164" s="29" t="n">
        <f aca="false">MAX(G164,0)</f>
        <v>18.29</v>
      </c>
      <c r="J164" s="29" t="n">
        <f aca="false">MAX(-G164,0)</f>
        <v>0</v>
      </c>
      <c r="K164" s="29" t="n">
        <f aca="false">(K163*13+I164)/14</f>
        <v>7.36491965774338</v>
      </c>
      <c r="L164" s="29" t="n">
        <f aca="false">(L163*13+J164)/14</f>
        <v>3.1340221627165</v>
      </c>
      <c r="M164" s="31" t="n">
        <f aca="false">IF(L164=0,100,100-100/(1+K164/MAX(L164,0.000001)))</f>
        <v>70.1491615411274</v>
      </c>
      <c r="N164" s="30" t="n">
        <f aca="false">AVERAGE(E145:E164)</f>
        <v>1542.217</v>
      </c>
      <c r="O164" s="30" t="n">
        <f aca="false">AVERAGE(E115:E164)</f>
        <v>1505.2874</v>
      </c>
      <c r="Q164" s="30" t="n">
        <f aca="false">Q163+(2/13)*(E164-Q163)</f>
        <v>1555.78842770948</v>
      </c>
      <c r="R164" s="30" t="n">
        <f aca="false">R163+(2/27)*(E164-R163)</f>
        <v>1536.9133612985</v>
      </c>
      <c r="S164" s="33" t="n">
        <f aca="false">Q164-R164</f>
        <v>18.8750664109762</v>
      </c>
      <c r="T164" s="33" t="n">
        <f aca="false">T163+(2/10)*(S164-T163)</f>
        <v>16.3361387491032</v>
      </c>
      <c r="U164" s="33" t="n">
        <f aca="false">S164-T164</f>
        <v>2.53892766187294</v>
      </c>
      <c r="V164" s="32" t="str">
        <f aca="false">IF(M164="","",IF(M164&lt;Assumptions!$B$5,"BUY",IF(M164&gt;Assumptions!$B$4,"SELL","HOLD")))</f>
        <v>SELL</v>
      </c>
      <c r="W164" s="32" t="str">
        <f aca="false">IF(O164="","",IF(E164&gt;O164,"BUY","SELL"))</f>
        <v>BUY</v>
      </c>
      <c r="X164" s="32" t="str">
        <f aca="false">IF(T164="","",IF(S164&gt;T164,"BUY","SELL"))</f>
        <v>BUY</v>
      </c>
      <c r="Y164" s="34" t="n">
        <f aca="false">IF(OR(V164="",W164="",X164=""),"",IFERROR(IF(V164="BUY",1,IF(V164="SELL",-1,0))+IF(W164="BUY",1,IF(W164="SELL",-1,0))+IF(X164="BUY",1,IF(X164="SELL",-1,0)),0))</f>
        <v>1</v>
      </c>
      <c r="Z164" s="32" t="str">
        <f aca="false">IF(Y164="","",IF(Y164&gt;=2,"STRONG BUY",IF(Y164=1,"BUY",IF(Y164=0,"HOLD",IF(Y164=-1,"SELL","STRONG SELL")))))</f>
        <v>BUY</v>
      </c>
    </row>
    <row r="165" customFormat="false" ht="15" hidden="false" customHeight="false" outlineLevel="0" collapsed="false">
      <c r="A165" s="24" t="n">
        <v>45999</v>
      </c>
      <c r="B165" s="25" t="n">
        <v>1599.38</v>
      </c>
      <c r="C165" s="25" t="n">
        <v>1599.82</v>
      </c>
      <c r="D165" s="25" t="n">
        <v>1599.38</v>
      </c>
      <c r="E165" s="25" t="n">
        <v>1599.6</v>
      </c>
      <c r="F165" s="26" t="n">
        <v>6286635</v>
      </c>
      <c r="G165" s="27" t="n">
        <f aca="false">E165-E164</f>
        <v>8.90999999999985</v>
      </c>
      <c r="H165" s="28" t="n">
        <f aca="false">G165/E164</f>
        <v>0.00560134281349594</v>
      </c>
      <c r="I165" s="29" t="n">
        <f aca="false">MAX(G165,0)</f>
        <v>8.90999999999985</v>
      </c>
      <c r="J165" s="29" t="n">
        <f aca="false">MAX(-G165,0)</f>
        <v>0</v>
      </c>
      <c r="K165" s="29" t="n">
        <f aca="false">(K164*13+I165)/14</f>
        <v>7.47528253933313</v>
      </c>
      <c r="L165" s="29" t="n">
        <f aca="false">(L164*13+J165)/14</f>
        <v>2.91016343680818</v>
      </c>
      <c r="M165" s="31" t="n">
        <f aca="false">IF(L165=0,100,100-100/(1+K165/MAX(L165,0.000001)))</f>
        <v>71.9784451867185</v>
      </c>
      <c r="N165" s="30" t="n">
        <f aca="false">AVERAGE(E146:E165)</f>
        <v>1546.243</v>
      </c>
      <c r="O165" s="30" t="n">
        <f aca="false">AVERAGE(E116:E165)</f>
        <v>1508.0904</v>
      </c>
      <c r="Q165" s="30" t="n">
        <f aca="false">Q164+(2/13)*(E165-Q164)</f>
        <v>1562.52866960033</v>
      </c>
      <c r="R165" s="30" t="n">
        <f aca="false">R164+(2/27)*(E165-R164)</f>
        <v>1541.55681601713</v>
      </c>
      <c r="S165" s="33" t="n">
        <f aca="false">Q165-R165</f>
        <v>20.971853583196</v>
      </c>
      <c r="T165" s="33" t="n">
        <f aca="false">T164+(2/10)*(S165-T164)</f>
        <v>17.2632817159218</v>
      </c>
      <c r="U165" s="33" t="n">
        <f aca="false">S165-T165</f>
        <v>3.70857186727421</v>
      </c>
      <c r="V165" s="32" t="str">
        <f aca="false">IF(M165="","",IF(M165&lt;Assumptions!$B$5,"BUY",IF(M165&gt;Assumptions!$B$4,"SELL","HOLD")))</f>
        <v>SELL</v>
      </c>
      <c r="W165" s="32" t="str">
        <f aca="false">IF(O165="","",IF(E165&gt;O165,"BUY","SELL"))</f>
        <v>BUY</v>
      </c>
      <c r="X165" s="32" t="str">
        <f aca="false">IF(T165="","",IF(S165&gt;T165,"BUY","SELL"))</f>
        <v>BUY</v>
      </c>
      <c r="Y165" s="34" t="n">
        <f aca="false">IF(OR(V165="",W165="",X165=""),"",IFERROR(IF(V165="BUY",1,IF(V165="SELL",-1,0))+IF(W165="BUY",1,IF(W165="SELL",-1,0))+IF(X165="BUY",1,IF(X165="SELL",-1,0)),0))</f>
        <v>1</v>
      </c>
      <c r="Z165" s="32" t="str">
        <f aca="false">IF(Y165="","",IF(Y165&gt;=2,"STRONG BUY",IF(Y165=1,"BUY",IF(Y165=0,"HOLD",IF(Y165=-1,"SELL","STRONG SELL")))))</f>
        <v>BUY</v>
      </c>
    </row>
    <row r="166" customFormat="false" ht="15" hidden="false" customHeight="false" outlineLevel="0" collapsed="false">
      <c r="A166" s="24" t="n">
        <v>46000</v>
      </c>
      <c r="B166" s="25" t="n">
        <v>1594.75</v>
      </c>
      <c r="C166" s="25" t="n">
        <v>1613.03</v>
      </c>
      <c r="D166" s="25" t="n">
        <v>1594.75</v>
      </c>
      <c r="E166" s="25" t="n">
        <v>1603.89</v>
      </c>
      <c r="F166" s="26" t="n">
        <v>3706061</v>
      </c>
      <c r="G166" s="27" t="n">
        <f aca="false">E166-E165</f>
        <v>4.29000000000019</v>
      </c>
      <c r="H166" s="28" t="n">
        <f aca="false">G166/E165</f>
        <v>0.00268192048012015</v>
      </c>
      <c r="I166" s="29" t="n">
        <f aca="false">MAX(G166,0)</f>
        <v>4.29000000000019</v>
      </c>
      <c r="J166" s="29" t="n">
        <f aca="false">MAX(-G166,0)</f>
        <v>0</v>
      </c>
      <c r="K166" s="29" t="n">
        <f aca="false">(K165*13+I166)/14</f>
        <v>7.24776235795221</v>
      </c>
      <c r="L166" s="29" t="n">
        <f aca="false">(L165*13+J166)/14</f>
        <v>2.70229461989331</v>
      </c>
      <c r="M166" s="31" t="n">
        <f aca="false">IF(L166=0,100,100-100/(1+K166/MAX(L166,0.000001)))</f>
        <v>72.8414156229442</v>
      </c>
      <c r="N166" s="30" t="n">
        <f aca="false">AVERAGE(E147:E166)</f>
        <v>1550.607</v>
      </c>
      <c r="O166" s="30" t="n">
        <f aca="false">AVERAGE(E117:E166)</f>
        <v>1511.1406</v>
      </c>
      <c r="Q166" s="30" t="n">
        <f aca="false">Q165+(2/13)*(E166-Q165)</f>
        <v>1568.89195120028</v>
      </c>
      <c r="R166" s="30" t="n">
        <f aca="false">R165+(2/27)*(E166-R165)</f>
        <v>1546.17408890475</v>
      </c>
      <c r="S166" s="33" t="n">
        <f aca="false">Q166-R166</f>
        <v>22.7178622955257</v>
      </c>
      <c r="T166" s="33" t="n">
        <f aca="false">T165+(2/10)*(S166-T165)</f>
        <v>18.3541978318426</v>
      </c>
      <c r="U166" s="33" t="n">
        <f aca="false">S166-T166</f>
        <v>4.36366446368316</v>
      </c>
      <c r="V166" s="32" t="str">
        <f aca="false">IF(M166="","",IF(M166&lt;Assumptions!$B$5,"BUY",IF(M166&gt;Assumptions!$B$4,"SELL","HOLD")))</f>
        <v>SELL</v>
      </c>
      <c r="W166" s="32" t="str">
        <f aca="false">IF(O166="","",IF(E166&gt;O166,"BUY","SELL"))</f>
        <v>BUY</v>
      </c>
      <c r="X166" s="32" t="str">
        <f aca="false">IF(T166="","",IF(S166&gt;T166,"BUY","SELL"))</f>
        <v>BUY</v>
      </c>
      <c r="Y166" s="34" t="n">
        <f aca="false">IF(OR(V166="",W166="",X166=""),"",IFERROR(IF(V166="BUY",1,IF(V166="SELL",-1,0))+IF(W166="BUY",1,IF(W166="SELL",-1,0))+IF(X166="BUY",1,IF(X166="SELL",-1,0)),0))</f>
        <v>1</v>
      </c>
      <c r="Z166" s="32" t="str">
        <f aca="false">IF(Y166="","",IF(Y166&gt;=2,"STRONG BUY",IF(Y166=1,"BUY",IF(Y166=0,"HOLD",IF(Y166=-1,"SELL","STRONG SELL")))))</f>
        <v>BUY</v>
      </c>
    </row>
    <row r="167" customFormat="false" ht="15" hidden="false" customHeight="false" outlineLevel="0" collapsed="false">
      <c r="A167" s="24" t="n">
        <v>46001</v>
      </c>
      <c r="B167" s="25" t="n">
        <v>1631.68</v>
      </c>
      <c r="C167" s="25" t="n">
        <v>1648.67</v>
      </c>
      <c r="D167" s="25" t="n">
        <v>1622.19</v>
      </c>
      <c r="E167" s="25" t="n">
        <v>1635.43</v>
      </c>
      <c r="F167" s="26" t="n">
        <v>9096415</v>
      </c>
      <c r="G167" s="27" t="n">
        <f aca="false">E167-E166</f>
        <v>31.54</v>
      </c>
      <c r="H167" s="28" t="n">
        <f aca="false">G167/E166</f>
        <v>0.019664690221898</v>
      </c>
      <c r="I167" s="29" t="n">
        <f aca="false">MAX(G167,0)</f>
        <v>31.54</v>
      </c>
      <c r="J167" s="29" t="n">
        <f aca="false">MAX(-G167,0)</f>
        <v>0</v>
      </c>
      <c r="K167" s="29" t="n">
        <f aca="false">(K166*13+I167)/14</f>
        <v>8.98292218952705</v>
      </c>
      <c r="L167" s="29" t="n">
        <f aca="false">(L166*13+J167)/14</f>
        <v>2.50927357561521</v>
      </c>
      <c r="M167" s="31" t="n">
        <f aca="false">IF(L167=0,100,100-100/(1+K167/MAX(L167,0.000001)))</f>
        <v>78.1654121901904</v>
      </c>
      <c r="N167" s="30" t="n">
        <f aca="false">AVERAGE(E148:E167)</f>
        <v>1555.149</v>
      </c>
      <c r="O167" s="30" t="n">
        <f aca="false">AVERAGE(E118:E167)</f>
        <v>1514.8194</v>
      </c>
      <c r="Q167" s="30" t="n">
        <f aca="false">Q166+(2/13)*(E167-Q166)</f>
        <v>1579.12857409254</v>
      </c>
      <c r="R167" s="30" t="n">
        <f aca="false">R166+(2/27)*(E167-R166)</f>
        <v>1552.78563787477</v>
      </c>
      <c r="S167" s="33" t="n">
        <f aca="false">Q167-R167</f>
        <v>26.3429362177724</v>
      </c>
      <c r="T167" s="33" t="n">
        <f aca="false">T166+(2/10)*(S167-T166)</f>
        <v>19.9519455090285</v>
      </c>
      <c r="U167" s="33" t="n">
        <f aca="false">S167-T167</f>
        <v>6.39099070874385</v>
      </c>
      <c r="V167" s="32" t="str">
        <f aca="false">IF(M167="","",IF(M167&lt;Assumptions!$B$5,"BUY",IF(M167&gt;Assumptions!$B$4,"SELL","HOLD")))</f>
        <v>SELL</v>
      </c>
      <c r="W167" s="32" t="str">
        <f aca="false">IF(O167="","",IF(E167&gt;O167,"BUY","SELL"))</f>
        <v>BUY</v>
      </c>
      <c r="X167" s="32" t="str">
        <f aca="false">IF(T167="","",IF(S167&gt;T167,"BUY","SELL"))</f>
        <v>BUY</v>
      </c>
      <c r="Y167" s="34" t="n">
        <f aca="false">IF(OR(V167="",W167="",X167=""),"",IFERROR(IF(V167="BUY",1,IF(V167="SELL",-1,0))+IF(W167="BUY",1,IF(W167="SELL",-1,0))+IF(X167="BUY",1,IF(X167="SELL",-1,0)),0))</f>
        <v>1</v>
      </c>
      <c r="Z167" s="32" t="str">
        <f aca="false">IF(Y167="","",IF(Y167&gt;=2,"STRONG BUY",IF(Y167=1,"BUY",IF(Y167=0,"HOLD",IF(Y167=-1,"SELL","STRONG SELL")))))</f>
        <v>BUY</v>
      </c>
    </row>
    <row r="168" customFormat="false" ht="15" hidden="false" customHeight="false" outlineLevel="0" collapsed="false">
      <c r="A168" s="24" t="n">
        <v>46002</v>
      </c>
      <c r="B168" s="25" t="n">
        <v>1634.35</v>
      </c>
      <c r="C168" s="25" t="n">
        <v>1644.01</v>
      </c>
      <c r="D168" s="25" t="n">
        <v>1634.35</v>
      </c>
      <c r="E168" s="25" t="n">
        <v>1639.18</v>
      </c>
      <c r="F168" s="26" t="n">
        <v>3539999</v>
      </c>
      <c r="G168" s="27" t="n">
        <f aca="false">E168-E167</f>
        <v>3.75</v>
      </c>
      <c r="H168" s="28" t="n">
        <f aca="false">G168/E167</f>
        <v>0.0022929749362553</v>
      </c>
      <c r="I168" s="29" t="n">
        <f aca="false">MAX(G168,0)</f>
        <v>3.75</v>
      </c>
      <c r="J168" s="29" t="n">
        <f aca="false">MAX(-G168,0)</f>
        <v>0</v>
      </c>
      <c r="K168" s="29" t="n">
        <f aca="false">(K167*13+I168)/14</f>
        <v>8.60914203313226</v>
      </c>
      <c r="L168" s="29" t="n">
        <f aca="false">(L167*13+J168)/14</f>
        <v>2.33003974878555</v>
      </c>
      <c r="M168" s="31" t="n">
        <f aca="false">IF(L168=0,100,100-100/(1+K168/MAX(L168,0.000001)))</f>
        <v>78.70005458144</v>
      </c>
      <c r="N168" s="30" t="n">
        <f aca="false">AVERAGE(E149:E168)</f>
        <v>1560.2945</v>
      </c>
      <c r="O168" s="30" t="n">
        <f aca="false">AVERAGE(E119:E168)</f>
        <v>1518.116</v>
      </c>
      <c r="Q168" s="30" t="n">
        <f aca="false">Q167+(2/13)*(E168-Q167)</f>
        <v>1588.36725500138</v>
      </c>
      <c r="R168" s="30" t="n">
        <f aca="false">R167+(2/27)*(E168-R167)</f>
        <v>1559.18522025442</v>
      </c>
      <c r="S168" s="33" t="n">
        <f aca="false">Q168-R168</f>
        <v>29.1820347469652</v>
      </c>
      <c r="T168" s="33" t="n">
        <f aca="false">T167+(2/10)*(S168-T167)</f>
        <v>21.7979633566159</v>
      </c>
      <c r="U168" s="33" t="n">
        <f aca="false">S168-T168</f>
        <v>7.38407139034934</v>
      </c>
      <c r="V168" s="32" t="str">
        <f aca="false">IF(M168="","",IF(M168&lt;Assumptions!$B$5,"BUY",IF(M168&gt;Assumptions!$B$4,"SELL","HOLD")))</f>
        <v>SELL</v>
      </c>
      <c r="W168" s="32" t="str">
        <f aca="false">IF(O168="","",IF(E168&gt;O168,"BUY","SELL"))</f>
        <v>BUY</v>
      </c>
      <c r="X168" s="32" t="str">
        <f aca="false">IF(T168="","",IF(S168&gt;T168,"BUY","SELL"))</f>
        <v>BUY</v>
      </c>
      <c r="Y168" s="34" t="n">
        <f aca="false">IF(OR(V168="",W168="",X168=""),"",IFERROR(IF(V168="BUY",1,IF(V168="SELL",-1,0))+IF(W168="BUY",1,IF(W168="SELL",-1,0))+IF(X168="BUY",1,IF(X168="SELL",-1,0)),0))</f>
        <v>1</v>
      </c>
      <c r="Z168" s="32" t="str">
        <f aca="false">IF(Y168="","",IF(Y168&gt;=2,"STRONG BUY",IF(Y168=1,"BUY",IF(Y168=0,"HOLD",IF(Y168=-1,"SELL","STRONG SELL")))))</f>
        <v>BUY</v>
      </c>
    </row>
    <row r="169" customFormat="false" ht="15" hidden="false" customHeight="false" outlineLevel="0" collapsed="false">
      <c r="A169" s="24" t="n">
        <v>46003</v>
      </c>
      <c r="B169" s="25" t="n">
        <v>1632.59</v>
      </c>
      <c r="C169" s="25" t="n">
        <v>1637.37</v>
      </c>
      <c r="D169" s="25" t="n">
        <v>1632.59</v>
      </c>
      <c r="E169" s="25" t="n">
        <v>1634.98</v>
      </c>
      <c r="F169" s="26" t="n">
        <v>9155512</v>
      </c>
      <c r="G169" s="27" t="n">
        <f aca="false">E169-E168</f>
        <v>-4.20000000000005</v>
      </c>
      <c r="H169" s="28" t="n">
        <f aca="false">G169/E168</f>
        <v>-0.00256225673812519</v>
      </c>
      <c r="I169" s="29" t="n">
        <f aca="false">MAX(G169,0)</f>
        <v>0</v>
      </c>
      <c r="J169" s="29" t="n">
        <f aca="false">MAX(-G169,0)</f>
        <v>4.20000000000005</v>
      </c>
      <c r="K169" s="29" t="n">
        <f aca="false">(K168*13+I169)/14</f>
        <v>7.99420331647995</v>
      </c>
      <c r="L169" s="29" t="n">
        <f aca="false">(L168*13+J169)/14</f>
        <v>2.46360833815802</v>
      </c>
      <c r="M169" s="31" t="n">
        <f aca="false">IF(L169=0,100,100-100/(1+K169/MAX(L169,0.000001)))</f>
        <v>76.4424105203174</v>
      </c>
      <c r="N169" s="30" t="n">
        <f aca="false">AVERAGE(E150:E169)</f>
        <v>1565.0005</v>
      </c>
      <c r="O169" s="30" t="n">
        <f aca="false">AVERAGE(E120:E169)</f>
        <v>1521.6044</v>
      </c>
      <c r="Q169" s="30" t="n">
        <f aca="false">Q168+(2/13)*(E169-Q168)</f>
        <v>1595.53844653963</v>
      </c>
      <c r="R169" s="30" t="n">
        <f aca="false">R168+(2/27)*(E169-R168)</f>
        <v>1564.79964838372</v>
      </c>
      <c r="S169" s="33" t="n">
        <f aca="false">Q169-R169</f>
        <v>30.7387981559116</v>
      </c>
      <c r="T169" s="33" t="n">
        <f aca="false">T168+(2/10)*(S169-T168)</f>
        <v>23.586130316475</v>
      </c>
      <c r="U169" s="33" t="n">
        <f aca="false">S169-T169</f>
        <v>7.15266783943658</v>
      </c>
      <c r="V169" s="32" t="str">
        <f aca="false">IF(M169="","",IF(M169&lt;Assumptions!$B$5,"BUY",IF(M169&gt;Assumptions!$B$4,"SELL","HOLD")))</f>
        <v>SELL</v>
      </c>
      <c r="W169" s="32" t="str">
        <f aca="false">IF(O169="","",IF(E169&gt;O169,"BUY","SELL"))</f>
        <v>BUY</v>
      </c>
      <c r="X169" s="32" t="str">
        <f aca="false">IF(T169="","",IF(S169&gt;T169,"BUY","SELL"))</f>
        <v>BUY</v>
      </c>
      <c r="Y169" s="34" t="n">
        <f aca="false">IF(OR(V169="",W169="",X169=""),"",IFERROR(IF(V169="BUY",1,IF(V169="SELL",-1,0))+IF(W169="BUY",1,IF(W169="SELL",-1,0))+IF(X169="BUY",1,IF(X169="SELL",-1,0)),0))</f>
        <v>1</v>
      </c>
      <c r="Z169" s="32" t="str">
        <f aca="false">IF(Y169="","",IF(Y169&gt;=2,"STRONG BUY",IF(Y169=1,"BUY",IF(Y169=0,"HOLD",IF(Y169=-1,"SELL","STRONG SELL")))))</f>
        <v>BUY</v>
      </c>
    </row>
    <row r="170" customFormat="false" ht="15" hidden="false" customHeight="false" outlineLevel="0" collapsed="false">
      <c r="A170" s="24" t="n">
        <v>46006</v>
      </c>
      <c r="B170" s="25" t="n">
        <v>1641.25</v>
      </c>
      <c r="C170" s="25" t="n">
        <v>1646.52</v>
      </c>
      <c r="D170" s="25" t="n">
        <v>1627.06</v>
      </c>
      <c r="E170" s="25" t="n">
        <v>1636.79</v>
      </c>
      <c r="F170" s="26" t="n">
        <v>7555227</v>
      </c>
      <c r="G170" s="27" t="n">
        <f aca="false">E170-E169</f>
        <v>1.80999999999995</v>
      </c>
      <c r="H170" s="28" t="n">
        <f aca="false">G170/E169</f>
        <v>0.00110704718100524</v>
      </c>
      <c r="I170" s="29" t="n">
        <f aca="false">MAX(G170,0)</f>
        <v>1.80999999999995</v>
      </c>
      <c r="J170" s="29" t="n">
        <f aca="false">MAX(-G170,0)</f>
        <v>0</v>
      </c>
      <c r="K170" s="29" t="n">
        <f aca="false">(K169*13+I170)/14</f>
        <v>7.55247450815995</v>
      </c>
      <c r="L170" s="29" t="n">
        <f aca="false">(L169*13+J170)/14</f>
        <v>2.28763631400387</v>
      </c>
      <c r="M170" s="31" t="n">
        <f aca="false">IF(L170=0,100,100-100/(1+K170/MAX(L170,0.000001)))</f>
        <v>76.7519253050361</v>
      </c>
      <c r="N170" s="30" t="n">
        <f aca="false">AVERAGE(E151:E170)</f>
        <v>1570.8695</v>
      </c>
      <c r="O170" s="30" t="n">
        <f aca="false">AVERAGE(E121:E170)</f>
        <v>1525.2384</v>
      </c>
      <c r="Q170" s="30" t="n">
        <f aca="false">Q169+(2/13)*(E170-Q169)</f>
        <v>1601.88483937969</v>
      </c>
      <c r="R170" s="30" t="n">
        <f aca="false">R169+(2/27)*(E170-R169)</f>
        <v>1570.13226702196</v>
      </c>
      <c r="S170" s="33" t="n">
        <f aca="false">Q170-R170</f>
        <v>31.7525723577251</v>
      </c>
      <c r="T170" s="33" t="n">
        <f aca="false">T169+(2/10)*(S170-T169)</f>
        <v>25.219418724725</v>
      </c>
      <c r="U170" s="33" t="n">
        <f aca="false">S170-T170</f>
        <v>6.53315363300004</v>
      </c>
      <c r="V170" s="32" t="str">
        <f aca="false">IF(M170="","",IF(M170&lt;Assumptions!$B$5,"BUY",IF(M170&gt;Assumptions!$B$4,"SELL","HOLD")))</f>
        <v>SELL</v>
      </c>
      <c r="W170" s="32" t="str">
        <f aca="false">IF(O170="","",IF(E170&gt;O170,"BUY","SELL"))</f>
        <v>BUY</v>
      </c>
      <c r="X170" s="32" t="str">
        <f aca="false">IF(T170="","",IF(S170&gt;T170,"BUY","SELL"))</f>
        <v>BUY</v>
      </c>
      <c r="Y170" s="34" t="n">
        <f aca="false">IF(OR(V170="",W170="",X170=""),"",IFERROR(IF(V170="BUY",1,IF(V170="SELL",-1,0))+IF(W170="BUY",1,IF(W170="SELL",-1,0))+IF(X170="BUY",1,IF(X170="SELL",-1,0)),0))</f>
        <v>1</v>
      </c>
      <c r="Z170" s="32" t="str">
        <f aca="false">IF(Y170="","",IF(Y170&gt;=2,"STRONG BUY",IF(Y170=1,"BUY",IF(Y170=0,"HOLD",IF(Y170=-1,"SELL","STRONG SELL")))))</f>
        <v>BUY</v>
      </c>
    </row>
    <row r="171" customFormat="false" ht="15" hidden="false" customHeight="false" outlineLevel="0" collapsed="false">
      <c r="A171" s="24" t="n">
        <v>46007</v>
      </c>
      <c r="B171" s="25" t="n">
        <v>1657.86</v>
      </c>
      <c r="C171" s="25" t="n">
        <v>1660.04</v>
      </c>
      <c r="D171" s="25" t="n">
        <v>1657.86</v>
      </c>
      <c r="E171" s="25" t="n">
        <v>1658.95</v>
      </c>
      <c r="F171" s="26" t="n">
        <v>4522133</v>
      </c>
      <c r="G171" s="27" t="n">
        <f aca="false">E171-E170</f>
        <v>22.1600000000001</v>
      </c>
      <c r="H171" s="28" t="n">
        <f aca="false">G171/E170</f>
        <v>0.0135386946401188</v>
      </c>
      <c r="I171" s="29" t="n">
        <f aca="false">MAX(G171,0)</f>
        <v>22.1600000000001</v>
      </c>
      <c r="J171" s="29" t="n">
        <f aca="false">MAX(-G171,0)</f>
        <v>0</v>
      </c>
      <c r="K171" s="29" t="n">
        <f aca="false">(K170*13+I171)/14</f>
        <v>8.59586918614853</v>
      </c>
      <c r="L171" s="29" t="n">
        <f aca="false">(L170*13+J171)/14</f>
        <v>2.12423372014645</v>
      </c>
      <c r="M171" s="31" t="n">
        <f aca="false">IF(L171=0,100,100-100/(1+K171/MAX(L171,0.000001)))</f>
        <v>80.1845771564462</v>
      </c>
      <c r="N171" s="30" t="n">
        <f aca="false">AVERAGE(E152:E171)</f>
        <v>1578.109</v>
      </c>
      <c r="O171" s="30" t="n">
        <f aca="false">AVERAGE(E122:E171)</f>
        <v>1528.9538</v>
      </c>
      <c r="Q171" s="30" t="n">
        <f aca="false">Q170+(2/13)*(E171-Q170)</f>
        <v>1610.66409485974</v>
      </c>
      <c r="R171" s="30" t="n">
        <f aca="false">R170+(2/27)*(E171-R170)</f>
        <v>1576.71135835367</v>
      </c>
      <c r="S171" s="33" t="n">
        <f aca="false">Q171-R171</f>
        <v>33.9527365060667</v>
      </c>
      <c r="T171" s="33" t="n">
        <f aca="false">T170+(2/10)*(S171-T170)</f>
        <v>26.9660822809933</v>
      </c>
      <c r="U171" s="33" t="n">
        <f aca="false">S171-T171</f>
        <v>6.98665422507334</v>
      </c>
      <c r="V171" s="32" t="str">
        <f aca="false">IF(M171="","",IF(M171&lt;Assumptions!$B$5,"BUY",IF(M171&gt;Assumptions!$B$4,"SELL","HOLD")))</f>
        <v>SELL</v>
      </c>
      <c r="W171" s="32" t="str">
        <f aca="false">IF(O171="","",IF(E171&gt;O171,"BUY","SELL"))</f>
        <v>BUY</v>
      </c>
      <c r="X171" s="32" t="str">
        <f aca="false">IF(T171="","",IF(S171&gt;T171,"BUY","SELL"))</f>
        <v>BUY</v>
      </c>
      <c r="Y171" s="34" t="n">
        <f aca="false">IF(OR(V171="",W171="",X171=""),"",IFERROR(IF(V171="BUY",1,IF(V171="SELL",-1,0))+IF(W171="BUY",1,IF(W171="SELL",-1,0))+IF(X171="BUY",1,IF(X171="SELL",-1,0)),0))</f>
        <v>1</v>
      </c>
      <c r="Z171" s="32" t="str">
        <f aca="false">IF(Y171="","",IF(Y171&gt;=2,"STRONG BUY",IF(Y171=1,"BUY",IF(Y171=0,"HOLD",IF(Y171=-1,"SELL","STRONG SELL")))))</f>
        <v>BUY</v>
      </c>
    </row>
    <row r="172" customFormat="false" ht="15" hidden="false" customHeight="false" outlineLevel="0" collapsed="false">
      <c r="A172" s="24" t="n">
        <v>46008</v>
      </c>
      <c r="B172" s="25" t="n">
        <v>1664.5</v>
      </c>
      <c r="C172" s="25" t="n">
        <v>1664.5</v>
      </c>
      <c r="D172" s="25" t="n">
        <v>1657.28</v>
      </c>
      <c r="E172" s="25" t="n">
        <v>1660.89</v>
      </c>
      <c r="F172" s="26" t="n">
        <v>5099254</v>
      </c>
      <c r="G172" s="27" t="n">
        <f aca="false">E172-E171</f>
        <v>1.94000000000005</v>
      </c>
      <c r="H172" s="28" t="n">
        <f aca="false">G172/E171</f>
        <v>0.00116941438861934</v>
      </c>
      <c r="I172" s="29" t="n">
        <f aca="false">MAX(G172,0)</f>
        <v>1.94000000000005</v>
      </c>
      <c r="J172" s="29" t="n">
        <f aca="false">MAX(-G172,0)</f>
        <v>0</v>
      </c>
      <c r="K172" s="29" t="n">
        <f aca="false">(K171*13+I172)/14</f>
        <v>8.1204499585665</v>
      </c>
      <c r="L172" s="29" t="n">
        <f aca="false">(L171*13+J172)/14</f>
        <v>1.97250274013599</v>
      </c>
      <c r="M172" s="31" t="n">
        <f aca="false">IF(L172=0,100,100-100/(1+K172/MAX(L172,0.000001)))</f>
        <v>80.4566334647583</v>
      </c>
      <c r="N172" s="30" t="n">
        <f aca="false">AVERAGE(E153:E172)</f>
        <v>1585.26</v>
      </c>
      <c r="O172" s="30" t="n">
        <f aca="false">AVERAGE(E123:E172)</f>
        <v>1532.8232</v>
      </c>
      <c r="Q172" s="30" t="n">
        <f aca="false">Q171+(2/13)*(E172-Q171)</f>
        <v>1618.39115718901</v>
      </c>
      <c r="R172" s="30" t="n">
        <f aca="false">R171+(2/27)*(E172-R171)</f>
        <v>1582.94681329043</v>
      </c>
      <c r="S172" s="33" t="n">
        <f aca="false">Q172-R172</f>
        <v>35.4443438985729</v>
      </c>
      <c r="T172" s="33" t="n">
        <f aca="false">T171+(2/10)*(S172-T171)</f>
        <v>28.6617346045093</v>
      </c>
      <c r="U172" s="33" t="n">
        <f aca="false">S172-T172</f>
        <v>6.78260929406366</v>
      </c>
      <c r="V172" s="32" t="str">
        <f aca="false">IF(M172="","",IF(M172&lt;Assumptions!$B$5,"BUY",IF(M172&gt;Assumptions!$B$4,"SELL","HOLD")))</f>
        <v>SELL</v>
      </c>
      <c r="W172" s="32" t="str">
        <f aca="false">IF(O172="","",IF(E172&gt;O172,"BUY","SELL"))</f>
        <v>BUY</v>
      </c>
      <c r="X172" s="32" t="str">
        <f aca="false">IF(T172="","",IF(S172&gt;T172,"BUY","SELL"))</f>
        <v>BUY</v>
      </c>
      <c r="Y172" s="34" t="n">
        <f aca="false">IF(OR(V172="",W172="",X172=""),"",IFERROR(IF(V172="BUY",1,IF(V172="SELL",-1,0))+IF(W172="BUY",1,IF(W172="SELL",-1,0))+IF(X172="BUY",1,IF(X172="SELL",-1,0)),0))</f>
        <v>1</v>
      </c>
      <c r="Z172" s="32" t="str">
        <f aca="false">IF(Y172="","",IF(Y172&gt;=2,"STRONG BUY",IF(Y172=1,"BUY",IF(Y172=0,"HOLD",IF(Y172=-1,"SELL","STRONG SELL")))))</f>
        <v>BUY</v>
      </c>
    </row>
    <row r="173" customFormat="false" ht="15" hidden="false" customHeight="false" outlineLevel="0" collapsed="false">
      <c r="A173" s="24" t="n">
        <v>46009</v>
      </c>
      <c r="B173" s="25" t="n">
        <v>1669.12</v>
      </c>
      <c r="C173" s="25" t="n">
        <v>1682.86</v>
      </c>
      <c r="D173" s="25" t="n">
        <v>1654.82</v>
      </c>
      <c r="E173" s="25" t="n">
        <v>1668.84</v>
      </c>
      <c r="F173" s="26" t="n">
        <v>3821623</v>
      </c>
      <c r="G173" s="27" t="n">
        <f aca="false">E173-E172</f>
        <v>7.94999999999982</v>
      </c>
      <c r="H173" s="28" t="n">
        <f aca="false">G173/E172</f>
        <v>0.00478659032205614</v>
      </c>
      <c r="I173" s="29" t="n">
        <f aca="false">MAX(G173,0)</f>
        <v>7.94999999999982</v>
      </c>
      <c r="J173" s="29" t="n">
        <f aca="false">MAX(-G173,0)</f>
        <v>0</v>
      </c>
      <c r="K173" s="29" t="n">
        <f aca="false">(K172*13+I173)/14</f>
        <v>8.10827496152602</v>
      </c>
      <c r="L173" s="29" t="n">
        <f aca="false">(L172*13+J173)/14</f>
        <v>1.83160968726914</v>
      </c>
      <c r="M173" s="31" t="n">
        <f aca="false">IF(L173=0,100,100-100/(1+K173/MAX(L173,0.000001)))</f>
        <v>81.5731293472188</v>
      </c>
      <c r="N173" s="30" t="n">
        <f aca="false">AVERAGE(E154:E173)</f>
        <v>1592.236</v>
      </c>
      <c r="O173" s="30" t="n">
        <f aca="false">AVERAGE(E124:E173)</f>
        <v>1536.9448</v>
      </c>
      <c r="Q173" s="30" t="n">
        <f aca="false">Q172+(2/13)*(E173-Q172)</f>
        <v>1626.15251762147</v>
      </c>
      <c r="R173" s="30" t="n">
        <f aca="false">R172+(2/27)*(E173-R172)</f>
        <v>1589.30927156522</v>
      </c>
      <c r="S173" s="33" t="n">
        <f aca="false">Q173-R173</f>
        <v>36.8432460562508</v>
      </c>
      <c r="T173" s="33" t="n">
        <f aca="false">T172+(2/10)*(S173-T172)</f>
        <v>30.2980368948576</v>
      </c>
      <c r="U173" s="33" t="n">
        <f aca="false">S173-T173</f>
        <v>6.54520916139322</v>
      </c>
      <c r="V173" s="32" t="str">
        <f aca="false">IF(M173="","",IF(M173&lt;Assumptions!$B$5,"BUY",IF(M173&gt;Assumptions!$B$4,"SELL","HOLD")))</f>
        <v>SELL</v>
      </c>
      <c r="W173" s="32" t="str">
        <f aca="false">IF(O173="","",IF(E173&gt;O173,"BUY","SELL"))</f>
        <v>BUY</v>
      </c>
      <c r="X173" s="32" t="str">
        <f aca="false">IF(T173="","",IF(S173&gt;T173,"BUY","SELL"))</f>
        <v>BUY</v>
      </c>
      <c r="Y173" s="34" t="n">
        <f aca="false">IF(OR(V173="",W173="",X173=""),"",IFERROR(IF(V173="BUY",1,IF(V173="SELL",-1,0))+IF(W173="BUY",1,IF(W173="SELL",-1,0))+IF(X173="BUY",1,IF(X173="SELL",-1,0)),0))</f>
        <v>1</v>
      </c>
      <c r="Z173" s="32" t="str">
        <f aca="false">IF(Y173="","",IF(Y173&gt;=2,"STRONG BUY",IF(Y173=1,"BUY",IF(Y173=0,"HOLD",IF(Y173=-1,"SELL","STRONG SELL")))))</f>
        <v>BUY</v>
      </c>
    </row>
    <row r="174" customFormat="false" ht="15" hidden="false" customHeight="false" outlineLevel="0" collapsed="false">
      <c r="A174" s="24" t="n">
        <v>46010</v>
      </c>
      <c r="B174" s="25" t="n">
        <v>1682.37</v>
      </c>
      <c r="C174" s="25" t="n">
        <v>1709.17</v>
      </c>
      <c r="D174" s="25" t="n">
        <v>1664.97</v>
      </c>
      <c r="E174" s="25" t="n">
        <v>1687.07</v>
      </c>
      <c r="F174" s="26" t="n">
        <v>2493211</v>
      </c>
      <c r="G174" s="27" t="n">
        <f aca="false">E174-E173</f>
        <v>18.23</v>
      </c>
      <c r="H174" s="28" t="n">
        <f aca="false">G174/E173</f>
        <v>0.0109237554229285</v>
      </c>
      <c r="I174" s="29" t="n">
        <f aca="false">MAX(G174,0)</f>
        <v>18.23</v>
      </c>
      <c r="J174" s="29" t="n">
        <f aca="false">MAX(-G174,0)</f>
        <v>0</v>
      </c>
      <c r="K174" s="29" t="n">
        <f aca="false">(K173*13+I174)/14</f>
        <v>8.83125532141702</v>
      </c>
      <c r="L174" s="29" t="n">
        <f aca="false">(L173*13+J174)/14</f>
        <v>1.70078042389277</v>
      </c>
      <c r="M174" s="31" t="n">
        <f aca="false">IF(L174=0,100,100-100/(1+K174/MAX(L174,0.000001)))</f>
        <v>83.8513610756574</v>
      </c>
      <c r="N174" s="30" t="n">
        <f aca="false">AVERAGE(E155:E174)</f>
        <v>1599.1125</v>
      </c>
      <c r="O174" s="30" t="n">
        <f aca="false">AVERAGE(E125:E174)</f>
        <v>1541.4024</v>
      </c>
      <c r="Q174" s="30" t="n">
        <f aca="false">Q173+(2/13)*(E174-Q173)</f>
        <v>1635.5244379874</v>
      </c>
      <c r="R174" s="30" t="n">
        <f aca="false">R173+(2/27)*(E174-R173)</f>
        <v>1596.55080700483</v>
      </c>
      <c r="S174" s="33" t="n">
        <f aca="false">Q174-R174</f>
        <v>38.9736309825653</v>
      </c>
      <c r="T174" s="33" t="n">
        <f aca="false">T173+(2/10)*(S174-T173)</f>
        <v>32.0331557123991</v>
      </c>
      <c r="U174" s="33" t="n">
        <f aca="false">S174-T174</f>
        <v>6.94047527016618</v>
      </c>
      <c r="V174" s="32" t="str">
        <f aca="false">IF(M174="","",IF(M174&lt;Assumptions!$B$5,"BUY",IF(M174&gt;Assumptions!$B$4,"SELL","HOLD")))</f>
        <v>SELL</v>
      </c>
      <c r="W174" s="32" t="str">
        <f aca="false">IF(O174="","",IF(E174&gt;O174,"BUY","SELL"))</f>
        <v>BUY</v>
      </c>
      <c r="X174" s="32" t="str">
        <f aca="false">IF(T174="","",IF(S174&gt;T174,"BUY","SELL"))</f>
        <v>BUY</v>
      </c>
      <c r="Y174" s="34" t="n">
        <f aca="false">IF(OR(V174="",W174="",X174=""),"",IFERROR(IF(V174="BUY",1,IF(V174="SELL",-1,0))+IF(W174="BUY",1,IF(W174="SELL",-1,0))+IF(X174="BUY",1,IF(X174="SELL",-1,0)),0))</f>
        <v>1</v>
      </c>
      <c r="Z174" s="32" t="str">
        <f aca="false">IF(Y174="","",IF(Y174&gt;=2,"STRONG BUY",IF(Y174=1,"BUY",IF(Y174=0,"HOLD",IF(Y174=-1,"SELL","STRONG SELL")))))</f>
        <v>BUY</v>
      </c>
    </row>
    <row r="175" customFormat="false" ht="15" hidden="false" customHeight="false" outlineLevel="0" collapsed="false">
      <c r="A175" s="24" t="n">
        <v>46013</v>
      </c>
      <c r="B175" s="25" t="n">
        <v>1685.38</v>
      </c>
      <c r="C175" s="25" t="n">
        <v>1685.38</v>
      </c>
      <c r="D175" s="25" t="n">
        <v>1673.56</v>
      </c>
      <c r="E175" s="25" t="n">
        <v>1679.47</v>
      </c>
      <c r="F175" s="26" t="n">
        <v>8252818</v>
      </c>
      <c r="G175" s="27" t="n">
        <f aca="false">E175-E174</f>
        <v>-7.59999999999991</v>
      </c>
      <c r="H175" s="28" t="n">
        <f aca="false">G175/E174</f>
        <v>-0.00450485160663156</v>
      </c>
      <c r="I175" s="29" t="n">
        <f aca="false">MAX(G175,0)</f>
        <v>0</v>
      </c>
      <c r="J175" s="29" t="n">
        <f aca="false">MAX(-G175,0)</f>
        <v>7.59999999999991</v>
      </c>
      <c r="K175" s="29" t="n">
        <f aca="false">(K174*13+I175)/14</f>
        <v>8.20045136988724</v>
      </c>
      <c r="L175" s="29" t="n">
        <f aca="false">(L174*13+J175)/14</f>
        <v>2.12215325075757</v>
      </c>
      <c r="M175" s="31" t="n">
        <f aca="false">IF(L175=0,100,100-100/(1+K175/MAX(L175,0.000001)))</f>
        <v>79.4416881325345</v>
      </c>
      <c r="N175" s="30" t="n">
        <f aca="false">AVERAGE(E156:E175)</f>
        <v>1605.632</v>
      </c>
      <c r="O175" s="30" t="n">
        <f aca="false">AVERAGE(E126:E175)</f>
        <v>1546.0304</v>
      </c>
      <c r="Q175" s="30" t="n">
        <f aca="false">Q174+(2/13)*(E175-Q174)</f>
        <v>1642.28529368164</v>
      </c>
      <c r="R175" s="30" t="n">
        <f aca="false">R174+(2/27)*(E175-R174)</f>
        <v>1602.69296944892</v>
      </c>
      <c r="S175" s="33" t="n">
        <f aca="false">Q175-R175</f>
        <v>39.5923242327256</v>
      </c>
      <c r="T175" s="33" t="n">
        <f aca="false">T174+(2/10)*(S175-T174)</f>
        <v>33.5449894164644</v>
      </c>
      <c r="U175" s="33" t="n">
        <f aca="false">S175-T175</f>
        <v>6.04733481626116</v>
      </c>
      <c r="V175" s="32" t="str">
        <f aca="false">IF(M175="","",IF(M175&lt;Assumptions!$B$5,"BUY",IF(M175&gt;Assumptions!$B$4,"SELL","HOLD")))</f>
        <v>SELL</v>
      </c>
      <c r="W175" s="32" t="str">
        <f aca="false">IF(O175="","",IF(E175&gt;O175,"BUY","SELL"))</f>
        <v>BUY</v>
      </c>
      <c r="X175" s="32" t="str">
        <f aca="false">IF(T175="","",IF(S175&gt;T175,"BUY","SELL"))</f>
        <v>BUY</v>
      </c>
      <c r="Y175" s="34" t="n">
        <f aca="false">IF(OR(V175="",W175="",X175=""),"",IFERROR(IF(V175="BUY",1,IF(V175="SELL",-1,0))+IF(W175="BUY",1,IF(W175="SELL",-1,0))+IF(X175="BUY",1,IF(X175="SELL",-1,0)),0))</f>
        <v>1</v>
      </c>
      <c r="Z175" s="32" t="str">
        <f aca="false">IF(Y175="","",IF(Y175&gt;=2,"STRONG BUY",IF(Y175=1,"BUY",IF(Y175=0,"HOLD",IF(Y175=-1,"SELL","STRONG SELL")))))</f>
        <v>BUY</v>
      </c>
    </row>
    <row r="176" customFormat="false" ht="15" hidden="false" customHeight="false" outlineLevel="0" collapsed="false">
      <c r="A176" s="24" t="n">
        <v>46014</v>
      </c>
      <c r="B176" s="25" t="n">
        <v>1650.65</v>
      </c>
      <c r="C176" s="25" t="n">
        <v>1659.43</v>
      </c>
      <c r="D176" s="25" t="n">
        <v>1648.05</v>
      </c>
      <c r="E176" s="25" t="n">
        <v>1653.74</v>
      </c>
      <c r="F176" s="26" t="n">
        <v>6205368</v>
      </c>
      <c r="G176" s="27" t="n">
        <f aca="false">E176-E175</f>
        <v>-25.73</v>
      </c>
      <c r="H176" s="28" t="n">
        <f aca="false">G176/E175</f>
        <v>-0.0153203093833174</v>
      </c>
      <c r="I176" s="29" t="n">
        <f aca="false">MAX(G176,0)</f>
        <v>0</v>
      </c>
      <c r="J176" s="29" t="n">
        <f aca="false">MAX(-G176,0)</f>
        <v>25.73</v>
      </c>
      <c r="K176" s="29" t="n">
        <f aca="false">(K175*13+I176)/14</f>
        <v>7.61470484346672</v>
      </c>
      <c r="L176" s="29" t="n">
        <f aca="false">(L175*13+J176)/14</f>
        <v>3.8084280185606</v>
      </c>
      <c r="M176" s="31" t="n">
        <f aca="false">IF(L176=0,100,100-100/(1+K176/MAX(L176,0.000001)))</f>
        <v>66.6603893646327</v>
      </c>
      <c r="N176" s="30" t="n">
        <f aca="false">AVERAGE(E157:E176)</f>
        <v>1611.632</v>
      </c>
      <c r="O176" s="30" t="n">
        <f aca="false">AVERAGE(E127:E176)</f>
        <v>1550.0836</v>
      </c>
      <c r="Q176" s="30" t="n">
        <f aca="false">Q175+(2/13)*(E176-Q175)</f>
        <v>1644.04755619216</v>
      </c>
      <c r="R176" s="30" t="n">
        <f aca="false">R175+(2/27)*(E176-R175)</f>
        <v>1606.47423097122</v>
      </c>
      <c r="S176" s="33" t="n">
        <f aca="false">Q176-R176</f>
        <v>37.5733252209395</v>
      </c>
      <c r="T176" s="33" t="n">
        <f aca="false">T175+(2/10)*(S176-T175)</f>
        <v>34.3506565773594</v>
      </c>
      <c r="U176" s="33" t="n">
        <f aca="false">S176-T176</f>
        <v>3.2226686435801</v>
      </c>
      <c r="V176" s="32" t="str">
        <f aca="false">IF(M176="","",IF(M176&lt;Assumptions!$B$5,"BUY",IF(M176&gt;Assumptions!$B$4,"SELL","HOLD")))</f>
        <v>HOLD</v>
      </c>
      <c r="W176" s="32" t="str">
        <f aca="false">IF(O176="","",IF(E176&gt;O176,"BUY","SELL"))</f>
        <v>BUY</v>
      </c>
      <c r="X176" s="32" t="str">
        <f aca="false">IF(T176="","",IF(S176&gt;T176,"BUY","SELL"))</f>
        <v>BUY</v>
      </c>
      <c r="Y176" s="34" t="n">
        <f aca="false">IF(OR(V176="",W176="",X176=""),"",IFERROR(IF(V176="BUY",1,IF(V176="SELL",-1,0))+IF(W176="BUY",1,IF(W176="SELL",-1,0))+IF(X176="BUY",1,IF(X176="SELL",-1,0)),0))</f>
        <v>2</v>
      </c>
      <c r="Z176" s="32" t="str">
        <f aca="false">IF(Y176="","",IF(Y176&gt;=2,"STRONG BUY",IF(Y176=1,"BUY",IF(Y176=0,"HOLD",IF(Y176=-1,"SELL","STRONG SELL")))))</f>
        <v>STRONG BUY</v>
      </c>
    </row>
    <row r="177" customFormat="false" ht="15" hidden="false" customHeight="false" outlineLevel="0" collapsed="false">
      <c r="A177" s="24" t="n">
        <v>46015</v>
      </c>
      <c r="B177" s="25" t="n">
        <v>1655.59</v>
      </c>
      <c r="C177" s="25" t="n">
        <v>1668.93</v>
      </c>
      <c r="D177" s="25" t="n">
        <v>1647.81</v>
      </c>
      <c r="E177" s="25" t="n">
        <v>1658.37</v>
      </c>
      <c r="F177" s="26" t="n">
        <v>4750387</v>
      </c>
      <c r="G177" s="27" t="n">
        <f aca="false">E177-E176</f>
        <v>4.62999999999988</v>
      </c>
      <c r="H177" s="28" t="n">
        <f aca="false">G177/E176</f>
        <v>0.00279971458633152</v>
      </c>
      <c r="I177" s="29" t="n">
        <f aca="false">MAX(G177,0)</f>
        <v>4.62999999999988</v>
      </c>
      <c r="J177" s="29" t="n">
        <f aca="false">MAX(-G177,0)</f>
        <v>0</v>
      </c>
      <c r="K177" s="29" t="n">
        <f aca="false">(K176*13+I177)/14</f>
        <v>7.40151164036194</v>
      </c>
      <c r="L177" s="29" t="n">
        <f aca="false">(L176*13+J177)/14</f>
        <v>3.53639744580627</v>
      </c>
      <c r="M177" s="31" t="n">
        <f aca="false">IF(L177=0,100,100-100/(1+K177/MAX(L177,0.000001)))</f>
        <v>67.6684326232122</v>
      </c>
      <c r="N177" s="30" t="n">
        <f aca="false">AVERAGE(E158:E177)</f>
        <v>1617.539</v>
      </c>
      <c r="O177" s="30" t="n">
        <f aca="false">AVERAGE(E128:E177)</f>
        <v>1554.5408</v>
      </c>
      <c r="Q177" s="30" t="n">
        <f aca="false">Q176+(2/13)*(E177-Q176)</f>
        <v>1646.25100908567</v>
      </c>
      <c r="R177" s="30" t="n">
        <f aca="false">R176+(2/27)*(E177-R176)</f>
        <v>1610.31836201039</v>
      </c>
      <c r="S177" s="33" t="n">
        <f aca="false">Q177-R177</f>
        <v>35.9326470752847</v>
      </c>
      <c r="T177" s="33" t="n">
        <f aca="false">T176+(2/10)*(S177-T176)</f>
        <v>34.6670546769445</v>
      </c>
      <c r="U177" s="33" t="n">
        <f aca="false">S177-T177</f>
        <v>1.26559239834018</v>
      </c>
      <c r="V177" s="32" t="str">
        <f aca="false">IF(M177="","",IF(M177&lt;Assumptions!$B$5,"BUY",IF(M177&gt;Assumptions!$B$4,"SELL","HOLD")))</f>
        <v>HOLD</v>
      </c>
      <c r="W177" s="32" t="str">
        <f aca="false">IF(O177="","",IF(E177&gt;O177,"BUY","SELL"))</f>
        <v>BUY</v>
      </c>
      <c r="X177" s="32" t="str">
        <f aca="false">IF(T177="","",IF(S177&gt;T177,"BUY","SELL"))</f>
        <v>BUY</v>
      </c>
      <c r="Y177" s="34" t="n">
        <f aca="false">IF(OR(V177="",W177="",X177=""),"",IFERROR(IF(V177="BUY",1,IF(V177="SELL",-1,0))+IF(W177="BUY",1,IF(W177="SELL",-1,0))+IF(X177="BUY",1,IF(X177="SELL",-1,0)),0))</f>
        <v>2</v>
      </c>
      <c r="Z177" s="32" t="str">
        <f aca="false">IF(Y177="","",IF(Y177&gt;=2,"STRONG BUY",IF(Y177=1,"BUY",IF(Y177=0,"HOLD",IF(Y177=-1,"SELL","STRONG SELL")))))</f>
        <v>STRONG BUY</v>
      </c>
    </row>
    <row r="178" customFormat="false" ht="15" hidden="false" customHeight="false" outlineLevel="0" collapsed="false">
      <c r="A178" s="24" t="n">
        <v>46016</v>
      </c>
      <c r="B178" s="25" t="n">
        <v>1661.26</v>
      </c>
      <c r="C178" s="25" t="n">
        <v>1683.98</v>
      </c>
      <c r="D178" s="25" t="n">
        <v>1639.96</v>
      </c>
      <c r="E178" s="25" t="n">
        <v>1661.97</v>
      </c>
      <c r="F178" s="26" t="n">
        <v>4150687</v>
      </c>
      <c r="G178" s="27" t="n">
        <f aca="false">E178-E177</f>
        <v>3.60000000000014</v>
      </c>
      <c r="H178" s="28" t="n">
        <f aca="false">G178/E177</f>
        <v>0.00217080627363021</v>
      </c>
      <c r="I178" s="29" t="n">
        <f aca="false">MAX(G178,0)</f>
        <v>3.60000000000014</v>
      </c>
      <c r="J178" s="29" t="n">
        <f aca="false">MAX(-G178,0)</f>
        <v>0</v>
      </c>
      <c r="K178" s="29" t="n">
        <f aca="false">(K177*13+I178)/14</f>
        <v>7.12997509462181</v>
      </c>
      <c r="L178" s="29" t="n">
        <f aca="false">(L177*13+J178)/14</f>
        <v>3.28379762824868</v>
      </c>
      <c r="M178" s="31" t="n">
        <f aca="false">IF(L178=0,100,100-100/(1+K178/MAX(L178,0.000001)))</f>
        <v>68.4667822542653</v>
      </c>
      <c r="N178" s="30" t="n">
        <f aca="false">AVERAGE(E159:E178)</f>
        <v>1623.259</v>
      </c>
      <c r="O178" s="30" t="n">
        <f aca="false">AVERAGE(E129:E178)</f>
        <v>1558.8374</v>
      </c>
      <c r="Q178" s="30" t="n">
        <f aca="false">Q177+(2/13)*(E178-Q177)</f>
        <v>1648.66931538019</v>
      </c>
      <c r="R178" s="30" t="n">
        <f aca="false">R177+(2/27)*(E178-R177)</f>
        <v>1614.14440926888</v>
      </c>
      <c r="S178" s="33" t="n">
        <f aca="false">Q178-R178</f>
        <v>34.5249061113066</v>
      </c>
      <c r="T178" s="33" t="n">
        <f aca="false">T177+(2/10)*(S178-T177)</f>
        <v>34.6386249638169</v>
      </c>
      <c r="U178" s="33" t="n">
        <f aca="false">S178-T178</f>
        <v>-0.113718852510324</v>
      </c>
      <c r="V178" s="32" t="str">
        <f aca="false">IF(M178="","",IF(M178&lt;Assumptions!$B$5,"BUY",IF(M178&gt;Assumptions!$B$4,"SELL","HOLD")))</f>
        <v>HOLD</v>
      </c>
      <c r="W178" s="32" t="str">
        <f aca="false">IF(O178="","",IF(E178&gt;O178,"BUY","SELL"))</f>
        <v>BUY</v>
      </c>
      <c r="X178" s="32" t="str">
        <f aca="false">IF(T178="","",IF(S178&gt;T178,"BUY","SELL"))</f>
        <v>SELL</v>
      </c>
      <c r="Y178" s="34" t="n">
        <f aca="false">IF(OR(V178="",W178="",X178=""),"",IFERROR(IF(V178="BUY",1,IF(V178="SELL",-1,0))+IF(W178="BUY",1,IF(W178="SELL",-1,0))+IF(X178="BUY",1,IF(X178="SELL",-1,0)),0))</f>
        <v>0</v>
      </c>
      <c r="Z178" s="32" t="str">
        <f aca="false">IF(Y178="","",IF(Y178&gt;=2,"STRONG BUY",IF(Y178=1,"BUY",IF(Y178=0,"HOLD",IF(Y178=-1,"SELL","STRONG SELL")))))</f>
        <v>HOLD</v>
      </c>
    </row>
    <row r="179" customFormat="false" ht="15" hidden="false" customHeight="false" outlineLevel="0" collapsed="false">
      <c r="A179" s="24" t="n">
        <v>46017</v>
      </c>
      <c r="B179" s="25" t="n">
        <v>1654.26</v>
      </c>
      <c r="C179" s="25" t="n">
        <v>1654.26</v>
      </c>
      <c r="D179" s="25" t="n">
        <v>1651.88</v>
      </c>
      <c r="E179" s="25" t="n">
        <v>1653.07</v>
      </c>
      <c r="F179" s="26" t="n">
        <v>3212126</v>
      </c>
      <c r="G179" s="27" t="n">
        <f aca="false">E179-E178</f>
        <v>-8.90000000000009</v>
      </c>
      <c r="H179" s="28" t="n">
        <f aca="false">G179/E178</f>
        <v>-0.0053550906454389</v>
      </c>
      <c r="I179" s="29" t="n">
        <f aca="false">MAX(G179,0)</f>
        <v>0</v>
      </c>
      <c r="J179" s="29" t="n">
        <f aca="false">MAX(-G179,0)</f>
        <v>8.90000000000009</v>
      </c>
      <c r="K179" s="29" t="n">
        <f aca="false">(K178*13+I179)/14</f>
        <v>6.62069115929169</v>
      </c>
      <c r="L179" s="29" t="n">
        <f aca="false">(L178*13+J179)/14</f>
        <v>3.68495494051664</v>
      </c>
      <c r="M179" s="31" t="n">
        <f aca="false">IF(L179=0,100,100-100/(1+K179/MAX(L179,0.000001)))</f>
        <v>64.2433389927375</v>
      </c>
      <c r="N179" s="30" t="n">
        <f aca="false">AVERAGE(E160:E179)</f>
        <v>1628.183</v>
      </c>
      <c r="O179" s="30" t="n">
        <f aca="false">AVERAGE(E130:E179)</f>
        <v>1562.9522</v>
      </c>
      <c r="Q179" s="30" t="n">
        <f aca="false">Q178+(2/13)*(E179-Q178)</f>
        <v>1649.34634378323</v>
      </c>
      <c r="R179" s="30" t="n">
        <f aca="false">R178+(2/27)*(E179-R178)</f>
        <v>1617.02778636007</v>
      </c>
      <c r="S179" s="33" t="n">
        <f aca="false">Q179-R179</f>
        <v>32.3185574231609</v>
      </c>
      <c r="T179" s="33" t="n">
        <f aca="false">T178+(2/10)*(S179-T178)</f>
        <v>34.1746114556857</v>
      </c>
      <c r="U179" s="33" t="n">
        <f aca="false">S179-T179</f>
        <v>-1.8560540325248</v>
      </c>
      <c r="V179" s="32" t="str">
        <f aca="false">IF(M179="","",IF(M179&lt;Assumptions!$B$5,"BUY",IF(M179&gt;Assumptions!$B$4,"SELL","HOLD")))</f>
        <v>HOLD</v>
      </c>
      <c r="W179" s="32" t="str">
        <f aca="false">IF(O179="","",IF(E179&gt;O179,"BUY","SELL"))</f>
        <v>BUY</v>
      </c>
      <c r="X179" s="32" t="str">
        <f aca="false">IF(T179="","",IF(S179&gt;T179,"BUY","SELL"))</f>
        <v>SELL</v>
      </c>
      <c r="Y179" s="34" t="n">
        <f aca="false">IF(OR(V179="",W179="",X179=""),"",IFERROR(IF(V179="BUY",1,IF(V179="SELL",-1,0))+IF(W179="BUY",1,IF(W179="SELL",-1,0))+IF(X179="BUY",1,IF(X179="SELL",-1,0)),0))</f>
        <v>0</v>
      </c>
      <c r="Z179" s="32" t="str">
        <f aca="false">IF(Y179="","",IF(Y179&gt;=2,"STRONG BUY",IF(Y179=1,"BUY",IF(Y179=0,"HOLD",IF(Y179=-1,"SELL","STRONG SELL")))))</f>
        <v>HOLD</v>
      </c>
    </row>
    <row r="180" customFormat="false" ht="15" hidden="false" customHeight="false" outlineLevel="0" collapsed="false">
      <c r="A180" s="24" t="n">
        <v>46020</v>
      </c>
      <c r="B180" s="25" t="n">
        <v>1663.77</v>
      </c>
      <c r="C180" s="25" t="n">
        <v>1668.73</v>
      </c>
      <c r="D180" s="25" t="n">
        <v>1663.77</v>
      </c>
      <c r="E180" s="25" t="n">
        <v>1666.25</v>
      </c>
      <c r="F180" s="26" t="n">
        <v>4513038</v>
      </c>
      <c r="G180" s="27" t="n">
        <f aca="false">E180-E179</f>
        <v>13.1800000000001</v>
      </c>
      <c r="H180" s="28" t="n">
        <f aca="false">G180/E179</f>
        <v>0.00797304409371658</v>
      </c>
      <c r="I180" s="29" t="n">
        <f aca="false">MAX(G180,0)</f>
        <v>13.1800000000001</v>
      </c>
      <c r="J180" s="29" t="n">
        <f aca="false">MAX(-G180,0)</f>
        <v>0</v>
      </c>
      <c r="K180" s="29" t="n">
        <f aca="false">(K179*13+I180)/14</f>
        <v>7.08921321934228</v>
      </c>
      <c r="L180" s="29" t="n">
        <f aca="false">(L179*13+J180)/14</f>
        <v>3.42174387333688</v>
      </c>
      <c r="M180" s="31" t="n">
        <f aca="false">IF(L180=0,100,100-100/(1+K180/MAX(L180,0.000001)))</f>
        <v>67.4459343410306</v>
      </c>
      <c r="N180" s="30" t="n">
        <f aca="false">AVERAGE(E161:E180)</f>
        <v>1634.2465</v>
      </c>
      <c r="O180" s="30" t="n">
        <f aca="false">AVERAGE(E131:E180)</f>
        <v>1566.7266</v>
      </c>
      <c r="Q180" s="30" t="n">
        <f aca="false">Q179+(2/13)*(E180-Q179)</f>
        <v>1651.94690627812</v>
      </c>
      <c r="R180" s="30" t="n">
        <f aca="false">R179+(2/27)*(E180-R179)</f>
        <v>1620.67387625933</v>
      </c>
      <c r="S180" s="33" t="n">
        <f aca="false">Q180-R180</f>
        <v>31.2730300187941</v>
      </c>
      <c r="T180" s="33" t="n">
        <f aca="false">T179+(2/10)*(S180-T179)</f>
        <v>33.5942951683074</v>
      </c>
      <c r="U180" s="33" t="n">
        <f aca="false">S180-T180</f>
        <v>-2.32126514951328</v>
      </c>
      <c r="V180" s="32" t="str">
        <f aca="false">IF(M180="","",IF(M180&lt;Assumptions!$B$5,"BUY",IF(M180&gt;Assumptions!$B$4,"SELL","HOLD")))</f>
        <v>HOLD</v>
      </c>
      <c r="W180" s="32" t="str">
        <f aca="false">IF(O180="","",IF(E180&gt;O180,"BUY","SELL"))</f>
        <v>BUY</v>
      </c>
      <c r="X180" s="32" t="str">
        <f aca="false">IF(T180="","",IF(S180&gt;T180,"BUY","SELL"))</f>
        <v>SELL</v>
      </c>
      <c r="Y180" s="34" t="n">
        <f aca="false">IF(OR(V180="",W180="",X180=""),"",IFERROR(IF(V180="BUY",1,IF(V180="SELL",-1,0))+IF(W180="BUY",1,IF(W180="SELL",-1,0))+IF(X180="BUY",1,IF(X180="SELL",-1,0)),0))</f>
        <v>0</v>
      </c>
      <c r="Z180" s="32" t="str">
        <f aca="false">IF(Y180="","",IF(Y180&gt;=2,"STRONG BUY",IF(Y180=1,"BUY",IF(Y180=0,"HOLD",IF(Y180=-1,"SELL","STRONG SELL")))))</f>
        <v>HOLD</v>
      </c>
    </row>
    <row r="181" customFormat="false" ht="15" hidden="false" customHeight="false" outlineLevel="0" collapsed="false">
      <c r="A181" s="24" t="n">
        <v>46021</v>
      </c>
      <c r="B181" s="25" t="n">
        <v>1680.53</v>
      </c>
      <c r="C181" s="25" t="n">
        <v>1694.42</v>
      </c>
      <c r="D181" s="25" t="n">
        <v>1656.68</v>
      </c>
      <c r="E181" s="25" t="n">
        <v>1675.55</v>
      </c>
      <c r="F181" s="26" t="n">
        <v>4838049</v>
      </c>
      <c r="G181" s="27" t="n">
        <f aca="false">E181-E180</f>
        <v>9.29999999999996</v>
      </c>
      <c r="H181" s="28" t="n">
        <f aca="false">G181/E180</f>
        <v>0.00558139534883718</v>
      </c>
      <c r="I181" s="29" t="n">
        <f aca="false">MAX(G181,0)</f>
        <v>9.29999999999996</v>
      </c>
      <c r="J181" s="29" t="n">
        <f aca="false">MAX(-G181,0)</f>
        <v>0</v>
      </c>
      <c r="K181" s="29" t="n">
        <f aca="false">(K180*13+I181)/14</f>
        <v>7.24712656081783</v>
      </c>
      <c r="L181" s="29" t="n">
        <f aca="false">(L180*13+J181)/14</f>
        <v>3.17733359666996</v>
      </c>
      <c r="M181" s="31" t="n">
        <f aca="false">IF(L181=0,100,100-100/(1+K181/MAX(L181,0.000001)))</f>
        <v>69.5204015491612</v>
      </c>
      <c r="N181" s="30" t="n">
        <f aca="false">AVERAGE(E162:E181)</f>
        <v>1639.975</v>
      </c>
      <c r="O181" s="30" t="n">
        <f aca="false">AVERAGE(E132:E181)</f>
        <v>1570.6092</v>
      </c>
      <c r="Q181" s="30" t="n">
        <f aca="false">Q180+(2/13)*(E181-Q180)</f>
        <v>1655.5781514661</v>
      </c>
      <c r="R181" s="30" t="n">
        <f aca="false">R180+(2/27)*(E181-R180)</f>
        <v>1624.73877431419</v>
      </c>
      <c r="S181" s="33" t="n">
        <f aca="false">Q181-R181</f>
        <v>30.8393771519109</v>
      </c>
      <c r="T181" s="33" t="n">
        <f aca="false">T180+(2/10)*(S181-T180)</f>
        <v>33.0433115650281</v>
      </c>
      <c r="U181" s="33" t="n">
        <f aca="false">S181-T181</f>
        <v>-2.2039344131172</v>
      </c>
      <c r="V181" s="32" t="str">
        <f aca="false">IF(M181="","",IF(M181&lt;Assumptions!$B$5,"BUY",IF(M181&gt;Assumptions!$B$4,"SELL","HOLD")))</f>
        <v>HOLD</v>
      </c>
      <c r="W181" s="32" t="str">
        <f aca="false">IF(O181="","",IF(E181&gt;O181,"BUY","SELL"))</f>
        <v>BUY</v>
      </c>
      <c r="X181" s="32" t="str">
        <f aca="false">IF(T181="","",IF(S181&gt;T181,"BUY","SELL"))</f>
        <v>SELL</v>
      </c>
      <c r="Y181" s="34" t="n">
        <f aca="false">IF(OR(V181="",W181="",X181=""),"",IFERROR(IF(V181="BUY",1,IF(V181="SELL",-1,0))+IF(W181="BUY",1,IF(W181="SELL",-1,0))+IF(X181="BUY",1,IF(X181="SELL",-1,0)),0))</f>
        <v>0</v>
      </c>
      <c r="Z181" s="32" t="str">
        <f aca="false">IF(Y181="","",IF(Y181&gt;=2,"STRONG BUY",IF(Y181=1,"BUY",IF(Y181=0,"HOLD",IF(Y181=-1,"SELL","STRONG SELL")))))</f>
        <v>HOLD</v>
      </c>
    </row>
    <row r="182" customFormat="false" ht="15" hidden="false" customHeight="false" outlineLevel="0" collapsed="false">
      <c r="A182" s="24" t="n">
        <v>46022</v>
      </c>
      <c r="B182" s="25" t="n">
        <v>1658.71</v>
      </c>
      <c r="C182" s="25" t="n">
        <v>1670.08</v>
      </c>
      <c r="D182" s="25" t="n">
        <v>1651.48</v>
      </c>
      <c r="E182" s="25" t="n">
        <v>1660.78</v>
      </c>
      <c r="F182" s="26" t="n">
        <v>6838783</v>
      </c>
      <c r="G182" s="27" t="n">
        <f aca="false">E182-E181</f>
        <v>-14.77</v>
      </c>
      <c r="H182" s="28" t="n">
        <f aca="false">G182/E181</f>
        <v>-0.00881501596490704</v>
      </c>
      <c r="I182" s="29" t="n">
        <f aca="false">MAX(G182,0)</f>
        <v>0</v>
      </c>
      <c r="J182" s="29" t="n">
        <f aca="false">MAX(-G182,0)</f>
        <v>14.77</v>
      </c>
      <c r="K182" s="29" t="n">
        <f aca="false">(K181*13+I182)/14</f>
        <v>6.72947466361656</v>
      </c>
      <c r="L182" s="29" t="n">
        <f aca="false">(L181*13+J182)/14</f>
        <v>4.00538119690782</v>
      </c>
      <c r="M182" s="31" t="n">
        <f aca="false">IF(L182=0,100,100-100/(1+K182/MAX(L182,0.000001)))</f>
        <v>62.688076589487</v>
      </c>
      <c r="N182" s="30" t="n">
        <f aca="false">AVERAGE(E163:E182)</f>
        <v>1644.8955</v>
      </c>
      <c r="O182" s="30" t="n">
        <f aca="false">AVERAGE(E133:E182)</f>
        <v>1573.827</v>
      </c>
      <c r="Q182" s="30" t="n">
        <f aca="false">Q181+(2/13)*(E182-Q181)</f>
        <v>1656.37843585593</v>
      </c>
      <c r="R182" s="30" t="n">
        <f aca="false">R181+(2/27)*(E182-R181)</f>
        <v>1627.40849473536</v>
      </c>
      <c r="S182" s="33" t="n">
        <f aca="false">Q182-R182</f>
        <v>28.9699411205704</v>
      </c>
      <c r="T182" s="33" t="n">
        <f aca="false">T181+(2/10)*(S182-T181)</f>
        <v>32.2286374761365</v>
      </c>
      <c r="U182" s="33" t="n">
        <f aca="false">S182-T182</f>
        <v>-3.25869635556613</v>
      </c>
      <c r="V182" s="32" t="str">
        <f aca="false">IF(M182="","",IF(M182&lt;Assumptions!$B$5,"BUY",IF(M182&gt;Assumptions!$B$4,"SELL","HOLD")))</f>
        <v>HOLD</v>
      </c>
      <c r="W182" s="32" t="str">
        <f aca="false">IF(O182="","",IF(E182&gt;O182,"BUY","SELL"))</f>
        <v>BUY</v>
      </c>
      <c r="X182" s="32" t="str">
        <f aca="false">IF(T182="","",IF(S182&gt;T182,"BUY","SELL"))</f>
        <v>SELL</v>
      </c>
      <c r="Y182" s="34" t="n">
        <f aca="false">IF(OR(V182="",W182="",X182=""),"",IFERROR(IF(V182="BUY",1,IF(V182="SELL",-1,0))+IF(W182="BUY",1,IF(W182="SELL",-1,0))+IF(X182="BUY",1,IF(X182="SELL",-1,0)),0))</f>
        <v>0</v>
      </c>
      <c r="Z182" s="32" t="str">
        <f aca="false">IF(Y182="","",IF(Y182&gt;=2,"STRONG BUY",IF(Y182=1,"BUY",IF(Y182=0,"HOLD",IF(Y182=-1,"SELL","STRONG SELL")))))</f>
        <v>HOLD</v>
      </c>
    </row>
    <row r="183" customFormat="false" ht="15" hidden="false" customHeight="false" outlineLevel="0" collapsed="false">
      <c r="A183" s="24" t="n">
        <v>46023</v>
      </c>
      <c r="B183" s="25" t="n">
        <v>1674.33</v>
      </c>
      <c r="C183" s="25" t="n">
        <v>1674.33</v>
      </c>
      <c r="D183" s="25" t="n">
        <v>1663.09</v>
      </c>
      <c r="E183" s="25" t="n">
        <v>1668.71</v>
      </c>
      <c r="F183" s="26" t="n">
        <v>2596136</v>
      </c>
      <c r="G183" s="27" t="n">
        <f aca="false">E183-E182</f>
        <v>7.93000000000006</v>
      </c>
      <c r="H183" s="28" t="n">
        <f aca="false">G183/E182</f>
        <v>0.0047748648225533</v>
      </c>
      <c r="I183" s="29" t="n">
        <f aca="false">MAX(G183,0)</f>
        <v>7.93000000000006</v>
      </c>
      <c r="J183" s="29" t="n">
        <f aca="false">MAX(-G183,0)</f>
        <v>0</v>
      </c>
      <c r="K183" s="29" t="n">
        <f aca="false">(K182*13+I183)/14</f>
        <v>6.81522647335824</v>
      </c>
      <c r="L183" s="29" t="n">
        <f aca="false">(L182*13+J183)/14</f>
        <v>3.71928253998583</v>
      </c>
      <c r="M183" s="31" t="n">
        <f aca="false">IF(L183=0,100,100-100/(1+K183/MAX(L183,0.000001)))</f>
        <v>64.6942962859056</v>
      </c>
      <c r="N183" s="30" t="n">
        <f aca="false">AVERAGE(E164:E183)</f>
        <v>1649.711</v>
      </c>
      <c r="O183" s="30" t="n">
        <f aca="false">AVERAGE(E134:E183)</f>
        <v>1577.5502</v>
      </c>
      <c r="Q183" s="30" t="n">
        <f aca="false">Q182+(2/13)*(E183-Q182)</f>
        <v>1658.2755995704</v>
      </c>
      <c r="R183" s="30" t="n">
        <f aca="false">R182+(2/27)*(E183-R182)</f>
        <v>1630.46786549571</v>
      </c>
      <c r="S183" s="33" t="n">
        <f aca="false">Q183-R183</f>
        <v>27.8077340746986</v>
      </c>
      <c r="T183" s="33" t="n">
        <f aca="false">T182+(2/10)*(S183-T182)</f>
        <v>31.344456795849</v>
      </c>
      <c r="U183" s="33" t="n">
        <f aca="false">S183-T183</f>
        <v>-3.53672272115035</v>
      </c>
      <c r="V183" s="32" t="str">
        <f aca="false">IF(M183="","",IF(M183&lt;Assumptions!$B$5,"BUY",IF(M183&gt;Assumptions!$B$4,"SELL","HOLD")))</f>
        <v>HOLD</v>
      </c>
      <c r="W183" s="32" t="str">
        <f aca="false">IF(O183="","",IF(E183&gt;O183,"BUY","SELL"))</f>
        <v>BUY</v>
      </c>
      <c r="X183" s="32" t="str">
        <f aca="false">IF(T183="","",IF(S183&gt;T183,"BUY","SELL"))</f>
        <v>SELL</v>
      </c>
      <c r="Y183" s="34" t="n">
        <f aca="false">IF(OR(V183="",W183="",X183=""),"",IFERROR(IF(V183="BUY",1,IF(V183="SELL",-1,0))+IF(W183="BUY",1,IF(W183="SELL",-1,0))+IF(X183="BUY",1,IF(X183="SELL",-1,0)),0))</f>
        <v>0</v>
      </c>
      <c r="Z183" s="32" t="str">
        <f aca="false">IF(Y183="","",IF(Y183&gt;=2,"STRONG BUY",IF(Y183=1,"BUY",IF(Y183=0,"HOLD",IF(Y183=-1,"SELL","STRONG SELL")))))</f>
        <v>HOLD</v>
      </c>
    </row>
    <row r="184" customFormat="false" ht="15" hidden="false" customHeight="false" outlineLevel="0" collapsed="false">
      <c r="A184" s="24" t="n">
        <v>46024</v>
      </c>
      <c r="B184" s="25" t="n">
        <v>1668.83</v>
      </c>
      <c r="C184" s="25" t="n">
        <v>1668.83</v>
      </c>
      <c r="D184" s="25" t="n">
        <v>1663.03</v>
      </c>
      <c r="E184" s="25" t="n">
        <v>1665.93</v>
      </c>
      <c r="F184" s="26" t="n">
        <v>1486282</v>
      </c>
      <c r="G184" s="27" t="n">
        <f aca="false">E184-E183</f>
        <v>-2.77999999999997</v>
      </c>
      <c r="H184" s="28" t="n">
        <f aca="false">G184/E183</f>
        <v>-0.00166595753606077</v>
      </c>
      <c r="I184" s="29" t="n">
        <f aca="false">MAX(G184,0)</f>
        <v>0</v>
      </c>
      <c r="J184" s="29" t="n">
        <f aca="false">MAX(-G184,0)</f>
        <v>2.77999999999997</v>
      </c>
      <c r="K184" s="29" t="n">
        <f aca="false">(K183*13+I184)/14</f>
        <v>6.32842458240408</v>
      </c>
      <c r="L184" s="29" t="n">
        <f aca="false">(L183*13+J184)/14</f>
        <v>3.65219092998684</v>
      </c>
      <c r="M184" s="31" t="n">
        <f aca="false">IF(L184=0,100,100-100/(1+K184/MAX(L184,0.000001)))</f>
        <v>63.4071573496379</v>
      </c>
      <c r="N184" s="30" t="n">
        <f aca="false">AVERAGE(E165:E184)</f>
        <v>1653.473</v>
      </c>
      <c r="O184" s="30" t="n">
        <f aca="false">AVERAGE(E135:E184)</f>
        <v>1581.2474</v>
      </c>
      <c r="Q184" s="30" t="n">
        <f aca="false">Q183+(2/13)*(E184-Q183)</f>
        <v>1659.4531996365</v>
      </c>
      <c r="R184" s="30" t="n">
        <f aca="false">R183+(2/27)*(E184-R183)</f>
        <v>1633.0946902738</v>
      </c>
      <c r="S184" s="33" t="n">
        <f aca="false">Q184-R184</f>
        <v>26.3585093626944</v>
      </c>
      <c r="T184" s="33" t="n">
        <f aca="false">T183+(2/10)*(S184-T183)</f>
        <v>30.347267309218</v>
      </c>
      <c r="U184" s="33" t="n">
        <f aca="false">S184-T184</f>
        <v>-3.98875794652368</v>
      </c>
      <c r="V184" s="32" t="str">
        <f aca="false">IF(M184="","",IF(M184&lt;Assumptions!$B$5,"BUY",IF(M184&gt;Assumptions!$B$4,"SELL","HOLD")))</f>
        <v>HOLD</v>
      </c>
      <c r="W184" s="32" t="str">
        <f aca="false">IF(O184="","",IF(E184&gt;O184,"BUY","SELL"))</f>
        <v>BUY</v>
      </c>
      <c r="X184" s="32" t="str">
        <f aca="false">IF(T184="","",IF(S184&gt;T184,"BUY","SELL"))</f>
        <v>SELL</v>
      </c>
      <c r="Y184" s="34" t="n">
        <f aca="false">IF(OR(V184="",W184="",X184=""),"",IFERROR(IF(V184="BUY",1,IF(V184="SELL",-1,0))+IF(W184="BUY",1,IF(W184="SELL",-1,0))+IF(X184="BUY",1,IF(X184="SELL",-1,0)),0))</f>
        <v>0</v>
      </c>
      <c r="Z184" s="32" t="str">
        <f aca="false">IF(Y184="","",IF(Y184&gt;=2,"STRONG BUY",IF(Y184=1,"BUY",IF(Y184=0,"HOLD",IF(Y184=-1,"SELL","STRONG SELL")))))</f>
        <v>HOLD</v>
      </c>
    </row>
    <row r="185" customFormat="false" ht="15" hidden="false" customHeight="false" outlineLevel="0" collapsed="false">
      <c r="A185" s="24" t="n">
        <v>46027</v>
      </c>
      <c r="B185" s="25" t="n">
        <v>1632.29</v>
      </c>
      <c r="C185" s="25" t="n">
        <v>1655.73</v>
      </c>
      <c r="D185" s="25" t="n">
        <v>1632.29</v>
      </c>
      <c r="E185" s="25" t="n">
        <v>1644.01</v>
      </c>
      <c r="F185" s="26" t="n">
        <v>4842360</v>
      </c>
      <c r="G185" s="27" t="n">
        <f aca="false">E185-E184</f>
        <v>-21.9200000000001</v>
      </c>
      <c r="H185" s="28" t="n">
        <f aca="false">G185/E184</f>
        <v>-0.0131578157545636</v>
      </c>
      <c r="I185" s="29" t="n">
        <f aca="false">MAX(G185,0)</f>
        <v>0</v>
      </c>
      <c r="J185" s="29" t="n">
        <f aca="false">MAX(-G185,0)</f>
        <v>21.9200000000001</v>
      </c>
      <c r="K185" s="29" t="n">
        <f aca="false">(K184*13+I185)/14</f>
        <v>5.8763942550895</v>
      </c>
      <c r="L185" s="29" t="n">
        <f aca="false">(L184*13+J185)/14</f>
        <v>4.95703443498778</v>
      </c>
      <c r="M185" s="31" t="n">
        <f aca="false">IF(L185=0,100,100-100/(1+K185/MAX(L185,0.000001)))</f>
        <v>54.2431618207068</v>
      </c>
      <c r="N185" s="30" t="n">
        <f aca="false">AVERAGE(E166:E185)</f>
        <v>1655.6935</v>
      </c>
      <c r="O185" s="30" t="n">
        <f aca="false">AVERAGE(E136:E185)</f>
        <v>1584.417</v>
      </c>
      <c r="Q185" s="30" t="n">
        <f aca="false">Q184+(2/13)*(E185-Q184)</f>
        <v>1657.07732276934</v>
      </c>
      <c r="R185" s="30" t="n">
        <f aca="false">R184+(2/27)*(E185-R184)</f>
        <v>1633.903231735</v>
      </c>
      <c r="S185" s="33" t="n">
        <f aca="false">Q185-R185</f>
        <v>23.1740910343412</v>
      </c>
      <c r="T185" s="33" t="n">
        <f aca="false">T184+(2/10)*(S185-T184)</f>
        <v>28.9126320542427</v>
      </c>
      <c r="U185" s="33" t="n">
        <f aca="false">S185-T185</f>
        <v>-5.73854101990143</v>
      </c>
      <c r="V185" s="32" t="str">
        <f aca="false">IF(M185="","",IF(M185&lt;Assumptions!$B$5,"BUY",IF(M185&gt;Assumptions!$B$4,"SELL","HOLD")))</f>
        <v>HOLD</v>
      </c>
      <c r="W185" s="32" t="str">
        <f aca="false">IF(O185="","",IF(E185&gt;O185,"BUY","SELL"))</f>
        <v>BUY</v>
      </c>
      <c r="X185" s="32" t="str">
        <f aca="false">IF(T185="","",IF(S185&gt;T185,"BUY","SELL"))</f>
        <v>SELL</v>
      </c>
      <c r="Y185" s="34" t="n">
        <f aca="false">IF(OR(V185="",W185="",X185=""),"",IFERROR(IF(V185="BUY",1,IF(V185="SELL",-1,0))+IF(W185="BUY",1,IF(W185="SELL",-1,0))+IF(X185="BUY",1,IF(X185="SELL",-1,0)),0))</f>
        <v>0</v>
      </c>
      <c r="Z185" s="32" t="str">
        <f aca="false">IF(Y185="","",IF(Y185&gt;=2,"STRONG BUY",IF(Y185=1,"BUY",IF(Y185=0,"HOLD",IF(Y185=-1,"SELL","STRONG SELL")))))</f>
        <v>HOLD</v>
      </c>
    </row>
    <row r="186" customFormat="false" ht="15" hidden="false" customHeight="false" outlineLevel="0" collapsed="false">
      <c r="A186" s="24" t="n">
        <v>46028</v>
      </c>
      <c r="B186" s="25" t="n">
        <v>1652.6</v>
      </c>
      <c r="C186" s="25" t="n">
        <v>1652.6</v>
      </c>
      <c r="D186" s="25" t="n">
        <v>1649.18</v>
      </c>
      <c r="E186" s="25" t="n">
        <v>1650.89</v>
      </c>
      <c r="F186" s="26" t="n">
        <v>520450</v>
      </c>
      <c r="G186" s="27" t="n">
        <f aca="false">E186-E185</f>
        <v>6.88000000000011</v>
      </c>
      <c r="H186" s="28" t="n">
        <f aca="false">G186/E185</f>
        <v>0.00418488938631767</v>
      </c>
      <c r="I186" s="29" t="n">
        <f aca="false">MAX(G186,0)</f>
        <v>6.88000000000011</v>
      </c>
      <c r="J186" s="29" t="n">
        <f aca="false">MAX(-G186,0)</f>
        <v>0</v>
      </c>
      <c r="K186" s="29" t="n">
        <f aca="false">(K185*13+I186)/14</f>
        <v>5.94808037972597</v>
      </c>
      <c r="L186" s="29" t="n">
        <f aca="false">(L185*13+J186)/14</f>
        <v>4.60296054677437</v>
      </c>
      <c r="M186" s="31" t="n">
        <f aca="false">IF(L186=0,100,100-100/(1+K186/MAX(L186,0.000001)))</f>
        <v>56.3743465802182</v>
      </c>
      <c r="N186" s="30" t="n">
        <f aca="false">AVERAGE(E167:E186)</f>
        <v>1658.0435</v>
      </c>
      <c r="O186" s="30" t="n">
        <f aca="false">AVERAGE(E137:E186)</f>
        <v>1587.2506</v>
      </c>
      <c r="Q186" s="30" t="n">
        <f aca="false">Q185+(2/13)*(E186-Q185)</f>
        <v>1656.12542695867</v>
      </c>
      <c r="R186" s="30" t="n">
        <f aca="false">R185+(2/27)*(E186-R185)</f>
        <v>1635.16151086574</v>
      </c>
      <c r="S186" s="33" t="n">
        <f aca="false">Q186-R186</f>
        <v>20.9639160929326</v>
      </c>
      <c r="T186" s="33" t="n">
        <f aca="false">T185+(2/10)*(S186-T185)</f>
        <v>27.3228888619807</v>
      </c>
      <c r="U186" s="33" t="n">
        <f aca="false">S186-T186</f>
        <v>-6.3589727690481</v>
      </c>
      <c r="V186" s="32" t="str">
        <f aca="false">IF(M186="","",IF(M186&lt;Assumptions!$B$5,"BUY",IF(M186&gt;Assumptions!$B$4,"SELL","HOLD")))</f>
        <v>HOLD</v>
      </c>
      <c r="W186" s="32" t="str">
        <f aca="false">IF(O186="","",IF(E186&gt;O186,"BUY","SELL"))</f>
        <v>BUY</v>
      </c>
      <c r="X186" s="32" t="str">
        <f aca="false">IF(T186="","",IF(S186&gt;T186,"BUY","SELL"))</f>
        <v>SELL</v>
      </c>
      <c r="Y186" s="34" t="n">
        <f aca="false">IF(OR(V186="",W186="",X186=""),"",IFERROR(IF(V186="BUY",1,IF(V186="SELL",-1,0))+IF(W186="BUY",1,IF(W186="SELL",-1,0))+IF(X186="BUY",1,IF(X186="SELL",-1,0)),0))</f>
        <v>0</v>
      </c>
      <c r="Z186" s="32" t="str">
        <f aca="false">IF(Y186="","",IF(Y186&gt;=2,"STRONG BUY",IF(Y186=1,"BUY",IF(Y186=0,"HOLD",IF(Y186=-1,"SELL","STRONG SELL")))))</f>
        <v>HOLD</v>
      </c>
    </row>
    <row r="187" customFormat="false" ht="15" hidden="false" customHeight="false" outlineLevel="0" collapsed="false">
      <c r="A187" s="24" t="n">
        <v>46029</v>
      </c>
      <c r="B187" s="25" t="n">
        <v>1646.65</v>
      </c>
      <c r="C187" s="25" t="n">
        <v>1669.37</v>
      </c>
      <c r="D187" s="25" t="n">
        <v>1631.39</v>
      </c>
      <c r="E187" s="25" t="n">
        <v>1650.38</v>
      </c>
      <c r="F187" s="26" t="n">
        <v>5064566</v>
      </c>
      <c r="G187" s="27" t="n">
        <f aca="false">E187-E186</f>
        <v>-0.509999999999991</v>
      </c>
      <c r="H187" s="28" t="n">
        <f aca="false">G187/E186</f>
        <v>-0.000308924277208046</v>
      </c>
      <c r="I187" s="29" t="n">
        <f aca="false">MAX(G187,0)</f>
        <v>0</v>
      </c>
      <c r="J187" s="29" t="n">
        <f aca="false">MAX(-G187,0)</f>
        <v>0.509999999999991</v>
      </c>
      <c r="K187" s="29" t="n">
        <f aca="false">(K186*13+I187)/14</f>
        <v>5.52321749545983</v>
      </c>
      <c r="L187" s="29" t="n">
        <f aca="false">(L186*13+J187)/14</f>
        <v>4.31060622200477</v>
      </c>
      <c r="M187" s="31" t="n">
        <f aca="false">IF(L187=0,100,100-100/(1+K187/MAX(L187,0.000001)))</f>
        <v>56.1655125630404</v>
      </c>
      <c r="N187" s="30" t="n">
        <f aca="false">AVERAGE(E168:E187)</f>
        <v>1658.791</v>
      </c>
      <c r="O187" s="30" t="n">
        <f aca="false">AVERAGE(E138:E187)</f>
        <v>1590.5242</v>
      </c>
      <c r="Q187" s="30" t="n">
        <f aca="false">Q186+(2/13)*(E187-Q186)</f>
        <v>1655.24151511888</v>
      </c>
      <c r="R187" s="30" t="n">
        <f aca="false">R186+(2/27)*(E187-R186)</f>
        <v>1636.28880635717</v>
      </c>
      <c r="S187" s="33" t="n">
        <f aca="false">Q187-R187</f>
        <v>18.9527087617098</v>
      </c>
      <c r="T187" s="33" t="n">
        <f aca="false">T186+(2/10)*(S187-T186)</f>
        <v>25.6488528419265</v>
      </c>
      <c r="U187" s="33" t="n">
        <f aca="false">S187-T187</f>
        <v>-6.69614408021668</v>
      </c>
      <c r="V187" s="32" t="str">
        <f aca="false">IF(M187="","",IF(M187&lt;Assumptions!$B$5,"BUY",IF(M187&gt;Assumptions!$B$4,"SELL","HOLD")))</f>
        <v>HOLD</v>
      </c>
      <c r="W187" s="32" t="str">
        <f aca="false">IF(O187="","",IF(E187&gt;O187,"BUY","SELL"))</f>
        <v>BUY</v>
      </c>
      <c r="X187" s="32" t="str">
        <f aca="false">IF(T187="","",IF(S187&gt;T187,"BUY","SELL"))</f>
        <v>SELL</v>
      </c>
      <c r="Y187" s="34" t="n">
        <f aca="false">IF(OR(V187="",W187="",X187=""),"",IFERROR(IF(V187="BUY",1,IF(V187="SELL",-1,0))+IF(W187="BUY",1,IF(W187="SELL",-1,0))+IF(X187="BUY",1,IF(X187="SELL",-1,0)),0))</f>
        <v>0</v>
      </c>
      <c r="Z187" s="32" t="str">
        <f aca="false">IF(Y187="","",IF(Y187&gt;=2,"STRONG BUY",IF(Y187=1,"BUY",IF(Y187=0,"HOLD",IF(Y187=-1,"SELL","STRONG SELL")))))</f>
        <v>HOLD</v>
      </c>
    </row>
    <row r="188" customFormat="false" ht="15" hidden="false" customHeight="false" outlineLevel="0" collapsed="false">
      <c r="A188" s="24" t="n">
        <v>46030</v>
      </c>
      <c r="B188" s="25" t="n">
        <v>1638.06</v>
      </c>
      <c r="C188" s="25" t="n">
        <v>1648.3</v>
      </c>
      <c r="D188" s="25" t="n">
        <v>1630.72</v>
      </c>
      <c r="E188" s="25" t="n">
        <v>1639.51</v>
      </c>
      <c r="F188" s="26" t="n">
        <v>2924196</v>
      </c>
      <c r="G188" s="27" t="n">
        <f aca="false">E188-E187</f>
        <v>-10.8700000000001</v>
      </c>
      <c r="H188" s="28" t="n">
        <f aca="false">G188/E187</f>
        <v>-0.00658636192876799</v>
      </c>
      <c r="I188" s="29" t="n">
        <f aca="false">MAX(G188,0)</f>
        <v>0</v>
      </c>
      <c r="J188" s="29" t="n">
        <f aca="false">MAX(-G188,0)</f>
        <v>10.8700000000001</v>
      </c>
      <c r="K188" s="29" t="n">
        <f aca="false">(K187*13+I188)/14</f>
        <v>5.12870196006984</v>
      </c>
      <c r="L188" s="29" t="n">
        <f aca="false">(L187*13+J188)/14</f>
        <v>4.77913434900444</v>
      </c>
      <c r="M188" s="31" t="n">
        <f aca="false">IF(L188=0,100,100-100/(1+K188/MAX(L188,0.000001)))</f>
        <v>51.7640966209002</v>
      </c>
      <c r="N188" s="30" t="n">
        <f aca="false">AVERAGE(E169:E188)</f>
        <v>1658.8075</v>
      </c>
      <c r="O188" s="30" t="n">
        <f aca="false">AVERAGE(E139:E188)</f>
        <v>1593.3112</v>
      </c>
      <c r="Q188" s="30" t="n">
        <f aca="false">Q187+(2/13)*(E188-Q187)</f>
        <v>1652.82128202367</v>
      </c>
      <c r="R188" s="30" t="n">
        <f aca="false">R187+(2/27)*(E188-R187)</f>
        <v>1636.52741329367</v>
      </c>
      <c r="S188" s="33" t="n">
        <f aca="false">Q188-R188</f>
        <v>16.2938687299918</v>
      </c>
      <c r="T188" s="33" t="n">
        <f aca="false">T187+(2/10)*(S188-T187)</f>
        <v>23.7778560195395</v>
      </c>
      <c r="U188" s="33" t="n">
        <f aca="false">S188-T188</f>
        <v>-7.48398728954775</v>
      </c>
      <c r="V188" s="32" t="str">
        <f aca="false">IF(M188="","",IF(M188&lt;Assumptions!$B$5,"BUY",IF(M188&gt;Assumptions!$B$4,"SELL","HOLD")))</f>
        <v>HOLD</v>
      </c>
      <c r="W188" s="32" t="str">
        <f aca="false">IF(O188="","",IF(E188&gt;O188,"BUY","SELL"))</f>
        <v>BUY</v>
      </c>
      <c r="X188" s="32" t="str">
        <f aca="false">IF(T188="","",IF(S188&gt;T188,"BUY","SELL"))</f>
        <v>SELL</v>
      </c>
      <c r="Y188" s="34" t="n">
        <f aca="false">IF(OR(V188="",W188="",X188=""),"",IFERROR(IF(V188="BUY",1,IF(V188="SELL",-1,0))+IF(W188="BUY",1,IF(W188="SELL",-1,0))+IF(X188="BUY",1,IF(X188="SELL",-1,0)),0))</f>
        <v>0</v>
      </c>
      <c r="Z188" s="32" t="str">
        <f aca="false">IF(Y188="","",IF(Y188&gt;=2,"STRONG BUY",IF(Y188=1,"BUY",IF(Y188=0,"HOLD",IF(Y188=-1,"SELL","STRONG SELL")))))</f>
        <v>HOLD</v>
      </c>
    </row>
    <row r="189" customFormat="false" ht="15" hidden="false" customHeight="false" outlineLevel="0" collapsed="false">
      <c r="A189" s="24" t="n">
        <v>46031</v>
      </c>
      <c r="B189" s="25" t="n">
        <v>1643.44</v>
      </c>
      <c r="C189" s="25" t="n">
        <v>1651.38</v>
      </c>
      <c r="D189" s="25" t="n">
        <v>1643.44</v>
      </c>
      <c r="E189" s="25" t="n">
        <v>1647.41</v>
      </c>
      <c r="F189" s="26" t="n">
        <v>5427037</v>
      </c>
      <c r="G189" s="27" t="n">
        <f aca="false">E189-E188</f>
        <v>7.90000000000009</v>
      </c>
      <c r="H189" s="28" t="n">
        <f aca="false">G189/E188</f>
        <v>0.00481851284835109</v>
      </c>
      <c r="I189" s="29" t="n">
        <f aca="false">MAX(G189,0)</f>
        <v>7.90000000000009</v>
      </c>
      <c r="J189" s="29" t="n">
        <f aca="false">MAX(-G189,0)</f>
        <v>0</v>
      </c>
      <c r="K189" s="29" t="n">
        <f aca="false">(K188*13+I189)/14</f>
        <v>5.32665182006486</v>
      </c>
      <c r="L189" s="29" t="n">
        <f aca="false">(L188*13+J189)/14</f>
        <v>4.43776760978984</v>
      </c>
      <c r="M189" s="31" t="n">
        <f aca="false">IF(L189=0,100,100-100/(1+K189/MAX(L189,0.000001)))</f>
        <v>54.5516490594273</v>
      </c>
      <c r="N189" s="30" t="n">
        <f aca="false">AVERAGE(E170:E189)</f>
        <v>1659.429</v>
      </c>
      <c r="O189" s="30" t="n">
        <f aca="false">AVERAGE(E140:E189)</f>
        <v>1596.093</v>
      </c>
      <c r="Q189" s="30" t="n">
        <f aca="false">Q188+(2/13)*(E189-Q188)</f>
        <v>1651.98877709695</v>
      </c>
      <c r="R189" s="30" t="n">
        <f aca="false">R188+(2/27)*(E189-R188)</f>
        <v>1637.33353082748</v>
      </c>
      <c r="S189" s="33" t="n">
        <f aca="false">Q189-R189</f>
        <v>14.6552462694719</v>
      </c>
      <c r="T189" s="33" t="n">
        <f aca="false">T188+(2/10)*(S189-T188)</f>
        <v>21.953334069526</v>
      </c>
      <c r="U189" s="33" t="n">
        <f aca="false">S189-T189</f>
        <v>-7.29808780005408</v>
      </c>
      <c r="V189" s="32" t="str">
        <f aca="false">IF(M189="","",IF(M189&lt;Assumptions!$B$5,"BUY",IF(M189&gt;Assumptions!$B$4,"SELL","HOLD")))</f>
        <v>HOLD</v>
      </c>
      <c r="W189" s="32" t="str">
        <f aca="false">IF(O189="","",IF(E189&gt;O189,"BUY","SELL"))</f>
        <v>BUY</v>
      </c>
      <c r="X189" s="32" t="str">
        <f aca="false">IF(T189="","",IF(S189&gt;T189,"BUY","SELL"))</f>
        <v>SELL</v>
      </c>
      <c r="Y189" s="34" t="n">
        <f aca="false">IF(OR(V189="",W189="",X189=""),"",IFERROR(IF(V189="BUY",1,IF(V189="SELL",-1,0))+IF(W189="BUY",1,IF(W189="SELL",-1,0))+IF(X189="BUY",1,IF(X189="SELL",-1,0)),0))</f>
        <v>0</v>
      </c>
      <c r="Z189" s="32" t="str">
        <f aca="false">IF(Y189="","",IF(Y189&gt;=2,"STRONG BUY",IF(Y189=1,"BUY",IF(Y189=0,"HOLD",IF(Y189=-1,"SELL","STRONG SELL")))))</f>
        <v>HOLD</v>
      </c>
    </row>
    <row r="190" customFormat="false" ht="15" hidden="false" customHeight="false" outlineLevel="0" collapsed="false">
      <c r="A190" s="24" t="n">
        <v>46034</v>
      </c>
      <c r="B190" s="25" t="n">
        <v>1660.6</v>
      </c>
      <c r="C190" s="25" t="n">
        <v>1660.6</v>
      </c>
      <c r="D190" s="25" t="n">
        <v>1649.06</v>
      </c>
      <c r="E190" s="25" t="n">
        <v>1654.83</v>
      </c>
      <c r="F190" s="26" t="n">
        <v>3851267</v>
      </c>
      <c r="G190" s="27" t="n">
        <f aca="false">E190-E189</f>
        <v>7.41999999999985</v>
      </c>
      <c r="H190" s="28" t="n">
        <f aca="false">G190/E189</f>
        <v>0.0045040396743979</v>
      </c>
      <c r="I190" s="29" t="n">
        <f aca="false">MAX(G190,0)</f>
        <v>7.41999999999985</v>
      </c>
      <c r="J190" s="29" t="n">
        <f aca="false">MAX(-G190,0)</f>
        <v>0</v>
      </c>
      <c r="K190" s="29" t="n">
        <f aca="false">(K189*13+I190)/14</f>
        <v>5.47617669006022</v>
      </c>
      <c r="L190" s="29" t="n">
        <f aca="false">(L189*13+J190)/14</f>
        <v>4.12078420909056</v>
      </c>
      <c r="M190" s="31" t="n">
        <f aca="false">IF(L190=0,100,100-100/(1+K190/MAX(L190,0.000001)))</f>
        <v>57.0615713412441</v>
      </c>
      <c r="N190" s="30" t="n">
        <f aca="false">AVERAGE(E171:E190)</f>
        <v>1660.331</v>
      </c>
      <c r="O190" s="30" t="n">
        <f aca="false">AVERAGE(E141:E190)</f>
        <v>1598.601</v>
      </c>
      <c r="Q190" s="30" t="n">
        <f aca="false">Q189+(2/13)*(E190-Q189)</f>
        <v>1652.4258883128</v>
      </c>
      <c r="R190" s="30" t="n">
        <f aca="false">R189+(2/27)*(E190-R189)</f>
        <v>1638.629565581</v>
      </c>
      <c r="S190" s="33" t="n">
        <f aca="false">Q190-R190</f>
        <v>13.7963227318057</v>
      </c>
      <c r="T190" s="33" t="n">
        <f aca="false">T189+(2/10)*(S190-T189)</f>
        <v>20.321931801982</v>
      </c>
      <c r="U190" s="33" t="n">
        <f aca="false">S190-T190</f>
        <v>-6.52560907017624</v>
      </c>
      <c r="V190" s="32" t="str">
        <f aca="false">IF(M190="","",IF(M190&lt;Assumptions!$B$5,"BUY",IF(M190&gt;Assumptions!$B$4,"SELL","HOLD")))</f>
        <v>HOLD</v>
      </c>
      <c r="W190" s="32" t="str">
        <f aca="false">IF(O190="","",IF(E190&gt;O190,"BUY","SELL"))</f>
        <v>BUY</v>
      </c>
      <c r="X190" s="32" t="str">
        <f aca="false">IF(T190="","",IF(S190&gt;T190,"BUY","SELL"))</f>
        <v>SELL</v>
      </c>
      <c r="Y190" s="34" t="n">
        <f aca="false">IF(OR(V190="",W190="",X190=""),"",IFERROR(IF(V190="BUY",1,IF(V190="SELL",-1,0))+IF(W190="BUY",1,IF(W190="SELL",-1,0))+IF(X190="BUY",1,IF(X190="SELL",-1,0)),0))</f>
        <v>0</v>
      </c>
      <c r="Z190" s="32" t="str">
        <f aca="false">IF(Y190="","",IF(Y190&gt;=2,"STRONG BUY",IF(Y190=1,"BUY",IF(Y190=0,"HOLD",IF(Y190=-1,"SELL","STRONG SELL")))))</f>
        <v>HOLD</v>
      </c>
    </row>
    <row r="191" customFormat="false" ht="15" hidden="false" customHeight="false" outlineLevel="0" collapsed="false">
      <c r="A191" s="24" t="n">
        <v>46035</v>
      </c>
      <c r="B191" s="25" t="n">
        <v>1646.73</v>
      </c>
      <c r="C191" s="25" t="n">
        <v>1649.56</v>
      </c>
      <c r="D191" s="25" t="n">
        <v>1643.28</v>
      </c>
      <c r="E191" s="25" t="n">
        <v>1646.42</v>
      </c>
      <c r="F191" s="26" t="n">
        <v>4483891</v>
      </c>
      <c r="G191" s="27" t="n">
        <f aca="false">E191-E190</f>
        <v>-8.40999999999985</v>
      </c>
      <c r="H191" s="28" t="n">
        <f aca="false">G191/E190</f>
        <v>-0.00508209302466106</v>
      </c>
      <c r="I191" s="29" t="n">
        <f aca="false">MAX(G191,0)</f>
        <v>0</v>
      </c>
      <c r="J191" s="29" t="n">
        <f aca="false">MAX(-G191,0)</f>
        <v>8.40999999999985</v>
      </c>
      <c r="K191" s="29" t="n">
        <f aca="false">(K190*13+I191)/14</f>
        <v>5.08502121219877</v>
      </c>
      <c r="L191" s="29" t="n">
        <f aca="false">(L190*13+J191)/14</f>
        <v>4.42715676558408</v>
      </c>
      <c r="M191" s="31" t="n">
        <f aca="false">IF(L191=0,100,100-100/(1+K191/MAX(L191,0.000001)))</f>
        <v>53.4580116570108</v>
      </c>
      <c r="N191" s="30" t="n">
        <f aca="false">AVERAGE(E172:E191)</f>
        <v>1659.7045</v>
      </c>
      <c r="O191" s="30" t="n">
        <f aca="false">AVERAGE(E142:E191)</f>
        <v>1600.741</v>
      </c>
      <c r="Q191" s="30" t="n">
        <f aca="false">Q190+(2/13)*(E191-Q190)</f>
        <v>1651.50190549545</v>
      </c>
      <c r="R191" s="30" t="n">
        <f aca="false">R190+(2/27)*(E191-R190)</f>
        <v>1639.20663479722</v>
      </c>
      <c r="S191" s="33" t="n">
        <f aca="false">Q191-R191</f>
        <v>12.2952706982289</v>
      </c>
      <c r="T191" s="33" t="n">
        <f aca="false">T190+(2/10)*(S191-T190)</f>
        <v>18.7165995812314</v>
      </c>
      <c r="U191" s="33" t="n">
        <f aca="false">S191-T191</f>
        <v>-6.42132888300243</v>
      </c>
      <c r="V191" s="32" t="str">
        <f aca="false">IF(M191="","",IF(M191&lt;Assumptions!$B$5,"BUY",IF(M191&gt;Assumptions!$B$4,"SELL","HOLD")))</f>
        <v>HOLD</v>
      </c>
      <c r="W191" s="32" t="str">
        <f aca="false">IF(O191="","",IF(E191&gt;O191,"BUY","SELL"))</f>
        <v>BUY</v>
      </c>
      <c r="X191" s="32" t="str">
        <f aca="false">IF(T191="","",IF(S191&gt;T191,"BUY","SELL"))</f>
        <v>SELL</v>
      </c>
      <c r="Y191" s="34" t="n">
        <f aca="false">IF(OR(V191="",W191="",X191=""),"",IFERROR(IF(V191="BUY",1,IF(V191="SELL",-1,0))+IF(W191="BUY",1,IF(W191="SELL",-1,0))+IF(X191="BUY",1,IF(X191="SELL",-1,0)),0))</f>
        <v>0</v>
      </c>
      <c r="Z191" s="32" t="str">
        <f aca="false">IF(Y191="","",IF(Y191&gt;=2,"STRONG BUY",IF(Y191=1,"BUY",IF(Y191=0,"HOLD",IF(Y191=-1,"SELL","STRONG SELL")))))</f>
        <v>HOLD</v>
      </c>
    </row>
    <row r="192" customFormat="false" ht="15" hidden="false" customHeight="false" outlineLevel="0" collapsed="false">
      <c r="A192" s="24" t="n">
        <v>46036</v>
      </c>
      <c r="B192" s="25" t="n">
        <v>1652.01</v>
      </c>
      <c r="C192" s="25" t="n">
        <v>1653.05</v>
      </c>
      <c r="D192" s="25" t="n">
        <v>1652.01</v>
      </c>
      <c r="E192" s="25" t="n">
        <v>1652.53</v>
      </c>
      <c r="F192" s="26" t="n">
        <v>5650570</v>
      </c>
      <c r="G192" s="27" t="n">
        <f aca="false">E192-E191</f>
        <v>6.1099999999999</v>
      </c>
      <c r="H192" s="28" t="n">
        <f aca="false">G192/E191</f>
        <v>0.00371108222689223</v>
      </c>
      <c r="I192" s="29" t="n">
        <f aca="false">MAX(G192,0)</f>
        <v>6.1099999999999</v>
      </c>
      <c r="J192" s="29" t="n">
        <f aca="false">MAX(-G192,0)</f>
        <v>0</v>
      </c>
      <c r="K192" s="29" t="n">
        <f aca="false">(K191*13+I192)/14</f>
        <v>5.158233982756</v>
      </c>
      <c r="L192" s="29" t="n">
        <f aca="false">(L191*13+J192)/14</f>
        <v>4.11093128232808</v>
      </c>
      <c r="M192" s="31" t="n">
        <f aca="false">IF(L192=0,100,100-100/(1+K192/MAX(L192,0.000001)))</f>
        <v>55.6493905895334</v>
      </c>
      <c r="N192" s="30" t="n">
        <f aca="false">AVERAGE(E173:E192)</f>
        <v>1659.2865</v>
      </c>
      <c r="O192" s="30" t="n">
        <f aca="false">AVERAGE(E143:E192)</f>
        <v>1602.9856</v>
      </c>
      <c r="Q192" s="30" t="n">
        <f aca="false">Q191+(2/13)*(E192-Q191)</f>
        <v>1651.66007388076</v>
      </c>
      <c r="R192" s="30" t="n">
        <f aca="false">R191+(2/27)*(E192-R191)</f>
        <v>1640.19355073817</v>
      </c>
      <c r="S192" s="33" t="n">
        <f aca="false">Q192-R192</f>
        <v>11.4665231425977</v>
      </c>
      <c r="T192" s="33" t="n">
        <f aca="false">T191+(2/10)*(S192-T191)</f>
        <v>17.2665842935046</v>
      </c>
      <c r="U192" s="33" t="n">
        <f aca="false">S192-T192</f>
        <v>-5.80006115090695</v>
      </c>
      <c r="V192" s="32" t="str">
        <f aca="false">IF(M192="","",IF(M192&lt;Assumptions!$B$5,"BUY",IF(M192&gt;Assumptions!$B$4,"SELL","HOLD")))</f>
        <v>HOLD</v>
      </c>
      <c r="W192" s="32" t="str">
        <f aca="false">IF(O192="","",IF(E192&gt;O192,"BUY","SELL"))</f>
        <v>BUY</v>
      </c>
      <c r="X192" s="32" t="str">
        <f aca="false">IF(T192="","",IF(S192&gt;T192,"BUY","SELL"))</f>
        <v>SELL</v>
      </c>
      <c r="Y192" s="34" t="n">
        <f aca="false">IF(OR(V192="",W192="",X192=""),"",IFERROR(IF(V192="BUY",1,IF(V192="SELL",-1,0))+IF(W192="BUY",1,IF(W192="SELL",-1,0))+IF(X192="BUY",1,IF(X192="SELL",-1,0)),0))</f>
        <v>0</v>
      </c>
      <c r="Z192" s="32" t="str">
        <f aca="false">IF(Y192="","",IF(Y192&gt;=2,"STRONG BUY",IF(Y192=1,"BUY",IF(Y192=0,"HOLD",IF(Y192=-1,"SELL","STRONG SELL")))))</f>
        <v>HOLD</v>
      </c>
    </row>
    <row r="193" customFormat="false" ht="15" hidden="false" customHeight="false" outlineLevel="0" collapsed="false">
      <c r="A193" s="24" t="n">
        <v>46037</v>
      </c>
      <c r="B193" s="25" t="n">
        <v>1661.49</v>
      </c>
      <c r="C193" s="25" t="n">
        <v>1677.02</v>
      </c>
      <c r="D193" s="25" t="n">
        <v>1658.7</v>
      </c>
      <c r="E193" s="25" t="n">
        <v>1667.86</v>
      </c>
      <c r="F193" s="26" t="n">
        <v>2220779</v>
      </c>
      <c r="G193" s="27" t="n">
        <f aca="false">E193-E192</f>
        <v>15.3299999999999</v>
      </c>
      <c r="H193" s="28" t="n">
        <f aca="false">G193/E192</f>
        <v>0.00927668484081979</v>
      </c>
      <c r="I193" s="29" t="n">
        <f aca="false">MAX(G193,0)</f>
        <v>15.3299999999999</v>
      </c>
      <c r="J193" s="29" t="n">
        <f aca="false">MAX(-G193,0)</f>
        <v>0</v>
      </c>
      <c r="K193" s="29" t="n">
        <f aca="false">(K192*13+I193)/14</f>
        <v>5.88478869827342</v>
      </c>
      <c r="L193" s="29" t="n">
        <f aca="false">(L192*13+J193)/14</f>
        <v>3.81729333359036</v>
      </c>
      <c r="M193" s="31" t="n">
        <f aca="false">IF(L193=0,100,100-100/(1+K193/MAX(L193,0.000001)))</f>
        <v>60.6549056063067</v>
      </c>
      <c r="N193" s="30" t="n">
        <f aca="false">AVERAGE(E174:E193)</f>
        <v>1659.2375</v>
      </c>
      <c r="O193" s="30" t="n">
        <f aca="false">AVERAGE(E144:E193)</f>
        <v>1605.678</v>
      </c>
      <c r="Q193" s="30" t="n">
        <f aca="false">Q192+(2/13)*(E193-Q192)</f>
        <v>1654.1523702068</v>
      </c>
      <c r="R193" s="30" t="n">
        <f aca="false">R192+(2/27)*(E193-R192)</f>
        <v>1642.24291735015</v>
      </c>
      <c r="S193" s="33" t="n">
        <f aca="false">Q193-R193</f>
        <v>11.9094528566463</v>
      </c>
      <c r="T193" s="33" t="n">
        <f aca="false">T192+(2/10)*(S193-T192)</f>
        <v>16.195158006133</v>
      </c>
      <c r="U193" s="33" t="n">
        <f aca="false">S193-T193</f>
        <v>-4.28570514948663</v>
      </c>
      <c r="V193" s="32" t="str">
        <f aca="false">IF(M193="","",IF(M193&lt;Assumptions!$B$5,"BUY",IF(M193&gt;Assumptions!$B$4,"SELL","HOLD")))</f>
        <v>HOLD</v>
      </c>
      <c r="W193" s="32" t="str">
        <f aca="false">IF(O193="","",IF(E193&gt;O193,"BUY","SELL"))</f>
        <v>BUY</v>
      </c>
      <c r="X193" s="32" t="str">
        <f aca="false">IF(T193="","",IF(S193&gt;T193,"BUY","SELL"))</f>
        <v>SELL</v>
      </c>
      <c r="Y193" s="34" t="n">
        <f aca="false">IF(OR(V193="",W193="",X193=""),"",IFERROR(IF(V193="BUY",1,IF(V193="SELL",-1,0))+IF(W193="BUY",1,IF(W193="SELL",-1,0))+IF(X193="BUY",1,IF(X193="SELL",-1,0)),0))</f>
        <v>0</v>
      </c>
      <c r="Z193" s="32" t="str">
        <f aca="false">IF(Y193="","",IF(Y193&gt;=2,"STRONG BUY",IF(Y193=1,"BUY",IF(Y193=0,"HOLD",IF(Y193=-1,"SELL","STRONG SELL")))))</f>
        <v>HOLD</v>
      </c>
    </row>
    <row r="194" customFormat="false" ht="15" hidden="false" customHeight="false" outlineLevel="0" collapsed="false">
      <c r="A194" s="24" t="n">
        <v>46038</v>
      </c>
      <c r="B194" s="25" t="n">
        <v>1656.43</v>
      </c>
      <c r="C194" s="25" t="n">
        <v>1668.91</v>
      </c>
      <c r="D194" s="25" t="n">
        <v>1645.81</v>
      </c>
      <c r="E194" s="25" t="n">
        <v>1657.36</v>
      </c>
      <c r="F194" s="26" t="n">
        <v>7011610</v>
      </c>
      <c r="G194" s="27" t="n">
        <f aca="false">E194-E193</f>
        <v>-10.5</v>
      </c>
      <c r="H194" s="28" t="n">
        <f aca="false">G194/E193</f>
        <v>-0.00629549242742197</v>
      </c>
      <c r="I194" s="29" t="n">
        <f aca="false">MAX(G194,0)</f>
        <v>0</v>
      </c>
      <c r="J194" s="29" t="n">
        <f aca="false">MAX(-G194,0)</f>
        <v>10.5</v>
      </c>
      <c r="K194" s="29" t="n">
        <f aca="false">(K193*13+I194)/14</f>
        <v>5.46444664839675</v>
      </c>
      <c r="L194" s="29" t="n">
        <f aca="false">(L193*13+J194)/14</f>
        <v>4.29462952404819</v>
      </c>
      <c r="M194" s="31" t="n">
        <f aca="false">IF(L194=0,100,100-100/(1+K194/MAX(L194,0.000001)))</f>
        <v>55.9934829059516</v>
      </c>
      <c r="N194" s="30" t="n">
        <f aca="false">AVERAGE(E175:E194)</f>
        <v>1657.752</v>
      </c>
      <c r="O194" s="30" t="n">
        <f aca="false">AVERAGE(E145:E194)</f>
        <v>1608.5</v>
      </c>
      <c r="Q194" s="30" t="n">
        <f aca="false">Q193+(2/13)*(E194-Q193)</f>
        <v>1654.64585171345</v>
      </c>
      <c r="R194" s="30" t="n">
        <f aca="false">R193+(2/27)*(E194-R193)</f>
        <v>1643.36270125014</v>
      </c>
      <c r="S194" s="33" t="n">
        <f aca="false">Q194-R194</f>
        <v>11.2831504633039</v>
      </c>
      <c r="T194" s="33" t="n">
        <f aca="false">T193+(2/10)*(S194-T193)</f>
        <v>15.2127564975671</v>
      </c>
      <c r="U194" s="33" t="n">
        <f aca="false">S194-T194</f>
        <v>-3.92960603426329</v>
      </c>
      <c r="V194" s="32" t="str">
        <f aca="false">IF(M194="","",IF(M194&lt;Assumptions!$B$5,"BUY",IF(M194&gt;Assumptions!$B$4,"SELL","HOLD")))</f>
        <v>HOLD</v>
      </c>
      <c r="W194" s="32" t="str">
        <f aca="false">IF(O194="","",IF(E194&gt;O194,"BUY","SELL"))</f>
        <v>BUY</v>
      </c>
      <c r="X194" s="32" t="str">
        <f aca="false">IF(T194="","",IF(S194&gt;T194,"BUY","SELL"))</f>
        <v>SELL</v>
      </c>
      <c r="Y194" s="34" t="n">
        <f aca="false">IF(OR(V194="",W194="",X194=""),"",IFERROR(IF(V194="BUY",1,IF(V194="SELL",-1,0))+IF(W194="BUY",1,IF(W194="SELL",-1,0))+IF(X194="BUY",1,IF(X194="SELL",-1,0)),0))</f>
        <v>0</v>
      </c>
      <c r="Z194" s="32" t="str">
        <f aca="false">IF(Y194="","",IF(Y194&gt;=2,"STRONG BUY",IF(Y194=1,"BUY",IF(Y194=0,"HOLD",IF(Y194=-1,"SELL","STRONG SELL")))))</f>
        <v>HOLD</v>
      </c>
    </row>
    <row r="195" customFormat="false" ht="15" hidden="false" customHeight="false" outlineLevel="0" collapsed="false">
      <c r="A195" s="24" t="n">
        <v>46041</v>
      </c>
      <c r="B195" s="25" t="n">
        <v>1660.5</v>
      </c>
      <c r="C195" s="25" t="n">
        <v>1665.94</v>
      </c>
      <c r="D195" s="25" t="n">
        <v>1660.5</v>
      </c>
      <c r="E195" s="25" t="n">
        <v>1663.22</v>
      </c>
      <c r="F195" s="26" t="n">
        <v>3103531</v>
      </c>
      <c r="G195" s="27" t="n">
        <f aca="false">E195-E194</f>
        <v>5.86000000000013</v>
      </c>
      <c r="H195" s="28" t="n">
        <f aca="false">G195/E194</f>
        <v>0.00353574359221903</v>
      </c>
      <c r="I195" s="29" t="n">
        <f aca="false">MAX(G195,0)</f>
        <v>5.86000000000013</v>
      </c>
      <c r="J195" s="29" t="n">
        <f aca="false">MAX(-G195,0)</f>
        <v>0</v>
      </c>
      <c r="K195" s="29" t="n">
        <f aca="false">(K194*13+I195)/14</f>
        <v>5.49270045922556</v>
      </c>
      <c r="L195" s="29" t="n">
        <f aca="false">(L194*13+J195)/14</f>
        <v>3.98787027233046</v>
      </c>
      <c r="M195" s="31" t="n">
        <f aca="false">IF(L195=0,100,100-100/(1+K195/MAX(L195,0.000001)))</f>
        <v>57.9363902738803</v>
      </c>
      <c r="N195" s="30" t="n">
        <f aca="false">AVERAGE(E176:E195)</f>
        <v>1656.9395</v>
      </c>
      <c r="O195" s="30" t="n">
        <f aca="false">AVERAGE(E146:E195)</f>
        <v>1611.3828</v>
      </c>
      <c r="Q195" s="30" t="n">
        <f aca="false">Q194+(2/13)*(E195-Q194)</f>
        <v>1655.96495144984</v>
      </c>
      <c r="R195" s="30" t="n">
        <f aca="false">R194+(2/27)*(E195-R194)</f>
        <v>1644.83361226865</v>
      </c>
      <c r="S195" s="33" t="n">
        <f aca="false">Q195-R195</f>
        <v>11.1313391811889</v>
      </c>
      <c r="T195" s="33" t="n">
        <f aca="false">T194+(2/10)*(S195-T194)</f>
        <v>14.3964730342915</v>
      </c>
      <c r="U195" s="33" t="n">
        <f aca="false">S195-T195</f>
        <v>-3.26513385310262</v>
      </c>
      <c r="V195" s="32" t="str">
        <f aca="false">IF(M195="","",IF(M195&lt;Assumptions!$B$5,"BUY",IF(M195&gt;Assumptions!$B$4,"SELL","HOLD")))</f>
        <v>HOLD</v>
      </c>
      <c r="W195" s="32" t="str">
        <f aca="false">IF(O195="","",IF(E195&gt;O195,"BUY","SELL"))</f>
        <v>BUY</v>
      </c>
      <c r="X195" s="32" t="str">
        <f aca="false">IF(T195="","",IF(S195&gt;T195,"BUY","SELL"))</f>
        <v>SELL</v>
      </c>
      <c r="Y195" s="34" t="n">
        <f aca="false">IF(OR(V195="",W195="",X195=""),"",IFERROR(IF(V195="BUY",1,IF(V195="SELL",-1,0))+IF(W195="BUY",1,IF(W195="SELL",-1,0))+IF(X195="BUY",1,IF(X195="SELL",-1,0)),0))</f>
        <v>0</v>
      </c>
      <c r="Z195" s="32" t="str">
        <f aca="false">IF(Y195="","",IF(Y195&gt;=2,"STRONG BUY",IF(Y195=1,"BUY",IF(Y195=0,"HOLD",IF(Y195=-1,"SELL","STRONG SELL")))))</f>
        <v>HOLD</v>
      </c>
    </row>
    <row r="196" customFormat="false" ht="15" hidden="false" customHeight="false" outlineLevel="0" collapsed="false">
      <c r="A196" s="24" t="n">
        <v>46042</v>
      </c>
      <c r="B196" s="25" t="n">
        <v>1658.34</v>
      </c>
      <c r="C196" s="25" t="n">
        <v>1670.99</v>
      </c>
      <c r="D196" s="25" t="n">
        <v>1655.87</v>
      </c>
      <c r="E196" s="25" t="n">
        <v>1663.43</v>
      </c>
      <c r="F196" s="26" t="n">
        <v>3091897</v>
      </c>
      <c r="G196" s="27" t="n">
        <f aca="false">E196-E195</f>
        <v>0.210000000000036</v>
      </c>
      <c r="H196" s="28" t="n">
        <f aca="false">G196/E195</f>
        <v>0.000126261107971307</v>
      </c>
      <c r="I196" s="29" t="n">
        <f aca="false">MAX(G196,0)</f>
        <v>0.210000000000036</v>
      </c>
      <c r="J196" s="29" t="n">
        <f aca="false">MAX(-G196,0)</f>
        <v>0</v>
      </c>
      <c r="K196" s="29" t="n">
        <f aca="false">(K195*13+I196)/14</f>
        <v>5.11536471213802</v>
      </c>
      <c r="L196" s="29" t="n">
        <f aca="false">(L195*13+J196)/14</f>
        <v>3.70302239573543</v>
      </c>
      <c r="M196" s="31" t="n">
        <f aca="false">IF(L196=0,100,100-100/(1+K196/MAX(L196,0.000001)))</f>
        <v>58.007940109261</v>
      </c>
      <c r="N196" s="30" t="n">
        <f aca="false">AVERAGE(E177:E196)</f>
        <v>1657.424</v>
      </c>
      <c r="O196" s="30" t="n">
        <f aca="false">AVERAGE(E147:E196)</f>
        <v>1614.3192</v>
      </c>
      <c r="Q196" s="30" t="n">
        <f aca="false">Q195+(2/13)*(E196-Q195)</f>
        <v>1657.11342045756</v>
      </c>
      <c r="R196" s="30" t="n">
        <f aca="false">R195+(2/27)*(E196-R195)</f>
        <v>1646.21112247097</v>
      </c>
      <c r="S196" s="33" t="n">
        <f aca="false">Q196-R196</f>
        <v>10.9022979865838</v>
      </c>
      <c r="T196" s="33" t="n">
        <f aca="false">T195+(2/10)*(S196-T195)</f>
        <v>13.69763802475</v>
      </c>
      <c r="U196" s="33" t="n">
        <f aca="false">S196-T196</f>
        <v>-2.79534003816616</v>
      </c>
      <c r="V196" s="32" t="str">
        <f aca="false">IF(M196="","",IF(M196&lt;Assumptions!$B$5,"BUY",IF(M196&gt;Assumptions!$B$4,"SELL","HOLD")))</f>
        <v>HOLD</v>
      </c>
      <c r="W196" s="32" t="str">
        <f aca="false">IF(O196="","",IF(E196&gt;O196,"BUY","SELL"))</f>
        <v>BUY</v>
      </c>
      <c r="X196" s="32" t="str">
        <f aca="false">IF(T196="","",IF(S196&gt;T196,"BUY","SELL"))</f>
        <v>SELL</v>
      </c>
      <c r="Y196" s="34" t="n">
        <f aca="false">IF(OR(V196="",W196="",X196=""),"",IFERROR(IF(V196="BUY",1,IF(V196="SELL",-1,0))+IF(W196="BUY",1,IF(W196="SELL",-1,0))+IF(X196="BUY",1,IF(X196="SELL",-1,0)),0))</f>
        <v>0</v>
      </c>
      <c r="Z196" s="32" t="str">
        <f aca="false">IF(Y196="","",IF(Y196&gt;=2,"STRONG BUY",IF(Y196=1,"BUY",IF(Y196=0,"HOLD",IF(Y196=-1,"SELL","STRONG SELL")))))</f>
        <v>HOLD</v>
      </c>
    </row>
    <row r="197" customFormat="false" ht="15" hidden="false" customHeight="false" outlineLevel="0" collapsed="false">
      <c r="A197" s="24" t="n">
        <v>46043</v>
      </c>
      <c r="B197" s="25" t="n">
        <v>1696.67</v>
      </c>
      <c r="C197" s="25" t="n">
        <v>1699.7</v>
      </c>
      <c r="D197" s="25" t="n">
        <v>1696.04</v>
      </c>
      <c r="E197" s="25" t="n">
        <v>1697.87</v>
      </c>
      <c r="F197" s="26" t="n">
        <v>3229232</v>
      </c>
      <c r="G197" s="27" t="n">
        <f aca="false">E197-E196</f>
        <v>34.4399999999998</v>
      </c>
      <c r="H197" s="28" t="n">
        <f aca="false">G197/E196</f>
        <v>0.020704207571103</v>
      </c>
      <c r="I197" s="29" t="n">
        <f aca="false">MAX(G197,0)</f>
        <v>34.4399999999998</v>
      </c>
      <c r="J197" s="29" t="n">
        <f aca="false">MAX(-G197,0)</f>
        <v>0</v>
      </c>
      <c r="K197" s="29" t="n">
        <f aca="false">(K196*13+I197)/14</f>
        <v>7.20998151841387</v>
      </c>
      <c r="L197" s="29" t="n">
        <f aca="false">(L196*13+J197)/14</f>
        <v>3.43852079604004</v>
      </c>
      <c r="M197" s="31" t="n">
        <f aca="false">IF(L197=0,100,100-100/(1+K197/MAX(L197,0.000001)))</f>
        <v>67.708878727737</v>
      </c>
      <c r="N197" s="30" t="n">
        <f aca="false">AVERAGE(E178:E197)</f>
        <v>1659.399</v>
      </c>
      <c r="O197" s="30" t="n">
        <f aca="false">AVERAGE(E148:E197)</f>
        <v>1617.3848</v>
      </c>
      <c r="Q197" s="30" t="n">
        <f aca="false">Q196+(2/13)*(E197-Q196)</f>
        <v>1663.38366346409</v>
      </c>
      <c r="R197" s="30" t="n">
        <f aca="false">R196+(2/27)*(E197-R196)</f>
        <v>1650.03770599164</v>
      </c>
      <c r="S197" s="33" t="n">
        <f aca="false">Q197-R197</f>
        <v>13.345957472445</v>
      </c>
      <c r="T197" s="33" t="n">
        <f aca="false">T196+(2/10)*(S197-T196)</f>
        <v>13.627301914289</v>
      </c>
      <c r="U197" s="33" t="n">
        <f aca="false">S197-T197</f>
        <v>-0.281344441843979</v>
      </c>
      <c r="V197" s="32" t="str">
        <f aca="false">IF(M197="","",IF(M197&lt;Assumptions!$B$5,"BUY",IF(M197&gt;Assumptions!$B$4,"SELL","HOLD")))</f>
        <v>HOLD</v>
      </c>
      <c r="W197" s="32" t="str">
        <f aca="false">IF(O197="","",IF(E197&gt;O197,"BUY","SELL"))</f>
        <v>BUY</v>
      </c>
      <c r="X197" s="32" t="str">
        <f aca="false">IF(T197="","",IF(S197&gt;T197,"BUY","SELL"))</f>
        <v>SELL</v>
      </c>
      <c r="Y197" s="34" t="n">
        <f aca="false">IF(OR(V197="",W197="",X197=""),"",IFERROR(IF(V197="BUY",1,IF(V197="SELL",-1,0))+IF(W197="BUY",1,IF(W197="SELL",-1,0))+IF(X197="BUY",1,IF(X197="SELL",-1,0)),0))</f>
        <v>0</v>
      </c>
      <c r="Z197" s="32" t="str">
        <f aca="false">IF(Y197="","",IF(Y197&gt;=2,"STRONG BUY",IF(Y197=1,"BUY",IF(Y197=0,"HOLD",IF(Y197=-1,"SELL","STRONG SELL")))))</f>
        <v>HOLD</v>
      </c>
    </row>
    <row r="198" customFormat="false" ht="15" hidden="false" customHeight="false" outlineLevel="0" collapsed="false">
      <c r="A198" s="24" t="n">
        <v>46044</v>
      </c>
      <c r="B198" s="25" t="n">
        <v>1666.63</v>
      </c>
      <c r="C198" s="25" t="n">
        <v>1673.09</v>
      </c>
      <c r="D198" s="25" t="n">
        <v>1666.55</v>
      </c>
      <c r="E198" s="25" t="n">
        <v>1669.82</v>
      </c>
      <c r="F198" s="26" t="n">
        <v>467518</v>
      </c>
      <c r="G198" s="27" t="n">
        <f aca="false">E198-E197</f>
        <v>-28.05</v>
      </c>
      <c r="H198" s="28" t="n">
        <f aca="false">G198/E197</f>
        <v>-0.0165206994646233</v>
      </c>
      <c r="I198" s="29" t="n">
        <f aca="false">MAX(G198,0)</f>
        <v>0</v>
      </c>
      <c r="J198" s="29" t="n">
        <f aca="false">MAX(-G198,0)</f>
        <v>28.05</v>
      </c>
      <c r="K198" s="29" t="n">
        <f aca="false">(K197*13+I198)/14</f>
        <v>6.69498283852716</v>
      </c>
      <c r="L198" s="29" t="n">
        <f aca="false">(L197*13+J198)/14</f>
        <v>5.19648359632289</v>
      </c>
      <c r="M198" s="31" t="n">
        <f aca="false">IF(L198=0,100,100-100/(1+K198/MAX(L198,0.000001)))</f>
        <v>56.3007335992332</v>
      </c>
      <c r="N198" s="30" t="n">
        <f aca="false">AVERAGE(E179:E198)</f>
        <v>1659.7915</v>
      </c>
      <c r="O198" s="30" t="n">
        <f aca="false">AVERAGE(E149:E198)</f>
        <v>1620.0558</v>
      </c>
      <c r="Q198" s="30" t="n">
        <f aca="false">Q197+(2/13)*(E198-Q197)</f>
        <v>1664.373869085</v>
      </c>
      <c r="R198" s="30" t="n">
        <f aca="false">R197+(2/27)*(E198-R197)</f>
        <v>1651.50306110337</v>
      </c>
      <c r="S198" s="33" t="n">
        <f aca="false">Q198-R198</f>
        <v>12.8708079816245</v>
      </c>
      <c r="T198" s="33" t="n">
        <f aca="false">T197+(2/10)*(S198-T197)</f>
        <v>13.4760031277561</v>
      </c>
      <c r="U198" s="33" t="n">
        <f aca="false">S198-T198</f>
        <v>-0.605195146131594</v>
      </c>
      <c r="V198" s="32" t="str">
        <f aca="false">IF(M198="","",IF(M198&lt;Assumptions!$B$5,"BUY",IF(M198&gt;Assumptions!$B$4,"SELL","HOLD")))</f>
        <v>HOLD</v>
      </c>
      <c r="W198" s="32" t="str">
        <f aca="false">IF(O198="","",IF(E198&gt;O198,"BUY","SELL"))</f>
        <v>BUY</v>
      </c>
      <c r="X198" s="32" t="str">
        <f aca="false">IF(T198="","",IF(S198&gt;T198,"BUY","SELL"))</f>
        <v>SELL</v>
      </c>
      <c r="Y198" s="34" t="n">
        <f aca="false">IF(OR(V198="",W198="",X198=""),"",IFERROR(IF(V198="BUY",1,IF(V198="SELL",-1,0))+IF(W198="BUY",1,IF(W198="SELL",-1,0))+IF(X198="BUY",1,IF(X198="SELL",-1,0)),0))</f>
        <v>0</v>
      </c>
      <c r="Z198" s="32" t="str">
        <f aca="false">IF(Y198="","",IF(Y198&gt;=2,"STRONG BUY",IF(Y198=1,"BUY",IF(Y198=0,"HOLD",IF(Y198=-1,"SELL","STRONG SELL")))))</f>
        <v>HOLD</v>
      </c>
    </row>
    <row r="199" customFormat="false" ht="15" hidden="false" customHeight="false" outlineLevel="0" collapsed="false">
      <c r="A199" s="24" t="n">
        <v>46045</v>
      </c>
      <c r="B199" s="25" t="n">
        <v>1675.4</v>
      </c>
      <c r="C199" s="25" t="n">
        <v>1685.54</v>
      </c>
      <c r="D199" s="25" t="n">
        <v>1675.4</v>
      </c>
      <c r="E199" s="25" t="n">
        <v>1680.47</v>
      </c>
      <c r="F199" s="26" t="n">
        <v>7282768</v>
      </c>
      <c r="G199" s="27" t="n">
        <f aca="false">E199-E198</f>
        <v>10.6500000000001</v>
      </c>
      <c r="H199" s="28" t="n">
        <f aca="false">G199/E198</f>
        <v>0.00637793295085703</v>
      </c>
      <c r="I199" s="29" t="n">
        <f aca="false">MAX(G199,0)</f>
        <v>10.6500000000001</v>
      </c>
      <c r="J199" s="29" t="n">
        <f aca="false">MAX(-G199,0)</f>
        <v>0</v>
      </c>
      <c r="K199" s="29" t="n">
        <f aca="false">(K198*13+I199)/14</f>
        <v>6.97748406434666</v>
      </c>
      <c r="L199" s="29" t="n">
        <f aca="false">(L198*13+J199)/14</f>
        <v>4.82530619658554</v>
      </c>
      <c r="M199" s="31" t="n">
        <f aca="false">IF(L199=0,100,100-100/(1+K199/MAX(L199,0.000001)))</f>
        <v>59.1172418562962</v>
      </c>
      <c r="N199" s="30" t="n">
        <f aca="false">AVERAGE(E180:E199)</f>
        <v>1661.1615</v>
      </c>
      <c r="O199" s="30" t="n">
        <f aca="false">AVERAGE(E150:E199)</f>
        <v>1622.848</v>
      </c>
      <c r="Q199" s="30" t="n">
        <f aca="false">Q198+(2/13)*(E199-Q198)</f>
        <v>1666.85019691807</v>
      </c>
      <c r="R199" s="30" t="n">
        <f aca="false">R198+(2/27)*(E199-R198)</f>
        <v>1653.6487602809</v>
      </c>
      <c r="S199" s="33" t="n">
        <f aca="false">Q199-R199</f>
        <v>13.2014366371741</v>
      </c>
      <c r="T199" s="33" t="n">
        <f aca="false">T198+(2/10)*(S199-T198)</f>
        <v>13.4210898296397</v>
      </c>
      <c r="U199" s="33" t="n">
        <f aca="false">S199-T199</f>
        <v>-0.219653192465582</v>
      </c>
      <c r="V199" s="32" t="str">
        <f aca="false">IF(M199="","",IF(M199&lt;Assumptions!$B$5,"BUY",IF(M199&gt;Assumptions!$B$4,"SELL","HOLD")))</f>
        <v>HOLD</v>
      </c>
      <c r="W199" s="32" t="str">
        <f aca="false">IF(O199="","",IF(E199&gt;O199,"BUY","SELL"))</f>
        <v>BUY</v>
      </c>
      <c r="X199" s="32" t="str">
        <f aca="false">IF(T199="","",IF(S199&gt;T199,"BUY","SELL"))</f>
        <v>SELL</v>
      </c>
      <c r="Y199" s="34" t="n">
        <f aca="false">IF(OR(V199="",W199="",X199=""),"",IFERROR(IF(V199="BUY",1,IF(V199="SELL",-1,0))+IF(W199="BUY",1,IF(W199="SELL",-1,0))+IF(X199="BUY",1,IF(X199="SELL",-1,0)),0))</f>
        <v>0</v>
      </c>
      <c r="Z199" s="32" t="str">
        <f aca="false">IF(Y199="","",IF(Y199&gt;=2,"STRONG BUY",IF(Y199=1,"BUY",IF(Y199=0,"HOLD",IF(Y199=-1,"SELL","STRONG SELL")))))</f>
        <v>HOLD</v>
      </c>
    </row>
    <row r="200" customFormat="false" ht="15" hidden="false" customHeight="false" outlineLevel="0" collapsed="false">
      <c r="A200" s="24" t="n">
        <v>46048</v>
      </c>
      <c r="B200" s="25" t="n">
        <v>1665.45</v>
      </c>
      <c r="C200" s="25" t="n">
        <v>1687.58</v>
      </c>
      <c r="D200" s="25" t="n">
        <v>1664.44</v>
      </c>
      <c r="E200" s="25" t="n">
        <v>1676.01</v>
      </c>
      <c r="F200" s="26" t="n">
        <v>7078341</v>
      </c>
      <c r="G200" s="27" t="n">
        <f aca="false">E200-E199</f>
        <v>-4.46000000000004</v>
      </c>
      <c r="H200" s="28" t="n">
        <f aca="false">G200/E199</f>
        <v>-0.00265401941123616</v>
      </c>
      <c r="I200" s="29" t="n">
        <f aca="false">MAX(G200,0)</f>
        <v>0</v>
      </c>
      <c r="J200" s="29" t="n">
        <f aca="false">MAX(-G200,0)</f>
        <v>4.46000000000004</v>
      </c>
      <c r="K200" s="29" t="n">
        <f aca="false">(K199*13+I200)/14</f>
        <v>6.47909234546475</v>
      </c>
      <c r="L200" s="29" t="n">
        <f aca="false">(L199*13+J200)/14</f>
        <v>4.79921289682944</v>
      </c>
      <c r="M200" s="31" t="n">
        <f aca="false">IF(L200=0,100,100-100/(1+K200/MAX(L200,0.000001)))</f>
        <v>57.4473930814343</v>
      </c>
      <c r="N200" s="30" t="n">
        <f aca="false">AVERAGE(E181:E200)</f>
        <v>1661.6495</v>
      </c>
      <c r="O200" s="30" t="n">
        <f aca="false">AVERAGE(E151:E200)</f>
        <v>1625.98</v>
      </c>
      <c r="Q200" s="30" t="n">
        <f aca="false">Q199+(2/13)*(E200-Q199)</f>
        <v>1668.25939739222</v>
      </c>
      <c r="R200" s="30" t="n">
        <f aca="false">R199+(2/27)*(E200-R199)</f>
        <v>1655.30514840824</v>
      </c>
      <c r="S200" s="33" t="n">
        <f aca="false">Q200-R200</f>
        <v>12.954248983976</v>
      </c>
      <c r="T200" s="33" t="n">
        <f aca="false">T199+(2/10)*(S200-T199)</f>
        <v>13.3277216605069</v>
      </c>
      <c r="U200" s="33" t="n">
        <f aca="false">S200-T200</f>
        <v>-0.373472676530966</v>
      </c>
      <c r="V200" s="32" t="str">
        <f aca="false">IF(M200="","",IF(M200&lt;Assumptions!$B$5,"BUY",IF(M200&gt;Assumptions!$B$4,"SELL","HOLD")))</f>
        <v>HOLD</v>
      </c>
      <c r="W200" s="32" t="str">
        <f aca="false">IF(O200="","",IF(E200&gt;O200,"BUY","SELL"))</f>
        <v>BUY</v>
      </c>
      <c r="X200" s="32" t="str">
        <f aca="false">IF(T200="","",IF(S200&gt;T200,"BUY","SELL"))</f>
        <v>SELL</v>
      </c>
      <c r="Y200" s="34" t="n">
        <f aca="false">IF(OR(V200="",W200="",X200=""),"",IFERROR(IF(V200="BUY",1,IF(V200="SELL",-1,0))+IF(W200="BUY",1,IF(W200="SELL",-1,0))+IF(X200="BUY",1,IF(X200="SELL",-1,0)),0))</f>
        <v>0</v>
      </c>
      <c r="Z200" s="32" t="str">
        <f aca="false">IF(Y200="","",IF(Y200&gt;=2,"STRONG BUY",IF(Y200=1,"BUY",IF(Y200=0,"HOLD",IF(Y200=-1,"SELL","STRONG SELL")))))</f>
        <v>HOLD</v>
      </c>
    </row>
    <row r="201" customFormat="false" ht="15" hidden="false" customHeight="false" outlineLevel="0" collapsed="false">
      <c r="A201" s="24" t="n">
        <v>46049</v>
      </c>
      <c r="B201" s="25" t="n">
        <v>1670.41</v>
      </c>
      <c r="C201" s="25" t="n">
        <v>1690.6</v>
      </c>
      <c r="D201" s="25" t="n">
        <v>1658.74</v>
      </c>
      <c r="E201" s="25" t="n">
        <v>1674.67</v>
      </c>
      <c r="F201" s="26" t="n">
        <v>6045339</v>
      </c>
      <c r="G201" s="27" t="n">
        <f aca="false">E201-E200</f>
        <v>-1.33999999999992</v>
      </c>
      <c r="H201" s="28" t="n">
        <f aca="false">G201/E200</f>
        <v>-0.000799517902637764</v>
      </c>
      <c r="I201" s="29" t="n">
        <f aca="false">MAX(G201,0)</f>
        <v>0</v>
      </c>
      <c r="J201" s="29" t="n">
        <f aca="false">MAX(-G201,0)</f>
        <v>1.33999999999992</v>
      </c>
      <c r="K201" s="29" t="n">
        <f aca="false">(K200*13+I201)/14</f>
        <v>6.01630003507441</v>
      </c>
      <c r="L201" s="29" t="n">
        <f aca="false">(L200*13+J201)/14</f>
        <v>4.55212626134161</v>
      </c>
      <c r="M201" s="31" t="n">
        <f aca="false">IF(L201=0,100,100-100/(1+K201/MAX(L201,0.000001)))</f>
        <v>56.9271135203419</v>
      </c>
      <c r="N201" s="30" t="n">
        <f aca="false">AVERAGE(E182:E201)</f>
        <v>1661.6055</v>
      </c>
      <c r="O201" s="30" t="n">
        <f aca="false">AVERAGE(E152:E201)</f>
        <v>1629.1902</v>
      </c>
      <c r="Q201" s="30" t="n">
        <f aca="false">Q200+(2/13)*(E201-Q200)</f>
        <v>1669.24564394726</v>
      </c>
      <c r="R201" s="30" t="n">
        <f aca="false">R200+(2/27)*(E201-R200)</f>
        <v>1656.73958185948</v>
      </c>
      <c r="S201" s="33" t="n">
        <f aca="false">Q201-R201</f>
        <v>12.5060620877782</v>
      </c>
      <c r="T201" s="33" t="n">
        <f aca="false">T200+(2/10)*(S201-T200)</f>
        <v>13.1633897459612</v>
      </c>
      <c r="U201" s="33" t="n">
        <f aca="false">S201-T201</f>
        <v>-0.657327658182965</v>
      </c>
      <c r="V201" s="32" t="str">
        <f aca="false">IF(M201="","",IF(M201&lt;Assumptions!$B$5,"BUY",IF(M201&gt;Assumptions!$B$4,"SELL","HOLD")))</f>
        <v>HOLD</v>
      </c>
      <c r="W201" s="32" t="str">
        <f aca="false">IF(O201="","",IF(E201&gt;O201,"BUY","SELL"))</f>
        <v>BUY</v>
      </c>
      <c r="X201" s="32" t="str">
        <f aca="false">IF(T201="","",IF(S201&gt;T201,"BUY","SELL"))</f>
        <v>SELL</v>
      </c>
      <c r="Y201" s="34" t="n">
        <f aca="false">IF(OR(V201="",W201="",X201=""),"",IFERROR(IF(V201="BUY",1,IF(V201="SELL",-1,0))+IF(W201="BUY",1,IF(W201="SELL",-1,0))+IF(X201="BUY",1,IF(X201="SELL",-1,0)),0))</f>
        <v>0</v>
      </c>
      <c r="Z201" s="32" t="str">
        <f aca="false">IF(Y201="","",IF(Y201&gt;=2,"STRONG BUY",IF(Y201=1,"BUY",IF(Y201=0,"HOLD",IF(Y201=-1,"SELL","STRONG SELL")))))</f>
        <v>HOLD</v>
      </c>
    </row>
    <row r="202" customFormat="false" ht="15" hidden="false" customHeight="false" outlineLevel="0" collapsed="false">
      <c r="A202" s="24" t="n">
        <v>46050</v>
      </c>
      <c r="B202" s="25" t="n">
        <v>1700.38</v>
      </c>
      <c r="C202" s="25" t="n">
        <v>1707.12</v>
      </c>
      <c r="D202" s="25" t="n">
        <v>1700.38</v>
      </c>
      <c r="E202" s="25" t="n">
        <v>1703.75</v>
      </c>
      <c r="F202" s="26" t="n">
        <v>5329061</v>
      </c>
      <c r="G202" s="27" t="n">
        <f aca="false">E202-E201</f>
        <v>29.0799999999999</v>
      </c>
      <c r="H202" s="28" t="n">
        <f aca="false">G202/E201</f>
        <v>0.0173646151182023</v>
      </c>
      <c r="I202" s="29" t="n">
        <f aca="false">MAX(G202,0)</f>
        <v>29.0799999999999</v>
      </c>
      <c r="J202" s="29" t="n">
        <f aca="false">MAX(-G202,0)</f>
        <v>0</v>
      </c>
      <c r="K202" s="29" t="n">
        <f aca="false">(K201*13+I202)/14</f>
        <v>7.66370717542624</v>
      </c>
      <c r="L202" s="29" t="n">
        <f aca="false">(L201*13+J202)/14</f>
        <v>4.2269743855315</v>
      </c>
      <c r="M202" s="31" t="n">
        <f aca="false">IF(L202=0,100,100-100/(1+K202/MAX(L202,0.000001)))</f>
        <v>64.4513700593035</v>
      </c>
      <c r="N202" s="30" t="n">
        <f aca="false">AVERAGE(E183:E202)</f>
        <v>1663.754</v>
      </c>
      <c r="O202" s="30" t="n">
        <f aca="false">AVERAGE(E153:E202)</f>
        <v>1632.9078</v>
      </c>
      <c r="P202" s="30" t="n">
        <f aca="false">AVERAGE(E3:E202)</f>
        <v>1459.1029</v>
      </c>
      <c r="Q202" s="30" t="n">
        <f aca="false">Q201+(2/13)*(E202-Q201)</f>
        <v>1674.55400641691</v>
      </c>
      <c r="R202" s="30" t="n">
        <f aca="false">R201+(2/27)*(E202-R201)</f>
        <v>1660.22183505508</v>
      </c>
      <c r="S202" s="33" t="n">
        <f aca="false">Q202-R202</f>
        <v>14.3321713618366</v>
      </c>
      <c r="T202" s="33" t="n">
        <f aca="false">T201+(2/10)*(S202-T201)</f>
        <v>13.3971460691363</v>
      </c>
      <c r="U202" s="33" t="n">
        <f aca="false">S202-T202</f>
        <v>0.935025292700312</v>
      </c>
      <c r="V202" s="32" t="str">
        <f aca="false">IF(M202="","",IF(M202&lt;Assumptions!$B$5,"BUY",IF(M202&gt;Assumptions!$B$4,"SELL","HOLD")))</f>
        <v>HOLD</v>
      </c>
      <c r="W202" s="32" t="str">
        <f aca="false">IF(O202="","",IF(E202&gt;O202,"BUY","SELL"))</f>
        <v>BUY</v>
      </c>
      <c r="X202" s="32" t="str">
        <f aca="false">IF(T202="","",IF(S202&gt;T202,"BUY","SELL"))</f>
        <v>BUY</v>
      </c>
      <c r="Y202" s="34" t="n">
        <f aca="false">IF(OR(V202="",W202="",X202=""),"",IFERROR(IF(V202="BUY",1,IF(V202="SELL",-1,0))+IF(W202="BUY",1,IF(W202="SELL",-1,0))+IF(X202="BUY",1,IF(X202="SELL",-1,0)),0))</f>
        <v>2</v>
      </c>
      <c r="Z202" s="32" t="str">
        <f aca="false">IF(Y202="","",IF(Y202&gt;=2,"STRONG BUY",IF(Y202=1,"BUY",IF(Y202=0,"HOLD",IF(Y202=-1,"SELL","STRONG SELL")))))</f>
        <v>STRONG BUY</v>
      </c>
    </row>
    <row r="203" customFormat="false" ht="15" hidden="false" customHeight="false" outlineLevel="0" collapsed="false">
      <c r="A203" s="24" t="n">
        <v>46051</v>
      </c>
      <c r="B203" s="25" t="n">
        <v>1705.78</v>
      </c>
      <c r="C203" s="25" t="n">
        <v>1705.78</v>
      </c>
      <c r="D203" s="25" t="n">
        <v>1701.8</v>
      </c>
      <c r="E203" s="25" t="n">
        <v>1703.79</v>
      </c>
      <c r="F203" s="26" t="n">
        <v>6030133</v>
      </c>
      <c r="G203" s="27" t="n">
        <f aca="false">E203-E202</f>
        <v>0.0399999999999636</v>
      </c>
      <c r="H203" s="28" t="n">
        <f aca="false">G203/E202</f>
        <v>2.3477622890661E-005</v>
      </c>
      <c r="I203" s="29" t="n">
        <f aca="false">MAX(G203,0)</f>
        <v>0.0399999999999636</v>
      </c>
      <c r="J203" s="29" t="n">
        <f aca="false">MAX(-G203,0)</f>
        <v>0</v>
      </c>
      <c r="K203" s="29" t="n">
        <f aca="false">(K202*13+I203)/14</f>
        <v>7.11915666289579</v>
      </c>
      <c r="L203" s="29" t="n">
        <f aca="false">(L202*13+J203)/14</f>
        <v>3.92504764370782</v>
      </c>
      <c r="M203" s="31" t="n">
        <f aca="false">IF(L203=0,100,100-100/(1+K203/MAX(L203,0.000001)))</f>
        <v>64.460566513054</v>
      </c>
      <c r="N203" s="30" t="n">
        <f aca="false">AVERAGE(E184:E203)</f>
        <v>1665.508</v>
      </c>
      <c r="O203" s="30" t="n">
        <f aca="false">AVERAGE(E154:E203)</f>
        <v>1636.3972</v>
      </c>
      <c r="P203" s="30" t="n">
        <f aca="false">AVERAGE(E4:E203)</f>
        <v>1460.84685</v>
      </c>
      <c r="Q203" s="30" t="n">
        <f aca="false">Q202+(2/13)*(E203-Q202)</f>
        <v>1679.05185158354</v>
      </c>
      <c r="R203" s="30" t="n">
        <f aca="false">R202+(2/27)*(E203-R202)</f>
        <v>1663.44910653248</v>
      </c>
      <c r="S203" s="33" t="n">
        <f aca="false">Q203-R203</f>
        <v>15.6027450510635</v>
      </c>
      <c r="T203" s="33" t="n">
        <f aca="false">T202+(2/10)*(S203-T202)</f>
        <v>13.8382658655217</v>
      </c>
      <c r="U203" s="33" t="n">
        <f aca="false">S203-T203</f>
        <v>1.76447918554179</v>
      </c>
      <c r="V203" s="32" t="str">
        <f aca="false">IF(M203="","",IF(M203&lt;Assumptions!$B$5,"BUY",IF(M203&gt;Assumptions!$B$4,"SELL","HOLD")))</f>
        <v>HOLD</v>
      </c>
      <c r="W203" s="32" t="str">
        <f aca="false">IF(O203="","",IF(E203&gt;O203,"BUY","SELL"))</f>
        <v>BUY</v>
      </c>
      <c r="X203" s="32" t="str">
        <f aca="false">IF(T203="","",IF(S203&gt;T203,"BUY","SELL"))</f>
        <v>BUY</v>
      </c>
      <c r="Y203" s="34" t="n">
        <f aca="false">IF(OR(V203="",W203="",X203=""),"",IFERROR(IF(V203="BUY",1,IF(V203="SELL",-1,0))+IF(W203="BUY",1,IF(W203="SELL",-1,0))+IF(X203="BUY",1,IF(X203="SELL",-1,0)),0))</f>
        <v>2</v>
      </c>
      <c r="Z203" s="32" t="str">
        <f aca="false">IF(Y203="","",IF(Y203&gt;=2,"STRONG BUY",IF(Y203=1,"BUY",IF(Y203=0,"HOLD",IF(Y203=-1,"SELL","STRONG SELL")))))</f>
        <v>STRONG BUY</v>
      </c>
    </row>
    <row r="204" customFormat="false" ht="15" hidden="false" customHeight="false" outlineLevel="0" collapsed="false">
      <c r="A204" s="24" t="n">
        <v>46052</v>
      </c>
      <c r="B204" s="25" t="n">
        <v>1727.27</v>
      </c>
      <c r="C204" s="25" t="n">
        <v>1770.35</v>
      </c>
      <c r="D204" s="25" t="n">
        <v>1707.01</v>
      </c>
      <c r="E204" s="25" t="n">
        <v>1738.68</v>
      </c>
      <c r="F204" s="26" t="n">
        <v>4962069</v>
      </c>
      <c r="G204" s="27" t="n">
        <f aca="false">E204-E203</f>
        <v>34.8900000000001</v>
      </c>
      <c r="H204" s="28" t="n">
        <f aca="false">G204/E203</f>
        <v>0.0204778757945522</v>
      </c>
      <c r="I204" s="29" t="n">
        <f aca="false">MAX(G204,0)</f>
        <v>34.8900000000001</v>
      </c>
      <c r="J204" s="29" t="n">
        <f aca="false">MAX(-G204,0)</f>
        <v>0</v>
      </c>
      <c r="K204" s="29" t="n">
        <f aca="false">(K203*13+I204)/14</f>
        <v>9.10278832983181</v>
      </c>
      <c r="L204" s="29" t="n">
        <f aca="false">(L203*13+J204)/14</f>
        <v>3.64468709772869</v>
      </c>
      <c r="M204" s="31" t="n">
        <f aca="false">IF(L204=0,100,100-100/(1+K204/MAX(L204,0.000001)))</f>
        <v>71.4085575733</v>
      </c>
      <c r="N204" s="30" t="n">
        <f aca="false">AVERAGE(E185:E204)</f>
        <v>1669.1455</v>
      </c>
      <c r="O204" s="30" t="n">
        <f aca="false">AVERAGE(E155:E204)</f>
        <v>1640.18</v>
      </c>
      <c r="P204" s="30" t="n">
        <f aca="false">AVERAGE(E5:E204)</f>
        <v>1462.77335</v>
      </c>
      <c r="Q204" s="30" t="n">
        <f aca="false">Q203+(2/13)*(E204-Q203)</f>
        <v>1688.22541287838</v>
      </c>
      <c r="R204" s="30" t="n">
        <f aca="false">R203+(2/27)*(E204-R203)</f>
        <v>1669.02176530785</v>
      </c>
      <c r="S204" s="33" t="n">
        <f aca="false">Q204-R204</f>
        <v>19.2036475705313</v>
      </c>
      <c r="T204" s="33" t="n">
        <f aca="false">T203+(2/10)*(S204-T203)</f>
        <v>14.9113422065236</v>
      </c>
      <c r="U204" s="33" t="n">
        <f aca="false">S204-T204</f>
        <v>4.29230536400768</v>
      </c>
      <c r="V204" s="32" t="str">
        <f aca="false">IF(M204="","",IF(M204&lt;Assumptions!$B$5,"BUY",IF(M204&gt;Assumptions!$B$4,"SELL","HOLD")))</f>
        <v>SELL</v>
      </c>
      <c r="W204" s="32" t="str">
        <f aca="false">IF(O204="","",IF(E204&gt;O204,"BUY","SELL"))</f>
        <v>BUY</v>
      </c>
      <c r="X204" s="32" t="str">
        <f aca="false">IF(T204="","",IF(S204&gt;T204,"BUY","SELL"))</f>
        <v>BUY</v>
      </c>
      <c r="Y204" s="34" t="n">
        <f aca="false">IF(OR(V204="",W204="",X204=""),"",IFERROR(IF(V204="BUY",1,IF(V204="SELL",-1,0))+IF(W204="BUY",1,IF(W204="SELL",-1,0))+IF(X204="BUY",1,IF(X204="SELL",-1,0)),0))</f>
        <v>1</v>
      </c>
      <c r="Z204" s="32" t="str">
        <f aca="false">IF(Y204="","",IF(Y204&gt;=2,"STRONG BUY",IF(Y204=1,"BUY",IF(Y204=0,"HOLD",IF(Y204=-1,"SELL","STRONG SELL")))))</f>
        <v>BUY</v>
      </c>
    </row>
    <row r="205" customFormat="false" ht="15" hidden="false" customHeight="false" outlineLevel="0" collapsed="false">
      <c r="A205" s="24" t="n">
        <v>46055</v>
      </c>
      <c r="B205" s="25" t="n">
        <v>1739.97</v>
      </c>
      <c r="C205" s="25" t="n">
        <v>1743.03</v>
      </c>
      <c r="D205" s="25" t="n">
        <v>1720.87</v>
      </c>
      <c r="E205" s="25" t="n">
        <v>1731.95</v>
      </c>
      <c r="F205" s="26" t="n">
        <v>6438216</v>
      </c>
      <c r="G205" s="27" t="n">
        <f aca="false">E205-E204</f>
        <v>-6.73000000000002</v>
      </c>
      <c r="H205" s="28" t="n">
        <f aca="false">G205/E204</f>
        <v>-0.00387075252490396</v>
      </c>
      <c r="I205" s="29" t="n">
        <f aca="false">MAX(G205,0)</f>
        <v>0</v>
      </c>
      <c r="J205" s="29" t="n">
        <f aca="false">MAX(-G205,0)</f>
        <v>6.73000000000002</v>
      </c>
      <c r="K205" s="29" t="n">
        <f aca="false">(K204*13+I205)/14</f>
        <v>8.45258916341525</v>
      </c>
      <c r="L205" s="29" t="n">
        <f aca="false">(L204*13+J205)/14</f>
        <v>3.86506659074807</v>
      </c>
      <c r="M205" s="31" t="n">
        <f aca="false">IF(L205=0,100,100-100/(1+K205/MAX(L205,0.000001)))</f>
        <v>68.6217355973624</v>
      </c>
      <c r="N205" s="30" t="n">
        <f aca="false">AVERAGE(E186:E205)</f>
        <v>1673.5425</v>
      </c>
      <c r="O205" s="30" t="n">
        <f aca="false">AVERAGE(E156:E205)</f>
        <v>1643.8374</v>
      </c>
      <c r="P205" s="30" t="n">
        <f aca="false">AVERAGE(E6:E205)</f>
        <v>1464.67605</v>
      </c>
      <c r="Q205" s="30" t="n">
        <f aca="false">Q204+(2/13)*(E205-Q204)</f>
        <v>1694.95227243555</v>
      </c>
      <c r="R205" s="30" t="n">
        <f aca="false">R204+(2/27)*(E205-R204)</f>
        <v>1673.68311602579</v>
      </c>
      <c r="S205" s="33" t="n">
        <f aca="false">Q205-R205</f>
        <v>21.2691564097665</v>
      </c>
      <c r="T205" s="33" t="n">
        <f aca="false">T204+(2/10)*(S205-T204)</f>
        <v>16.1829050471722</v>
      </c>
      <c r="U205" s="33" t="n">
        <f aca="false">S205-T205</f>
        <v>5.08625136259433</v>
      </c>
      <c r="V205" s="32" t="str">
        <f aca="false">IF(M205="","",IF(M205&lt;Assumptions!$B$5,"BUY",IF(M205&gt;Assumptions!$B$4,"SELL","HOLD")))</f>
        <v>HOLD</v>
      </c>
      <c r="W205" s="32" t="str">
        <f aca="false">IF(O205="","",IF(E205&gt;O205,"BUY","SELL"))</f>
        <v>BUY</v>
      </c>
      <c r="X205" s="32" t="str">
        <f aca="false">IF(T205="","",IF(S205&gt;T205,"BUY","SELL"))</f>
        <v>BUY</v>
      </c>
      <c r="Y205" s="34" t="n">
        <f aca="false">IF(OR(V205="",W205="",X205=""),"",IFERROR(IF(V205="BUY",1,IF(V205="SELL",-1,0))+IF(W205="BUY",1,IF(W205="SELL",-1,0))+IF(X205="BUY",1,IF(X205="SELL",-1,0)),0))</f>
        <v>2</v>
      </c>
      <c r="Z205" s="32" t="str">
        <f aca="false">IF(Y205="","",IF(Y205&gt;=2,"STRONG BUY",IF(Y205=1,"BUY",IF(Y205=0,"HOLD",IF(Y205=-1,"SELL","STRONG SELL")))))</f>
        <v>STRONG BUY</v>
      </c>
    </row>
    <row r="206" customFormat="false" ht="15" hidden="false" customHeight="false" outlineLevel="0" collapsed="false">
      <c r="A206" s="24" t="n">
        <v>46056</v>
      </c>
      <c r="B206" s="25" t="n">
        <v>1732.21</v>
      </c>
      <c r="C206" s="25" t="n">
        <v>1745.46</v>
      </c>
      <c r="D206" s="25" t="n">
        <v>1729.74</v>
      </c>
      <c r="E206" s="25" t="n">
        <v>1737.6</v>
      </c>
      <c r="F206" s="26" t="n">
        <v>3695984</v>
      </c>
      <c r="G206" s="27" t="n">
        <f aca="false">E206-E205</f>
        <v>5.64999999999986</v>
      </c>
      <c r="H206" s="28" t="n">
        <f aca="false">G206/E205</f>
        <v>0.00326221888622643</v>
      </c>
      <c r="I206" s="29" t="n">
        <f aca="false">MAX(G206,0)</f>
        <v>5.64999999999986</v>
      </c>
      <c r="J206" s="29" t="n">
        <f aca="false">MAX(-G206,0)</f>
        <v>0</v>
      </c>
      <c r="K206" s="29" t="n">
        <f aca="false">(K205*13+I206)/14</f>
        <v>8.2524042231713</v>
      </c>
      <c r="L206" s="29" t="n">
        <f aca="false">(L205*13+J206)/14</f>
        <v>3.58899040569464</v>
      </c>
      <c r="M206" s="31" t="n">
        <f aca="false">IF(L206=0,100,100-100/(1+K206/MAX(L206,0.000001)))</f>
        <v>69.6911511001778</v>
      </c>
      <c r="N206" s="30" t="n">
        <f aca="false">AVERAGE(E187:E206)</f>
        <v>1677.878</v>
      </c>
      <c r="O206" s="30" t="n">
        <f aca="false">AVERAGE(E157:E206)</f>
        <v>1647.9146</v>
      </c>
      <c r="P206" s="30" t="n">
        <f aca="false">AVERAGE(E7:E206)</f>
        <v>1466.6131</v>
      </c>
      <c r="Q206" s="30" t="n">
        <f aca="false">Q205+(2/13)*(E206-Q205)</f>
        <v>1701.51346129162</v>
      </c>
      <c r="R206" s="30" t="n">
        <f aca="false">R205+(2/27)*(E206-R205)</f>
        <v>1678.41770002388</v>
      </c>
      <c r="S206" s="33" t="n">
        <f aca="false">Q206-R206</f>
        <v>23.0957612677455</v>
      </c>
      <c r="T206" s="33" t="n">
        <f aca="false">T205+(2/10)*(S206-T205)</f>
        <v>17.5654762912869</v>
      </c>
      <c r="U206" s="33" t="n">
        <f aca="false">S206-T206</f>
        <v>5.53028497645864</v>
      </c>
      <c r="V206" s="32" t="str">
        <f aca="false">IF(M206="","",IF(M206&lt;Assumptions!$B$5,"BUY",IF(M206&gt;Assumptions!$B$4,"SELL","HOLD")))</f>
        <v>HOLD</v>
      </c>
      <c r="W206" s="32" t="str">
        <f aca="false">IF(O206="","",IF(E206&gt;O206,"BUY","SELL"))</f>
        <v>BUY</v>
      </c>
      <c r="X206" s="32" t="str">
        <f aca="false">IF(T206="","",IF(S206&gt;T206,"BUY","SELL"))</f>
        <v>BUY</v>
      </c>
      <c r="Y206" s="34" t="n">
        <f aca="false">IF(OR(V206="",W206="",X206=""),"",IFERROR(IF(V206="BUY",1,IF(V206="SELL",-1,0))+IF(W206="BUY",1,IF(W206="SELL",-1,0))+IF(X206="BUY",1,IF(X206="SELL",-1,0)),0))</f>
        <v>2</v>
      </c>
      <c r="Z206" s="32" t="str">
        <f aca="false">IF(Y206="","",IF(Y206&gt;=2,"STRONG BUY",IF(Y206=1,"BUY",IF(Y206=0,"HOLD",IF(Y206=-1,"SELL","STRONG SELL")))))</f>
        <v>STRONG BUY</v>
      </c>
    </row>
    <row r="207" customFormat="false" ht="15" hidden="false" customHeight="false" outlineLevel="0" collapsed="false">
      <c r="A207" s="24" t="n">
        <v>46057</v>
      </c>
      <c r="B207" s="25" t="n">
        <v>1741.98</v>
      </c>
      <c r="C207" s="25" t="n">
        <v>1751.18</v>
      </c>
      <c r="D207" s="25" t="n">
        <v>1709.04</v>
      </c>
      <c r="E207" s="25" t="n">
        <v>1730.11</v>
      </c>
      <c r="F207" s="26" t="n">
        <v>5889383</v>
      </c>
      <c r="G207" s="27" t="n">
        <f aca="false">E207-E206</f>
        <v>-7.49000000000001</v>
      </c>
      <c r="H207" s="28" t="n">
        <f aca="false">G207/E206</f>
        <v>-0.00431054327808472</v>
      </c>
      <c r="I207" s="29" t="n">
        <f aca="false">MAX(G207,0)</f>
        <v>0</v>
      </c>
      <c r="J207" s="29" t="n">
        <f aca="false">MAX(-G207,0)</f>
        <v>7.49000000000001</v>
      </c>
      <c r="K207" s="29" t="n">
        <f aca="false">(K206*13+I207)/14</f>
        <v>7.66294677865906</v>
      </c>
      <c r="L207" s="29" t="n">
        <f aca="false">(L206*13+J207)/14</f>
        <v>3.86763394814502</v>
      </c>
      <c r="M207" s="31" t="n">
        <f aca="false">IF(L207=0,100,100-100/(1+K207/MAX(L207,0.000001)))</f>
        <v>66.4575961976114</v>
      </c>
      <c r="N207" s="30" t="n">
        <f aca="false">AVERAGE(E188:E207)</f>
        <v>1681.8645</v>
      </c>
      <c r="O207" s="30" t="n">
        <f aca="false">AVERAGE(E158:E207)</f>
        <v>1651.7122</v>
      </c>
      <c r="P207" s="30" t="n">
        <f aca="false">AVERAGE(E8:E207)</f>
        <v>1468.46925</v>
      </c>
      <c r="Q207" s="30" t="n">
        <f aca="false">Q206+(2/13)*(E207-Q206)</f>
        <v>1705.91292878522</v>
      </c>
      <c r="R207" s="30" t="n">
        <f aca="false">R206+(2/27)*(E207-R206)</f>
        <v>1682.24675928137</v>
      </c>
      <c r="S207" s="33" t="n">
        <f aca="false">Q207-R207</f>
        <v>23.6661695038515</v>
      </c>
      <c r="T207" s="33" t="n">
        <f aca="false">T206+(2/10)*(S207-T206)</f>
        <v>18.7856149337998</v>
      </c>
      <c r="U207" s="33" t="n">
        <f aca="false">S207-T207</f>
        <v>4.88055457005171</v>
      </c>
      <c r="V207" s="32" t="str">
        <f aca="false">IF(M207="","",IF(M207&lt;Assumptions!$B$5,"BUY",IF(M207&gt;Assumptions!$B$4,"SELL","HOLD")))</f>
        <v>HOLD</v>
      </c>
      <c r="W207" s="32" t="str">
        <f aca="false">IF(O207="","",IF(E207&gt;O207,"BUY","SELL"))</f>
        <v>BUY</v>
      </c>
      <c r="X207" s="32" t="str">
        <f aca="false">IF(T207="","",IF(S207&gt;T207,"BUY","SELL"))</f>
        <v>BUY</v>
      </c>
      <c r="Y207" s="34" t="n">
        <f aca="false">IF(OR(V207="",W207="",X207=""),"",IFERROR(IF(V207="BUY",1,IF(V207="SELL",-1,0))+IF(W207="BUY",1,IF(W207="SELL",-1,0))+IF(X207="BUY",1,IF(X207="SELL",-1,0)),0))</f>
        <v>2</v>
      </c>
      <c r="Z207" s="32" t="str">
        <f aca="false">IF(Y207="","",IF(Y207&gt;=2,"STRONG BUY",IF(Y207=1,"BUY",IF(Y207=0,"HOLD",IF(Y207=-1,"SELL","STRONG SELL")))))</f>
        <v>STRONG BUY</v>
      </c>
    </row>
    <row r="208" customFormat="false" ht="15" hidden="false" customHeight="false" outlineLevel="0" collapsed="false">
      <c r="A208" s="24" t="n">
        <v>46058</v>
      </c>
      <c r="B208" s="25" t="n">
        <v>1722.25</v>
      </c>
      <c r="C208" s="25" t="n">
        <v>1722.25</v>
      </c>
      <c r="D208" s="25" t="n">
        <v>1716.87</v>
      </c>
      <c r="E208" s="25" t="n">
        <v>1719.56</v>
      </c>
      <c r="F208" s="26" t="n">
        <v>6314102</v>
      </c>
      <c r="G208" s="27" t="n">
        <f aca="false">E208-E207</f>
        <v>-10.55</v>
      </c>
      <c r="H208" s="28" t="n">
        <f aca="false">G208/E207</f>
        <v>-0.00609787816959613</v>
      </c>
      <c r="I208" s="29" t="n">
        <f aca="false">MAX(G208,0)</f>
        <v>0</v>
      </c>
      <c r="J208" s="29" t="n">
        <f aca="false">MAX(-G208,0)</f>
        <v>10.55</v>
      </c>
      <c r="K208" s="29" t="n">
        <f aca="false">(K207*13+I208)/14</f>
        <v>7.11559343732627</v>
      </c>
      <c r="L208" s="29" t="n">
        <f aca="false">(L207*13+J208)/14</f>
        <v>4.3449458089918</v>
      </c>
      <c r="M208" s="31" t="n">
        <f aca="false">IF(L208=0,100,100-100/(1+K208/MAX(L208,0.000001)))</f>
        <v>62.0877716518644</v>
      </c>
      <c r="N208" s="30" t="n">
        <f aca="false">AVERAGE(E189:E208)</f>
        <v>1685.867</v>
      </c>
      <c r="O208" s="30" t="n">
        <f aca="false">AVERAGE(E159:E208)</f>
        <v>1655.152</v>
      </c>
      <c r="P208" s="30" t="n">
        <f aca="false">AVERAGE(E9:E208)</f>
        <v>1470.27975</v>
      </c>
      <c r="Q208" s="30" t="n">
        <f aca="false">Q207+(2/13)*(E208-Q207)</f>
        <v>1708.01247820288</v>
      </c>
      <c r="R208" s="30" t="n">
        <f aca="false">R207+(2/27)*(E208-R207)</f>
        <v>1685.0107030383</v>
      </c>
      <c r="S208" s="33" t="n">
        <f aca="false">Q208-R208</f>
        <v>23.0017751645744</v>
      </c>
      <c r="T208" s="33" t="n">
        <f aca="false">T207+(2/10)*(S208-T207)</f>
        <v>19.6288469799547</v>
      </c>
      <c r="U208" s="33" t="n">
        <f aca="false">S208-T208</f>
        <v>3.37292818461967</v>
      </c>
      <c r="V208" s="32" t="str">
        <f aca="false">IF(M208="","",IF(M208&lt;Assumptions!$B$5,"BUY",IF(M208&gt;Assumptions!$B$4,"SELL","HOLD")))</f>
        <v>HOLD</v>
      </c>
      <c r="W208" s="32" t="str">
        <f aca="false">IF(O208="","",IF(E208&gt;O208,"BUY","SELL"))</f>
        <v>BUY</v>
      </c>
      <c r="X208" s="32" t="str">
        <f aca="false">IF(T208="","",IF(S208&gt;T208,"BUY","SELL"))</f>
        <v>BUY</v>
      </c>
      <c r="Y208" s="34" t="n">
        <f aca="false">IF(OR(V208="",W208="",X208=""),"",IFERROR(IF(V208="BUY",1,IF(V208="SELL",-1,0))+IF(W208="BUY",1,IF(W208="SELL",-1,0))+IF(X208="BUY",1,IF(X208="SELL",-1,0)),0))</f>
        <v>2</v>
      </c>
      <c r="Z208" s="32" t="str">
        <f aca="false">IF(Y208="","",IF(Y208&gt;=2,"STRONG BUY",IF(Y208=1,"BUY",IF(Y208=0,"HOLD",IF(Y208=-1,"SELL","STRONG SELL")))))</f>
        <v>STRONG BUY</v>
      </c>
    </row>
    <row r="209" customFormat="false" ht="15" hidden="false" customHeight="false" outlineLevel="0" collapsed="false">
      <c r="A209" s="24" t="n">
        <v>46059</v>
      </c>
      <c r="B209" s="25" t="n">
        <v>1710.63</v>
      </c>
      <c r="C209" s="25" t="n">
        <v>1730.77</v>
      </c>
      <c r="D209" s="25" t="n">
        <v>1710.63</v>
      </c>
      <c r="E209" s="25" t="n">
        <v>1720.7</v>
      </c>
      <c r="F209" s="26" t="n">
        <v>3750787</v>
      </c>
      <c r="G209" s="27" t="n">
        <f aca="false">E209-E208</f>
        <v>1.1400000000001</v>
      </c>
      <c r="H209" s="28" t="n">
        <f aca="false">G209/E208</f>
        <v>0.000662960292167822</v>
      </c>
      <c r="I209" s="29" t="n">
        <f aca="false">MAX(G209,0)</f>
        <v>1.1400000000001</v>
      </c>
      <c r="J209" s="29" t="n">
        <f aca="false">MAX(-G209,0)</f>
        <v>0</v>
      </c>
      <c r="K209" s="29" t="n">
        <f aca="false">(K208*13+I209)/14</f>
        <v>6.68876533466012</v>
      </c>
      <c r="L209" s="29" t="n">
        <f aca="false">(L208*13+J209)/14</f>
        <v>4.03459253692096</v>
      </c>
      <c r="M209" s="31" t="n">
        <f aca="false">IF(L209=0,100,100-100/(1+K209/MAX(L209,0.000001)))</f>
        <v>62.3756608215661</v>
      </c>
      <c r="N209" s="30" t="n">
        <f aca="false">AVERAGE(E190:E209)</f>
        <v>1689.5315</v>
      </c>
      <c r="O209" s="30" t="n">
        <f aca="false">AVERAGE(E160:E209)</f>
        <v>1658.4742</v>
      </c>
      <c r="P209" s="30" t="n">
        <f aca="false">AVERAGE(E10:E209)</f>
        <v>1472.18615</v>
      </c>
      <c r="Q209" s="30" t="n">
        <f aca="false">Q208+(2/13)*(E209-Q208)</f>
        <v>1709.9644046332</v>
      </c>
      <c r="R209" s="30" t="n">
        <f aca="false">R208+(2/27)*(E209-R208)</f>
        <v>1687.6543546651</v>
      </c>
      <c r="S209" s="33" t="n">
        <f aca="false">Q209-R209</f>
        <v>22.3100499681086</v>
      </c>
      <c r="T209" s="33" t="n">
        <f aca="false">T208+(2/10)*(S209-T208)</f>
        <v>20.1650875775855</v>
      </c>
      <c r="U209" s="33" t="n">
        <f aca="false">S209-T209</f>
        <v>2.14496239052312</v>
      </c>
      <c r="V209" s="32" t="str">
        <f aca="false">IF(M209="","",IF(M209&lt;Assumptions!$B$5,"BUY",IF(M209&gt;Assumptions!$B$4,"SELL","HOLD")))</f>
        <v>HOLD</v>
      </c>
      <c r="W209" s="32" t="str">
        <f aca="false">IF(O209="","",IF(E209&gt;O209,"BUY","SELL"))</f>
        <v>BUY</v>
      </c>
      <c r="X209" s="32" t="str">
        <f aca="false">IF(T209="","",IF(S209&gt;T209,"BUY","SELL"))</f>
        <v>BUY</v>
      </c>
      <c r="Y209" s="34" t="n">
        <f aca="false">IF(OR(V209="",W209="",X209=""),"",IFERROR(IF(V209="BUY",1,IF(V209="SELL",-1,0))+IF(W209="BUY",1,IF(W209="SELL",-1,0))+IF(X209="BUY",1,IF(X209="SELL",-1,0)),0))</f>
        <v>2</v>
      </c>
      <c r="Z209" s="32" t="str">
        <f aca="false">IF(Y209="","",IF(Y209&gt;=2,"STRONG BUY",IF(Y209=1,"BUY",IF(Y209=0,"HOLD",IF(Y209=-1,"SELL","STRONG SELL")))))</f>
        <v>STRONG BUY</v>
      </c>
    </row>
    <row r="210" customFormat="false" ht="15" hidden="false" customHeight="false" outlineLevel="0" collapsed="false">
      <c r="A210" s="24" t="n">
        <v>46062</v>
      </c>
      <c r="B210" s="25" t="n">
        <v>1718.51</v>
      </c>
      <c r="C210" s="25" t="n">
        <v>1718.51</v>
      </c>
      <c r="D210" s="25" t="n">
        <v>1714.49</v>
      </c>
      <c r="E210" s="25" t="n">
        <v>1716.5</v>
      </c>
      <c r="F210" s="26" t="n">
        <v>6675161</v>
      </c>
      <c r="G210" s="27" t="n">
        <f aca="false">E210-E209</f>
        <v>-4.20000000000005</v>
      </c>
      <c r="H210" s="28" t="n">
        <f aca="false">G210/E209</f>
        <v>-0.00244086708897544</v>
      </c>
      <c r="I210" s="29" t="n">
        <f aca="false">MAX(G210,0)</f>
        <v>0</v>
      </c>
      <c r="J210" s="29" t="n">
        <f aca="false">MAX(-G210,0)</f>
        <v>4.20000000000005</v>
      </c>
      <c r="K210" s="29" t="n">
        <f aca="false">(K209*13+I210)/14</f>
        <v>6.21099638218439</v>
      </c>
      <c r="L210" s="29" t="n">
        <f aca="false">(L209*13+J210)/14</f>
        <v>4.04640735571232</v>
      </c>
      <c r="M210" s="31" t="n">
        <f aca="false">IF(L210=0,100,100-100/(1+K210/MAX(L210,0.000001)))</f>
        <v>60.5513494534433</v>
      </c>
      <c r="N210" s="30" t="n">
        <f aca="false">AVERAGE(E191:E210)</f>
        <v>1692.615</v>
      </c>
      <c r="O210" s="30" t="n">
        <f aca="false">AVERAGE(E161:E210)</f>
        <v>1661.9046</v>
      </c>
      <c r="P210" s="30" t="n">
        <f aca="false">AVERAGE(E11:E210)</f>
        <v>1474.0508</v>
      </c>
      <c r="Q210" s="30" t="n">
        <f aca="false">Q209+(2/13)*(E210-Q209)</f>
        <v>1710.96988084348</v>
      </c>
      <c r="R210" s="30" t="n">
        <f aca="false">R209+(2/27)*(E210-R209)</f>
        <v>1689.79106913435</v>
      </c>
      <c r="S210" s="33" t="n">
        <f aca="false">Q210-R210</f>
        <v>21.1788117091328</v>
      </c>
      <c r="T210" s="33" t="n">
        <f aca="false">T209+(2/10)*(S210-T209)</f>
        <v>20.367832403895</v>
      </c>
      <c r="U210" s="33" t="n">
        <f aca="false">S210-T210</f>
        <v>0.810979305237837</v>
      </c>
      <c r="V210" s="32" t="str">
        <f aca="false">IF(M210="","",IF(M210&lt;Assumptions!$B$5,"BUY",IF(M210&gt;Assumptions!$B$4,"SELL","HOLD")))</f>
        <v>HOLD</v>
      </c>
      <c r="W210" s="32" t="str">
        <f aca="false">IF(O210="","",IF(E210&gt;O210,"BUY","SELL"))</f>
        <v>BUY</v>
      </c>
      <c r="X210" s="32" t="str">
        <f aca="false">IF(T210="","",IF(S210&gt;T210,"BUY","SELL"))</f>
        <v>BUY</v>
      </c>
      <c r="Y210" s="34" t="n">
        <f aca="false">IF(OR(V210="",W210="",X210=""),"",IFERROR(IF(V210="BUY",1,IF(V210="SELL",-1,0))+IF(W210="BUY",1,IF(W210="SELL",-1,0))+IF(X210="BUY",1,IF(X210="SELL",-1,0)),0))</f>
        <v>2</v>
      </c>
      <c r="Z210" s="32" t="str">
        <f aca="false">IF(Y210="","",IF(Y210&gt;=2,"STRONG BUY",IF(Y210=1,"BUY",IF(Y210=0,"HOLD",IF(Y210=-1,"SELL","STRONG SELL")))))</f>
        <v>STRONG BUY</v>
      </c>
    </row>
    <row r="211" customFormat="false" ht="15" hidden="false" customHeight="false" outlineLevel="0" collapsed="false">
      <c r="A211" s="24" t="n">
        <v>46063</v>
      </c>
      <c r="B211" s="25" t="n">
        <v>1720.68</v>
      </c>
      <c r="C211" s="25" t="n">
        <v>1730.21</v>
      </c>
      <c r="D211" s="25" t="n">
        <v>1709.39</v>
      </c>
      <c r="E211" s="25" t="n">
        <v>1719.8</v>
      </c>
      <c r="F211" s="26" t="n">
        <v>8859369</v>
      </c>
      <c r="G211" s="27" t="n">
        <f aca="false">E211-E210</f>
        <v>3.29999999999995</v>
      </c>
      <c r="H211" s="28" t="n">
        <f aca="false">G211/E210</f>
        <v>0.00192251674919892</v>
      </c>
      <c r="I211" s="29" t="n">
        <f aca="false">MAX(G211,0)</f>
        <v>3.29999999999995</v>
      </c>
      <c r="J211" s="29" t="n">
        <f aca="false">MAX(-G211,0)</f>
        <v>0</v>
      </c>
      <c r="K211" s="29" t="n">
        <f aca="false">(K210*13+I211)/14</f>
        <v>6.00306806917122</v>
      </c>
      <c r="L211" s="29" t="n">
        <f aca="false">(L210*13+J211)/14</f>
        <v>3.75737825887573</v>
      </c>
      <c r="M211" s="31" t="n">
        <f aca="false">IF(L211=0,100,100-100/(1+K211/MAX(L211,0.000001)))</f>
        <v>61.5040323711552</v>
      </c>
      <c r="N211" s="30" t="n">
        <f aca="false">AVERAGE(E192:E211)</f>
        <v>1696.284</v>
      </c>
      <c r="O211" s="30" t="n">
        <f aca="false">AVERAGE(E162:E211)</f>
        <v>1665.081</v>
      </c>
      <c r="P211" s="30" t="n">
        <f aca="false">AVERAGE(E12:E211)</f>
        <v>1475.9474</v>
      </c>
      <c r="Q211" s="30" t="n">
        <f aca="false">Q210+(2/13)*(E211-Q210)</f>
        <v>1712.32836071371</v>
      </c>
      <c r="R211" s="30" t="n">
        <f aca="false">R210+(2/27)*(E211-R210)</f>
        <v>1692.01395290217</v>
      </c>
      <c r="S211" s="33" t="n">
        <f aca="false">Q211-R211</f>
        <v>20.3144078115406</v>
      </c>
      <c r="T211" s="33" t="n">
        <f aca="false">T210+(2/10)*(S211-T210)</f>
        <v>20.3571474854241</v>
      </c>
      <c r="U211" s="33" t="n">
        <f aca="false">S211-T211</f>
        <v>-0.042739673883478</v>
      </c>
      <c r="V211" s="32" t="str">
        <f aca="false">IF(M211="","",IF(M211&lt;Assumptions!$B$5,"BUY",IF(M211&gt;Assumptions!$B$4,"SELL","HOLD")))</f>
        <v>HOLD</v>
      </c>
      <c r="W211" s="32" t="str">
        <f aca="false">IF(O211="","",IF(E211&gt;O211,"BUY","SELL"))</f>
        <v>BUY</v>
      </c>
      <c r="X211" s="32" t="str">
        <f aca="false">IF(T211="","",IF(S211&gt;T211,"BUY","SELL"))</f>
        <v>SELL</v>
      </c>
      <c r="Y211" s="34" t="n">
        <f aca="false">IF(OR(V211="",W211="",X211=""),"",IFERROR(IF(V211="BUY",1,IF(V211="SELL",-1,0))+IF(W211="BUY",1,IF(W211="SELL",-1,0))+IF(X211="BUY",1,IF(X211="SELL",-1,0)),0))</f>
        <v>0</v>
      </c>
      <c r="Z211" s="32" t="str">
        <f aca="false">IF(Y211="","",IF(Y211&gt;=2,"STRONG BUY",IF(Y211=1,"BUY",IF(Y211=0,"HOLD",IF(Y211=-1,"SELL","STRONG SELL")))))</f>
        <v>HOLD</v>
      </c>
    </row>
    <row r="212" customFormat="false" ht="15" hidden="false" customHeight="false" outlineLevel="0" collapsed="false">
      <c r="A212" s="24" t="n">
        <v>46064</v>
      </c>
      <c r="B212" s="25" t="n">
        <v>1693.58</v>
      </c>
      <c r="C212" s="25" t="n">
        <v>1694.7</v>
      </c>
      <c r="D212" s="25" t="n">
        <v>1680.68</v>
      </c>
      <c r="E212" s="25" t="n">
        <v>1687.69</v>
      </c>
      <c r="F212" s="26" t="n">
        <v>4966422</v>
      </c>
      <c r="G212" s="27" t="n">
        <f aca="false">E212-E211</f>
        <v>-32.1099999999999</v>
      </c>
      <c r="H212" s="28" t="n">
        <f aca="false">G212/E211</f>
        <v>-0.0186707756715897</v>
      </c>
      <c r="I212" s="29" t="n">
        <f aca="false">MAX(G212,0)</f>
        <v>0</v>
      </c>
      <c r="J212" s="29" t="n">
        <f aca="false">MAX(-G212,0)</f>
        <v>32.1099999999999</v>
      </c>
      <c r="K212" s="29" t="n">
        <f aca="false">(K211*13+I212)/14</f>
        <v>5.57427749280185</v>
      </c>
      <c r="L212" s="29" t="n">
        <f aca="false">(L211*13+J212)/14</f>
        <v>5.78256552609888</v>
      </c>
      <c r="M212" s="31" t="n">
        <f aca="false">IF(L212=0,100,100-100/(1+K212/MAX(L212,0.000001)))</f>
        <v>49.0829844484493</v>
      </c>
      <c r="N212" s="30" t="n">
        <f aca="false">AVERAGE(E193:E212)</f>
        <v>1698.042</v>
      </c>
      <c r="O212" s="30" t="n">
        <f aca="false">AVERAGE(E163:E212)</f>
        <v>1667.5874</v>
      </c>
      <c r="P212" s="30" t="n">
        <f aca="false">AVERAGE(E13:E212)</f>
        <v>1477.69585</v>
      </c>
      <c r="Q212" s="30" t="n">
        <f aca="false">Q211+(2/13)*(E212-Q211)</f>
        <v>1708.53784368083</v>
      </c>
      <c r="R212" s="30" t="n">
        <f aca="false">R211+(2/27)*(E212-R211)</f>
        <v>1691.6936600946</v>
      </c>
      <c r="S212" s="33" t="n">
        <f aca="false">Q212-R212</f>
        <v>16.84418358623</v>
      </c>
      <c r="T212" s="33" t="n">
        <f aca="false">T211+(2/10)*(S212-T211)</f>
        <v>19.6545547055853</v>
      </c>
      <c r="U212" s="33" t="n">
        <f aca="false">S212-T212</f>
        <v>-2.81037111935529</v>
      </c>
      <c r="V212" s="32" t="str">
        <f aca="false">IF(M212="","",IF(M212&lt;Assumptions!$B$5,"BUY",IF(M212&gt;Assumptions!$B$4,"SELL","HOLD")))</f>
        <v>HOLD</v>
      </c>
      <c r="W212" s="32" t="str">
        <f aca="false">IF(O212="","",IF(E212&gt;O212,"BUY","SELL"))</f>
        <v>BUY</v>
      </c>
      <c r="X212" s="32" t="str">
        <f aca="false">IF(T212="","",IF(S212&gt;T212,"BUY","SELL"))</f>
        <v>SELL</v>
      </c>
      <c r="Y212" s="34" t="n">
        <f aca="false">IF(OR(V212="",W212="",X212=""),"",IFERROR(IF(V212="BUY",1,IF(V212="SELL",-1,0))+IF(W212="BUY",1,IF(W212="SELL",-1,0))+IF(X212="BUY",1,IF(X212="SELL",-1,0)),0))</f>
        <v>0</v>
      </c>
      <c r="Z212" s="32" t="str">
        <f aca="false">IF(Y212="","",IF(Y212&gt;=2,"STRONG BUY",IF(Y212=1,"BUY",IF(Y212=0,"HOLD",IF(Y212=-1,"SELL","STRONG SELL")))))</f>
        <v>HOLD</v>
      </c>
    </row>
    <row r="213" customFormat="false" ht="15" hidden="false" customHeight="false" outlineLevel="0" collapsed="false">
      <c r="A213" s="24" t="n">
        <v>46065</v>
      </c>
      <c r="B213" s="25" t="n">
        <v>1726.47</v>
      </c>
      <c r="C213" s="25" t="n">
        <v>1726.47</v>
      </c>
      <c r="D213" s="25" t="n">
        <v>1710.63</v>
      </c>
      <c r="E213" s="25" t="n">
        <v>1718.55</v>
      </c>
      <c r="F213" s="26" t="n">
        <v>5186623</v>
      </c>
      <c r="G213" s="27" t="n">
        <f aca="false">E213-E212</f>
        <v>30.8599999999999</v>
      </c>
      <c r="H213" s="28" t="n">
        <f aca="false">G213/E212</f>
        <v>0.0182853486126006</v>
      </c>
      <c r="I213" s="29" t="n">
        <f aca="false">MAX(G213,0)</f>
        <v>30.8599999999999</v>
      </c>
      <c r="J213" s="29" t="n">
        <f aca="false">MAX(-G213,0)</f>
        <v>0</v>
      </c>
      <c r="K213" s="29" t="n">
        <f aca="false">(K212*13+I213)/14</f>
        <v>7.38040052903028</v>
      </c>
      <c r="L213" s="29" t="n">
        <f aca="false">(L212*13+J213)/14</f>
        <v>5.36952513137753</v>
      </c>
      <c r="M213" s="31" t="n">
        <f aca="false">IF(L213=0,100,100-100/(1+K213/MAX(L213,0.000001)))</f>
        <v>57.8858318519342</v>
      </c>
      <c r="N213" s="30" t="n">
        <f aca="false">AVERAGE(E194:E213)</f>
        <v>1700.5765</v>
      </c>
      <c r="O213" s="30" t="n">
        <f aca="false">AVERAGE(E164:E213)</f>
        <v>1670.5104</v>
      </c>
      <c r="P213" s="30" t="n">
        <f aca="false">AVERAGE(E14:E213)</f>
        <v>1479.59095</v>
      </c>
      <c r="Q213" s="30" t="n">
        <f aca="false">Q212+(2/13)*(E213-Q212)</f>
        <v>1710.07817542224</v>
      </c>
      <c r="R213" s="30" t="n">
        <f aca="false">R212+(2/27)*(E213-R212)</f>
        <v>1693.68301860612</v>
      </c>
      <c r="S213" s="33" t="n">
        <f aca="false">Q213-R213</f>
        <v>16.3951568161292</v>
      </c>
      <c r="T213" s="33" t="n">
        <f aca="false">T212+(2/10)*(S213-T212)</f>
        <v>19.0026751276941</v>
      </c>
      <c r="U213" s="33" t="n">
        <f aca="false">S213-T213</f>
        <v>-2.60751831156485</v>
      </c>
      <c r="V213" s="32" t="str">
        <f aca="false">IF(M213="","",IF(M213&lt;Assumptions!$B$5,"BUY",IF(M213&gt;Assumptions!$B$4,"SELL","HOLD")))</f>
        <v>HOLD</v>
      </c>
      <c r="W213" s="32" t="str">
        <f aca="false">IF(O213="","",IF(E213&gt;O213,"BUY","SELL"))</f>
        <v>BUY</v>
      </c>
      <c r="X213" s="32" t="str">
        <f aca="false">IF(T213="","",IF(S213&gt;T213,"BUY","SELL"))</f>
        <v>SELL</v>
      </c>
      <c r="Y213" s="34" t="n">
        <f aca="false">IF(OR(V213="",W213="",X213=""),"",IFERROR(IF(V213="BUY",1,IF(V213="SELL",-1,0))+IF(W213="BUY",1,IF(W213="SELL",-1,0))+IF(X213="BUY",1,IF(X213="SELL",-1,0)),0))</f>
        <v>0</v>
      </c>
      <c r="Z213" s="32" t="str">
        <f aca="false">IF(Y213="","",IF(Y213&gt;=2,"STRONG BUY",IF(Y213=1,"BUY",IF(Y213=0,"HOLD",IF(Y213=-1,"SELL","STRONG SELL")))))</f>
        <v>HOLD</v>
      </c>
    </row>
    <row r="214" customFormat="false" ht="15" hidden="false" customHeight="false" outlineLevel="0" collapsed="false">
      <c r="A214" s="24" t="n">
        <v>46066</v>
      </c>
      <c r="B214" s="25" t="n">
        <v>1710.14</v>
      </c>
      <c r="C214" s="25" t="n">
        <v>1728.74</v>
      </c>
      <c r="D214" s="25" t="n">
        <v>1703.54</v>
      </c>
      <c r="E214" s="25" t="n">
        <v>1716.14</v>
      </c>
      <c r="F214" s="26" t="n">
        <v>6032672</v>
      </c>
      <c r="G214" s="27" t="n">
        <f aca="false">E214-E213</f>
        <v>-2.40999999999985</v>
      </c>
      <c r="H214" s="28" t="n">
        <f aca="false">G214/E213</f>
        <v>-0.00140234500014539</v>
      </c>
      <c r="I214" s="29" t="n">
        <f aca="false">MAX(G214,0)</f>
        <v>0</v>
      </c>
      <c r="J214" s="29" t="n">
        <f aca="false">MAX(-G214,0)</f>
        <v>2.40999999999985</v>
      </c>
      <c r="K214" s="29" t="n">
        <f aca="false">(K213*13+I214)/14</f>
        <v>6.85322906267097</v>
      </c>
      <c r="L214" s="29" t="n">
        <f aca="false">(L213*13+J214)/14</f>
        <v>5.15813047913627</v>
      </c>
      <c r="M214" s="31" t="n">
        <f aca="false">IF(L214=0,100,100-100/(1+K214/MAX(L214,0.000001)))</f>
        <v>57.056231135346</v>
      </c>
      <c r="N214" s="30" t="n">
        <f aca="false">AVERAGE(E195:E214)</f>
        <v>1703.5155</v>
      </c>
      <c r="O214" s="30" t="n">
        <f aca="false">AVERAGE(E165:E214)</f>
        <v>1673.0194</v>
      </c>
      <c r="P214" s="30" t="n">
        <f aca="false">AVERAGE(E15:E214)</f>
        <v>1481.4593</v>
      </c>
      <c r="Q214" s="30" t="n">
        <f aca="false">Q213+(2/13)*(E214-Q213)</f>
        <v>1711.01076381882</v>
      </c>
      <c r="R214" s="30" t="n">
        <f aca="false">R213+(2/27)*(E214-R213)</f>
        <v>1695.34649870937</v>
      </c>
      <c r="S214" s="33" t="n">
        <f aca="false">Q214-R214</f>
        <v>15.6642651094562</v>
      </c>
      <c r="T214" s="33" t="n">
        <f aca="false">T213+(2/10)*(S214-T213)</f>
        <v>18.3349931240465</v>
      </c>
      <c r="U214" s="33" t="n">
        <f aca="false">S214-T214</f>
        <v>-2.67072801459027</v>
      </c>
      <c r="V214" s="32" t="str">
        <f aca="false">IF(M214="","",IF(M214&lt;Assumptions!$B$5,"BUY",IF(M214&gt;Assumptions!$B$4,"SELL","HOLD")))</f>
        <v>HOLD</v>
      </c>
      <c r="W214" s="32" t="str">
        <f aca="false">IF(O214="","",IF(E214&gt;O214,"BUY","SELL"))</f>
        <v>BUY</v>
      </c>
      <c r="X214" s="32" t="str">
        <f aca="false">IF(T214="","",IF(S214&gt;T214,"BUY","SELL"))</f>
        <v>SELL</v>
      </c>
      <c r="Y214" s="34" t="n">
        <f aca="false">IF(OR(V214="",W214="",X214=""),"",IFERROR(IF(V214="BUY",1,IF(V214="SELL",-1,0))+IF(W214="BUY",1,IF(W214="SELL",-1,0))+IF(X214="BUY",1,IF(X214="SELL",-1,0)),0))</f>
        <v>0</v>
      </c>
      <c r="Z214" s="32" t="str">
        <f aca="false">IF(Y214="","",IF(Y214&gt;=2,"STRONG BUY",IF(Y214=1,"BUY",IF(Y214=0,"HOLD",IF(Y214=-1,"SELL","STRONG SELL")))))</f>
        <v>HOLD</v>
      </c>
    </row>
    <row r="215" customFormat="false" ht="15" hidden="false" customHeight="false" outlineLevel="0" collapsed="false">
      <c r="A215" s="24" t="n">
        <v>46069</v>
      </c>
      <c r="B215" s="25" t="n">
        <v>1738.21</v>
      </c>
      <c r="C215" s="25" t="n">
        <v>1752.91</v>
      </c>
      <c r="D215" s="25" t="n">
        <v>1733.99</v>
      </c>
      <c r="E215" s="25" t="n">
        <v>1743.45</v>
      </c>
      <c r="F215" s="26" t="n">
        <v>6921717</v>
      </c>
      <c r="G215" s="27" t="n">
        <f aca="false">E215-E214</f>
        <v>27.3099999999999</v>
      </c>
      <c r="H215" s="28" t="n">
        <f aca="false">G215/E214</f>
        <v>0.0159136201009241</v>
      </c>
      <c r="I215" s="29" t="n">
        <f aca="false">MAX(G215,0)</f>
        <v>27.3099999999999</v>
      </c>
      <c r="J215" s="29" t="n">
        <f aca="false">MAX(-G215,0)</f>
        <v>0</v>
      </c>
      <c r="K215" s="29" t="n">
        <f aca="false">(K214*13+I215)/14</f>
        <v>8.3144269867659</v>
      </c>
      <c r="L215" s="29" t="n">
        <f aca="false">(L214*13+J215)/14</f>
        <v>4.78969258776939</v>
      </c>
      <c r="M215" s="31" t="n">
        <f aca="false">IF(L215=0,100,100-100/(1+K215/MAX(L215,0.000001)))</f>
        <v>63.4489554179816</v>
      </c>
      <c r="N215" s="30" t="n">
        <f aca="false">AVERAGE(E196:E215)</f>
        <v>1707.527</v>
      </c>
      <c r="O215" s="30" t="n">
        <f aca="false">AVERAGE(E166:E215)</f>
        <v>1675.8964</v>
      </c>
      <c r="P215" s="30" t="n">
        <f aca="false">AVERAGE(E16:E215)</f>
        <v>1483.39285</v>
      </c>
      <c r="Q215" s="30" t="n">
        <f aca="false">Q214+(2/13)*(E215-Q214)</f>
        <v>1716.001415539</v>
      </c>
      <c r="R215" s="30" t="n">
        <f aca="false">R214+(2/27)*(E215-R214)</f>
        <v>1698.90972102719</v>
      </c>
      <c r="S215" s="33" t="n">
        <f aca="false">Q215-R215</f>
        <v>17.0916945118126</v>
      </c>
      <c r="T215" s="33" t="n">
        <f aca="false">T214+(2/10)*(S215-T214)</f>
        <v>18.0863334015997</v>
      </c>
      <c r="U215" s="33" t="n">
        <f aca="false">S215-T215</f>
        <v>-0.994638889787069</v>
      </c>
      <c r="V215" s="32" t="str">
        <f aca="false">IF(M215="","",IF(M215&lt;Assumptions!$B$5,"BUY",IF(M215&gt;Assumptions!$B$4,"SELL","HOLD")))</f>
        <v>HOLD</v>
      </c>
      <c r="W215" s="32" t="str">
        <f aca="false">IF(O215="","",IF(E215&gt;O215,"BUY","SELL"))</f>
        <v>BUY</v>
      </c>
      <c r="X215" s="32" t="str">
        <f aca="false">IF(T215="","",IF(S215&gt;T215,"BUY","SELL"))</f>
        <v>SELL</v>
      </c>
      <c r="Y215" s="34" t="n">
        <f aca="false">IF(OR(V215="",W215="",X215=""),"",IFERROR(IF(V215="BUY",1,IF(V215="SELL",-1,0))+IF(W215="BUY",1,IF(W215="SELL",-1,0))+IF(X215="BUY",1,IF(X215="SELL",-1,0)),0))</f>
        <v>0</v>
      </c>
      <c r="Z215" s="32" t="str">
        <f aca="false">IF(Y215="","",IF(Y215&gt;=2,"STRONG BUY",IF(Y215=1,"BUY",IF(Y215=0,"HOLD",IF(Y215=-1,"SELL","STRONG SELL")))))</f>
        <v>HOLD</v>
      </c>
    </row>
    <row r="216" customFormat="false" ht="15" hidden="false" customHeight="false" outlineLevel="0" collapsed="false">
      <c r="A216" s="24" t="n">
        <v>46070</v>
      </c>
      <c r="B216" s="25" t="n">
        <v>1722.33</v>
      </c>
      <c r="C216" s="25" t="n">
        <v>1734.89</v>
      </c>
      <c r="D216" s="25" t="n">
        <v>1720.89</v>
      </c>
      <c r="E216" s="25" t="n">
        <v>1727.89</v>
      </c>
      <c r="F216" s="26" t="n">
        <v>4997913</v>
      </c>
      <c r="G216" s="27" t="n">
        <f aca="false">E216-E215</f>
        <v>-15.5599999999999</v>
      </c>
      <c r="H216" s="28" t="n">
        <f aca="false">G216/E215</f>
        <v>-0.00892483294616992</v>
      </c>
      <c r="I216" s="29" t="n">
        <f aca="false">MAX(G216,0)</f>
        <v>0</v>
      </c>
      <c r="J216" s="29" t="n">
        <f aca="false">MAX(-G216,0)</f>
        <v>15.5599999999999</v>
      </c>
      <c r="K216" s="29" t="n">
        <f aca="false">(K215*13+I216)/14</f>
        <v>7.72053934485405</v>
      </c>
      <c r="L216" s="29" t="n">
        <f aca="false">(L215*13+J216)/14</f>
        <v>5.55900026007158</v>
      </c>
      <c r="M216" s="31" t="n">
        <f aca="false">IF(L216=0,100,100-100/(1+K216/MAX(L216,0.000001)))</f>
        <v>58.1386070191045</v>
      </c>
      <c r="N216" s="30" t="n">
        <f aca="false">AVERAGE(E197:E216)</f>
        <v>1710.75</v>
      </c>
      <c r="O216" s="30" t="n">
        <f aca="false">AVERAGE(E167:E216)</f>
        <v>1678.3764</v>
      </c>
      <c r="P216" s="30" t="n">
        <f aca="false">AVERAGE(E17:E216)</f>
        <v>1485.2077</v>
      </c>
      <c r="Q216" s="30" t="n">
        <f aca="false">Q215+(2/13)*(E216-Q215)</f>
        <v>1717.830428533</v>
      </c>
      <c r="R216" s="30" t="n">
        <f aca="false">R215+(2/27)*(E216-R215)</f>
        <v>1701.05640835851</v>
      </c>
      <c r="S216" s="33" t="n">
        <f aca="false">Q216-R216</f>
        <v>16.774020174493</v>
      </c>
      <c r="T216" s="33" t="n">
        <f aca="false">T215+(2/10)*(S216-T215)</f>
        <v>17.8238707561784</v>
      </c>
      <c r="U216" s="33" t="n">
        <f aca="false">S216-T216</f>
        <v>-1.04985058168538</v>
      </c>
      <c r="V216" s="32" t="str">
        <f aca="false">IF(M216="","",IF(M216&lt;Assumptions!$B$5,"BUY",IF(M216&gt;Assumptions!$B$4,"SELL","HOLD")))</f>
        <v>HOLD</v>
      </c>
      <c r="W216" s="32" t="str">
        <f aca="false">IF(O216="","",IF(E216&gt;O216,"BUY","SELL"))</f>
        <v>BUY</v>
      </c>
      <c r="X216" s="32" t="str">
        <f aca="false">IF(T216="","",IF(S216&gt;T216,"BUY","SELL"))</f>
        <v>SELL</v>
      </c>
      <c r="Y216" s="34" t="n">
        <f aca="false">IF(OR(V216="",W216="",X216=""),"",IFERROR(IF(V216="BUY",1,IF(V216="SELL",-1,0))+IF(W216="BUY",1,IF(W216="SELL",-1,0))+IF(X216="BUY",1,IF(X216="SELL",-1,0)),0))</f>
        <v>0</v>
      </c>
      <c r="Z216" s="32" t="str">
        <f aca="false">IF(Y216="","",IF(Y216&gt;=2,"STRONG BUY",IF(Y216=1,"BUY",IF(Y216=0,"HOLD",IF(Y216=-1,"SELL","STRONG SELL")))))</f>
        <v>HOLD</v>
      </c>
    </row>
    <row r="217" customFormat="false" ht="15" hidden="false" customHeight="false" outlineLevel="0" collapsed="false">
      <c r="A217" s="24" t="n">
        <v>46071</v>
      </c>
      <c r="B217" s="25" t="n">
        <v>1734.76</v>
      </c>
      <c r="C217" s="25" t="n">
        <v>1752.7</v>
      </c>
      <c r="D217" s="25" t="n">
        <v>1712.54</v>
      </c>
      <c r="E217" s="25" t="n">
        <v>1732.62</v>
      </c>
      <c r="F217" s="26" t="n">
        <v>6637623</v>
      </c>
      <c r="G217" s="27" t="n">
        <f aca="false">E217-E216</f>
        <v>4.72999999999979</v>
      </c>
      <c r="H217" s="28" t="n">
        <f aca="false">G217/E216</f>
        <v>0.00273744277702851</v>
      </c>
      <c r="I217" s="29" t="n">
        <f aca="false">MAX(G217,0)</f>
        <v>4.72999999999979</v>
      </c>
      <c r="J217" s="29" t="n">
        <f aca="false">MAX(-G217,0)</f>
        <v>0</v>
      </c>
      <c r="K217" s="29" t="n">
        <f aca="false">(K216*13+I217)/14</f>
        <v>7.50692939165017</v>
      </c>
      <c r="L217" s="29" t="n">
        <f aca="false">(L216*13+J217)/14</f>
        <v>5.16192881292361</v>
      </c>
      <c r="M217" s="31" t="n">
        <f aca="false">IF(L217=0,100,100-100/(1+K217/MAX(L217,0.000001)))</f>
        <v>59.2549799708073</v>
      </c>
      <c r="N217" s="30" t="n">
        <f aca="false">AVERAGE(E198:E217)</f>
        <v>1712.4875</v>
      </c>
      <c r="O217" s="30" t="n">
        <f aca="false">AVERAGE(E168:E217)</f>
        <v>1680.3202</v>
      </c>
      <c r="P217" s="30" t="n">
        <f aca="false">AVERAGE(E18:E217)</f>
        <v>1487.03875</v>
      </c>
      <c r="Q217" s="30" t="n">
        <f aca="false">Q216+(2/13)*(E217-Q216)</f>
        <v>1720.10574722023</v>
      </c>
      <c r="R217" s="30" t="n">
        <f aca="false">R216+(2/27)*(E217-R216)</f>
        <v>1703.39445218381</v>
      </c>
      <c r="S217" s="33" t="n">
        <f aca="false">Q217-R217</f>
        <v>16.7112950364278</v>
      </c>
      <c r="T217" s="33" t="n">
        <f aca="false">T216+(2/10)*(S217-T216)</f>
        <v>17.6013556122283</v>
      </c>
      <c r="U217" s="33" t="n">
        <f aca="false">S217-T217</f>
        <v>-0.890060575800437</v>
      </c>
      <c r="V217" s="32" t="str">
        <f aca="false">IF(M217="","",IF(M217&lt;Assumptions!$B$5,"BUY",IF(M217&gt;Assumptions!$B$4,"SELL","HOLD")))</f>
        <v>HOLD</v>
      </c>
      <c r="W217" s="32" t="str">
        <f aca="false">IF(O217="","",IF(E217&gt;O217,"BUY","SELL"))</f>
        <v>BUY</v>
      </c>
      <c r="X217" s="32" t="str">
        <f aca="false">IF(T217="","",IF(S217&gt;T217,"BUY","SELL"))</f>
        <v>SELL</v>
      </c>
      <c r="Y217" s="34" t="n">
        <f aca="false">IF(OR(V217="",W217="",X217=""),"",IFERROR(IF(V217="BUY",1,IF(V217="SELL",-1,0))+IF(W217="BUY",1,IF(W217="SELL",-1,0))+IF(X217="BUY",1,IF(X217="SELL",-1,0)),0))</f>
        <v>0</v>
      </c>
      <c r="Z217" s="32" t="str">
        <f aca="false">IF(Y217="","",IF(Y217&gt;=2,"STRONG BUY",IF(Y217=1,"BUY",IF(Y217=0,"HOLD",IF(Y217=-1,"SELL","STRONG SELL")))))</f>
        <v>HOLD</v>
      </c>
    </row>
    <row r="218" customFormat="false" ht="15" hidden="false" customHeight="false" outlineLevel="0" collapsed="false">
      <c r="A218" s="24" t="n">
        <v>46072</v>
      </c>
      <c r="B218" s="25" t="n">
        <v>1783.41</v>
      </c>
      <c r="C218" s="25" t="n">
        <v>1790.69</v>
      </c>
      <c r="D218" s="25" t="n">
        <v>1775.03</v>
      </c>
      <c r="E218" s="25" t="n">
        <v>1782.86</v>
      </c>
      <c r="F218" s="26" t="n">
        <v>2941026</v>
      </c>
      <c r="G218" s="27" t="n">
        <f aca="false">E218-E217</f>
        <v>50.24</v>
      </c>
      <c r="H218" s="28" t="n">
        <f aca="false">G218/E217</f>
        <v>0.0289965485796078</v>
      </c>
      <c r="I218" s="29" t="n">
        <f aca="false">MAX(G218,0)</f>
        <v>50.24</v>
      </c>
      <c r="J218" s="29" t="n">
        <f aca="false">MAX(-G218,0)</f>
        <v>0</v>
      </c>
      <c r="K218" s="29" t="n">
        <f aca="false">(K217*13+I218)/14</f>
        <v>10.5592915779609</v>
      </c>
      <c r="L218" s="29" t="n">
        <f aca="false">(L217*13+J218)/14</f>
        <v>4.79321961200049</v>
      </c>
      <c r="M218" s="31" t="n">
        <f aca="false">IF(L218=0,100,100-100/(1+K218/MAX(L218,0.000001)))</f>
        <v>68.7789212286348</v>
      </c>
      <c r="N218" s="30" t="n">
        <f aca="false">AVERAGE(E199:E218)</f>
        <v>1718.1395</v>
      </c>
      <c r="O218" s="30" t="n">
        <f aca="false">AVERAGE(E169:E218)</f>
        <v>1683.1938</v>
      </c>
      <c r="P218" s="30" t="n">
        <f aca="false">AVERAGE(E19:E218)</f>
        <v>1489.16555</v>
      </c>
      <c r="Q218" s="30" t="n">
        <f aca="false">Q217+(2/13)*(E218-Q217)</f>
        <v>1729.76024764789</v>
      </c>
      <c r="R218" s="30" t="n">
        <f aca="false">R217+(2/27)*(E218-R217)</f>
        <v>1709.28078905908</v>
      </c>
      <c r="S218" s="33" t="n">
        <f aca="false">Q218-R218</f>
        <v>20.4794585888105</v>
      </c>
      <c r="T218" s="33" t="n">
        <f aca="false">T217+(2/10)*(S218-T217)</f>
        <v>18.1769762075447</v>
      </c>
      <c r="U218" s="33" t="n">
        <f aca="false">S218-T218</f>
        <v>2.30248238126581</v>
      </c>
      <c r="V218" s="32" t="str">
        <f aca="false">IF(M218="","",IF(M218&lt;Assumptions!$B$5,"BUY",IF(M218&gt;Assumptions!$B$4,"SELL","HOLD")))</f>
        <v>HOLD</v>
      </c>
      <c r="W218" s="32" t="str">
        <f aca="false">IF(O218="","",IF(E218&gt;O218,"BUY","SELL"))</f>
        <v>BUY</v>
      </c>
      <c r="X218" s="32" t="str">
        <f aca="false">IF(T218="","",IF(S218&gt;T218,"BUY","SELL"))</f>
        <v>BUY</v>
      </c>
      <c r="Y218" s="34" t="n">
        <f aca="false">IF(OR(V218="",W218="",X218=""),"",IFERROR(IF(V218="BUY",1,IF(V218="SELL",-1,0))+IF(W218="BUY",1,IF(W218="SELL",-1,0))+IF(X218="BUY",1,IF(X218="SELL",-1,0)),0))</f>
        <v>2</v>
      </c>
      <c r="Z218" s="32" t="str">
        <f aca="false">IF(Y218="","",IF(Y218&gt;=2,"STRONG BUY",IF(Y218=1,"BUY",IF(Y218=0,"HOLD",IF(Y218=-1,"SELL","STRONG SELL")))))</f>
        <v>STRONG BUY</v>
      </c>
    </row>
    <row r="219" customFormat="false" ht="15" hidden="false" customHeight="false" outlineLevel="0" collapsed="false">
      <c r="A219" s="24" t="n">
        <v>46073</v>
      </c>
      <c r="B219" s="25" t="n">
        <v>1775.06</v>
      </c>
      <c r="C219" s="25" t="n">
        <v>1775.2</v>
      </c>
      <c r="D219" s="25" t="n">
        <v>1763.08</v>
      </c>
      <c r="E219" s="25" t="n">
        <v>1769.14</v>
      </c>
      <c r="F219" s="26" t="n">
        <v>4932804</v>
      </c>
      <c r="G219" s="27" t="n">
        <f aca="false">E219-E218</f>
        <v>-13.7199999999998</v>
      </c>
      <c r="H219" s="28" t="n">
        <f aca="false">G219/E218</f>
        <v>-0.00769550048797988</v>
      </c>
      <c r="I219" s="29" t="n">
        <f aca="false">MAX(G219,0)</f>
        <v>0</v>
      </c>
      <c r="J219" s="29" t="n">
        <f aca="false">MAX(-G219,0)</f>
        <v>13.7199999999998</v>
      </c>
      <c r="K219" s="29" t="n">
        <f aca="false">(K218*13+I219)/14</f>
        <v>9.80505646524938</v>
      </c>
      <c r="L219" s="29" t="n">
        <f aca="false">(L218*13+J219)/14</f>
        <v>5.43084678257187</v>
      </c>
      <c r="M219" s="31" t="n">
        <f aca="false">IF(L219=0,100,100-100/(1+K219/MAX(L219,0.000001)))</f>
        <v>64.3549404703099</v>
      </c>
      <c r="N219" s="30" t="n">
        <f aca="false">AVERAGE(E200:E219)</f>
        <v>1722.573</v>
      </c>
      <c r="O219" s="30" t="n">
        <f aca="false">AVERAGE(E170:E219)</f>
        <v>1685.877</v>
      </c>
      <c r="P219" s="30" t="n">
        <f aca="false">AVERAGE(E20:E219)</f>
        <v>1491.2848</v>
      </c>
      <c r="Q219" s="30" t="n">
        <f aca="false">Q218+(2/13)*(E219-Q218)</f>
        <v>1735.81867108668</v>
      </c>
      <c r="R219" s="30" t="n">
        <f aca="false">R218+(2/27)*(E219-R218)</f>
        <v>1713.71480468433</v>
      </c>
      <c r="S219" s="33" t="n">
        <f aca="false">Q219-R219</f>
        <v>22.1038664023433</v>
      </c>
      <c r="T219" s="33" t="n">
        <f aca="false">T218+(2/10)*(S219-T218)</f>
        <v>18.9623542465044</v>
      </c>
      <c r="U219" s="33" t="n">
        <f aca="false">S219-T219</f>
        <v>3.14151215583889</v>
      </c>
      <c r="V219" s="32" t="str">
        <f aca="false">IF(M219="","",IF(M219&lt;Assumptions!$B$5,"BUY",IF(M219&gt;Assumptions!$B$4,"SELL","HOLD")))</f>
        <v>HOLD</v>
      </c>
      <c r="W219" s="32" t="str">
        <f aca="false">IF(O219="","",IF(E219&gt;O219,"BUY","SELL"))</f>
        <v>BUY</v>
      </c>
      <c r="X219" s="32" t="str">
        <f aca="false">IF(T219="","",IF(S219&gt;T219,"BUY","SELL"))</f>
        <v>BUY</v>
      </c>
      <c r="Y219" s="34" t="n">
        <f aca="false">IF(OR(V219="",W219="",X219=""),"",IFERROR(IF(V219="BUY",1,IF(V219="SELL",-1,0))+IF(W219="BUY",1,IF(W219="SELL",-1,0))+IF(X219="BUY",1,IF(X219="SELL",-1,0)),0))</f>
        <v>2</v>
      </c>
      <c r="Z219" s="32" t="str">
        <f aca="false">IF(Y219="","",IF(Y219&gt;=2,"STRONG BUY",IF(Y219=1,"BUY",IF(Y219=0,"HOLD",IF(Y219=-1,"SELL","STRONG SELL")))))</f>
        <v>STRONG BUY</v>
      </c>
    </row>
    <row r="220" customFormat="false" ht="15" hidden="false" customHeight="false" outlineLevel="0" collapsed="false">
      <c r="A220" s="24" t="n">
        <v>46076</v>
      </c>
      <c r="B220" s="25" t="n">
        <v>1744.26</v>
      </c>
      <c r="C220" s="25" t="n">
        <v>1760.87</v>
      </c>
      <c r="D220" s="25" t="n">
        <v>1730.47</v>
      </c>
      <c r="E220" s="25" t="n">
        <v>1745.67</v>
      </c>
      <c r="F220" s="26" t="n">
        <v>4653612</v>
      </c>
      <c r="G220" s="27" t="n">
        <f aca="false">E220-E219</f>
        <v>-23.47</v>
      </c>
      <c r="H220" s="28" t="n">
        <f aca="false">G220/E219</f>
        <v>-0.0132663327944651</v>
      </c>
      <c r="I220" s="29" t="n">
        <f aca="false">MAX(G220,0)</f>
        <v>0</v>
      </c>
      <c r="J220" s="29" t="n">
        <f aca="false">MAX(-G220,0)</f>
        <v>23.47</v>
      </c>
      <c r="K220" s="29" t="n">
        <f aca="false">(K219*13+I220)/14</f>
        <v>9.10469528916014</v>
      </c>
      <c r="L220" s="29" t="n">
        <f aca="false">(L219*13+J220)/14</f>
        <v>6.71935772667388</v>
      </c>
      <c r="M220" s="31" t="n">
        <f aca="false">IF(L220=0,100,100-100/(1+K220/MAX(L220,0.000001)))</f>
        <v>57.5370625973618</v>
      </c>
      <c r="N220" s="30" t="n">
        <f aca="false">AVERAGE(E201:E220)</f>
        <v>1726.056</v>
      </c>
      <c r="O220" s="30" t="n">
        <f aca="false">AVERAGE(E171:E220)</f>
        <v>1688.0546</v>
      </c>
      <c r="P220" s="30" t="n">
        <f aca="false">AVERAGE(E21:E220)</f>
        <v>1493.2711</v>
      </c>
      <c r="Q220" s="30" t="n">
        <f aca="false">Q219+(2/13)*(E220-Q219)</f>
        <v>1737.33426015026</v>
      </c>
      <c r="R220" s="30" t="n">
        <f aca="false">R219+(2/27)*(E220-R219)</f>
        <v>1716.0818561892</v>
      </c>
      <c r="S220" s="33" t="n">
        <f aca="false">Q220-R220</f>
        <v>21.2524039610673</v>
      </c>
      <c r="T220" s="33" t="n">
        <f aca="false">T219+(2/10)*(S220-T219)</f>
        <v>19.420364189417</v>
      </c>
      <c r="U220" s="33" t="n">
        <f aca="false">S220-T220</f>
        <v>1.83203977165031</v>
      </c>
      <c r="V220" s="32" t="str">
        <f aca="false">IF(M220="","",IF(M220&lt;Assumptions!$B$5,"BUY",IF(M220&gt;Assumptions!$B$4,"SELL","HOLD")))</f>
        <v>HOLD</v>
      </c>
      <c r="W220" s="32" t="str">
        <f aca="false">IF(O220="","",IF(E220&gt;O220,"BUY","SELL"))</f>
        <v>BUY</v>
      </c>
      <c r="X220" s="32" t="str">
        <f aca="false">IF(T220="","",IF(S220&gt;T220,"BUY","SELL"))</f>
        <v>BUY</v>
      </c>
      <c r="Y220" s="34" t="n">
        <f aca="false">IF(OR(V220="",W220="",X220=""),"",IFERROR(IF(V220="BUY",1,IF(V220="SELL",-1,0))+IF(W220="BUY",1,IF(W220="SELL",-1,0))+IF(X220="BUY",1,IF(X220="SELL",-1,0)),0))</f>
        <v>2</v>
      </c>
      <c r="Z220" s="32" t="str">
        <f aca="false">IF(Y220="","",IF(Y220&gt;=2,"STRONG BUY",IF(Y220=1,"BUY",IF(Y220=0,"HOLD",IF(Y220=-1,"SELL","STRONG SELL")))))</f>
        <v>STRONG BUY</v>
      </c>
    </row>
    <row r="221" customFormat="false" ht="15" hidden="false" customHeight="false" outlineLevel="0" collapsed="false">
      <c r="A221" s="24" t="n">
        <v>46077</v>
      </c>
      <c r="B221" s="25" t="n">
        <v>1732.78</v>
      </c>
      <c r="C221" s="25" t="n">
        <v>1750.59</v>
      </c>
      <c r="D221" s="25" t="n">
        <v>1723.97</v>
      </c>
      <c r="E221" s="25" t="n">
        <v>1737.28</v>
      </c>
      <c r="F221" s="26" t="n">
        <v>2340411</v>
      </c>
      <c r="G221" s="27" t="n">
        <f aca="false">E221-E220</f>
        <v>-8.3900000000001</v>
      </c>
      <c r="H221" s="28" t="n">
        <f aca="false">G221/E220</f>
        <v>-0.0048061775707895</v>
      </c>
      <c r="I221" s="29" t="n">
        <f aca="false">MAX(G221,0)</f>
        <v>0</v>
      </c>
      <c r="J221" s="29" t="n">
        <f aca="false">MAX(-G221,0)</f>
        <v>8.3900000000001</v>
      </c>
      <c r="K221" s="29" t="n">
        <f aca="false">(K220*13+I221)/14</f>
        <v>8.45435991136299</v>
      </c>
      <c r="L221" s="29" t="n">
        <f aca="false">(L220*13+J221)/14</f>
        <v>6.83868931762576</v>
      </c>
      <c r="M221" s="31" t="n">
        <f aca="false">IF(L221=0,100,100-100/(1+K221/MAX(L221,0.000001)))</f>
        <v>55.2823690342756</v>
      </c>
      <c r="N221" s="30" t="n">
        <f aca="false">AVERAGE(E202:E221)</f>
        <v>1729.1865</v>
      </c>
      <c r="O221" s="30" t="n">
        <f aca="false">AVERAGE(E172:E221)</f>
        <v>1689.6212</v>
      </c>
      <c r="P221" s="30" t="n">
        <f aca="false">AVERAGE(E22:E221)</f>
        <v>1495.13475</v>
      </c>
      <c r="Q221" s="30" t="n">
        <f aca="false">Q220+(2/13)*(E221-Q220)</f>
        <v>1737.32591243484</v>
      </c>
      <c r="R221" s="30" t="n">
        <f aca="false">R220+(2/27)*(E221-R220)</f>
        <v>1717.65208906407</v>
      </c>
      <c r="S221" s="33" t="n">
        <f aca="false">Q221-R221</f>
        <v>19.6738233707677</v>
      </c>
      <c r="T221" s="33" t="n">
        <f aca="false">T220+(2/10)*(S221-T220)</f>
        <v>19.4710560256871</v>
      </c>
      <c r="U221" s="33" t="n">
        <f aca="false">S221-T221</f>
        <v>0.202767345080506</v>
      </c>
      <c r="V221" s="32" t="str">
        <f aca="false">IF(M221="","",IF(M221&lt;Assumptions!$B$5,"BUY",IF(M221&gt;Assumptions!$B$4,"SELL","HOLD")))</f>
        <v>HOLD</v>
      </c>
      <c r="W221" s="32" t="str">
        <f aca="false">IF(O221="","",IF(E221&gt;O221,"BUY","SELL"))</f>
        <v>BUY</v>
      </c>
      <c r="X221" s="32" t="str">
        <f aca="false">IF(T221="","",IF(S221&gt;T221,"BUY","SELL"))</f>
        <v>BUY</v>
      </c>
      <c r="Y221" s="34" t="n">
        <f aca="false">IF(OR(V221="",W221="",X221=""),"",IFERROR(IF(V221="BUY",1,IF(V221="SELL",-1,0))+IF(W221="BUY",1,IF(W221="SELL",-1,0))+IF(X221="BUY",1,IF(X221="SELL",-1,0)),0))</f>
        <v>2</v>
      </c>
      <c r="Z221" s="32" t="str">
        <f aca="false">IF(Y221="","",IF(Y221&gt;=2,"STRONG BUY",IF(Y221=1,"BUY",IF(Y221=0,"HOLD",IF(Y221=-1,"SELL","STRONG SELL")))))</f>
        <v>STRONG BUY</v>
      </c>
    </row>
    <row r="222" customFormat="false" ht="15" hidden="false" customHeight="false" outlineLevel="0" collapsed="false">
      <c r="A222" s="24" t="n">
        <v>46078</v>
      </c>
      <c r="B222" s="25" t="n">
        <v>1747.75</v>
      </c>
      <c r="C222" s="25" t="n">
        <v>1758.48</v>
      </c>
      <c r="D222" s="25" t="n">
        <v>1731.24</v>
      </c>
      <c r="E222" s="25" t="n">
        <v>1744.86</v>
      </c>
      <c r="F222" s="26" t="n">
        <v>1210908</v>
      </c>
      <c r="G222" s="27" t="n">
        <f aca="false">E222-E221</f>
        <v>7.57999999999993</v>
      </c>
      <c r="H222" s="28" t="n">
        <f aca="false">G222/E221</f>
        <v>0.004363142383496</v>
      </c>
      <c r="I222" s="29" t="n">
        <f aca="false">MAX(G222,0)</f>
        <v>7.57999999999993</v>
      </c>
      <c r="J222" s="29" t="n">
        <f aca="false">MAX(-G222,0)</f>
        <v>0</v>
      </c>
      <c r="K222" s="29" t="n">
        <f aca="false">(K221*13+I222)/14</f>
        <v>8.39190563197991</v>
      </c>
      <c r="L222" s="29" t="n">
        <f aca="false">(L221*13+J222)/14</f>
        <v>6.35021150922392</v>
      </c>
      <c r="M222" s="31" t="n">
        <f aca="false">IF(L222=0,100,100-100/(1+K222/MAX(L222,0.000001)))</f>
        <v>56.9246978001875</v>
      </c>
      <c r="N222" s="30" t="n">
        <f aca="false">AVERAGE(E203:E222)</f>
        <v>1731.242</v>
      </c>
      <c r="O222" s="30" t="n">
        <f aca="false">AVERAGE(E173:E222)</f>
        <v>1691.3006</v>
      </c>
      <c r="P222" s="30" t="n">
        <f aca="false">AVERAGE(E23:E222)</f>
        <v>1497.03305</v>
      </c>
      <c r="Q222" s="30" t="n">
        <f aca="false">Q221+(2/13)*(E222-Q221)</f>
        <v>1738.48500282948</v>
      </c>
      <c r="R222" s="30" t="n">
        <f aca="false">R221+(2/27)*(E222-R221)</f>
        <v>1719.66748987414</v>
      </c>
      <c r="S222" s="33" t="n">
        <f aca="false">Q222-R222</f>
        <v>18.817512955339</v>
      </c>
      <c r="T222" s="33" t="n">
        <f aca="false">T221+(2/10)*(S222-T221)</f>
        <v>19.3403474116175</v>
      </c>
      <c r="U222" s="33" t="n">
        <f aca="false">S222-T222</f>
        <v>-0.522834456278517</v>
      </c>
      <c r="V222" s="32" t="str">
        <f aca="false">IF(M222="","",IF(M222&lt;Assumptions!$B$5,"BUY",IF(M222&gt;Assumptions!$B$4,"SELL","HOLD")))</f>
        <v>HOLD</v>
      </c>
      <c r="W222" s="32" t="str">
        <f aca="false">IF(O222="","",IF(E222&gt;O222,"BUY","SELL"))</f>
        <v>BUY</v>
      </c>
      <c r="X222" s="32" t="str">
        <f aca="false">IF(T222="","",IF(S222&gt;T222,"BUY","SELL"))</f>
        <v>SELL</v>
      </c>
      <c r="Y222" s="34" t="n">
        <f aca="false">IF(OR(V222="",W222="",X222=""),"",IFERROR(IF(V222="BUY",1,IF(V222="SELL",-1,0))+IF(W222="BUY",1,IF(W222="SELL",-1,0))+IF(X222="BUY",1,IF(X222="SELL",-1,0)),0))</f>
        <v>0</v>
      </c>
      <c r="Z222" s="32" t="str">
        <f aca="false">IF(Y222="","",IF(Y222&gt;=2,"STRONG BUY",IF(Y222=1,"BUY",IF(Y222=0,"HOLD",IF(Y222=-1,"SELL","STRONG SELL")))))</f>
        <v>HOLD</v>
      </c>
    </row>
    <row r="223" customFormat="false" ht="15" hidden="false" customHeight="false" outlineLevel="0" collapsed="false">
      <c r="A223" s="24" t="n">
        <v>46079</v>
      </c>
      <c r="B223" s="25" t="n">
        <v>1755.49</v>
      </c>
      <c r="C223" s="25" t="n">
        <v>1756.43</v>
      </c>
      <c r="D223" s="25" t="n">
        <v>1755.49</v>
      </c>
      <c r="E223" s="25" t="n">
        <v>1755.96</v>
      </c>
      <c r="F223" s="26" t="n">
        <v>8053469</v>
      </c>
      <c r="G223" s="27" t="n">
        <f aca="false">E223-E222</f>
        <v>11.1000000000001</v>
      </c>
      <c r="H223" s="28" t="n">
        <f aca="false">G223/E222</f>
        <v>0.00636154190020984</v>
      </c>
      <c r="I223" s="29" t="n">
        <f aca="false">MAX(G223,0)</f>
        <v>11.1000000000001</v>
      </c>
      <c r="J223" s="29" t="n">
        <f aca="false">MAX(-G223,0)</f>
        <v>0</v>
      </c>
      <c r="K223" s="29" t="n">
        <f aca="false">(K222*13+I223)/14</f>
        <v>8.58534094398136</v>
      </c>
      <c r="L223" s="29" t="n">
        <f aca="false">(L222*13+J223)/14</f>
        <v>5.89662497285078</v>
      </c>
      <c r="M223" s="31" t="n">
        <f aca="false">IF(L223=0,100,100-100/(1+K223/MAX(L223,0.000001)))</f>
        <v>59.2829799026302</v>
      </c>
      <c r="N223" s="30" t="n">
        <f aca="false">AVERAGE(E204:E223)</f>
        <v>1733.8505</v>
      </c>
      <c r="O223" s="30" t="n">
        <f aca="false">AVERAGE(E174:E223)</f>
        <v>1693.043</v>
      </c>
      <c r="P223" s="30" t="n">
        <f aca="false">AVERAGE(E24:E223)</f>
        <v>1498.9927</v>
      </c>
      <c r="Q223" s="30" t="n">
        <f aca="false">Q222+(2/13)*(E223-Q222)</f>
        <v>1741.17346393264</v>
      </c>
      <c r="R223" s="30" t="n">
        <f aca="false">R222+(2/27)*(E223-R222)</f>
        <v>1722.35582395754</v>
      </c>
      <c r="S223" s="33" t="n">
        <f aca="false">Q223-R223</f>
        <v>18.8176399750992</v>
      </c>
      <c r="T223" s="33" t="n">
        <f aca="false">T222+(2/10)*(S223-T222)</f>
        <v>19.2358059243138</v>
      </c>
      <c r="U223" s="33" t="n">
        <f aca="false">S223-T223</f>
        <v>-0.418165949214689</v>
      </c>
      <c r="V223" s="32" t="str">
        <f aca="false">IF(M223="","",IF(M223&lt;Assumptions!$B$5,"BUY",IF(M223&gt;Assumptions!$B$4,"SELL","HOLD")))</f>
        <v>HOLD</v>
      </c>
      <c r="W223" s="32" t="str">
        <f aca="false">IF(O223="","",IF(E223&gt;O223,"BUY","SELL"))</f>
        <v>BUY</v>
      </c>
      <c r="X223" s="32" t="str">
        <f aca="false">IF(T223="","",IF(S223&gt;T223,"BUY","SELL"))</f>
        <v>SELL</v>
      </c>
      <c r="Y223" s="34" t="n">
        <f aca="false">IF(OR(V223="",W223="",X223=""),"",IFERROR(IF(V223="BUY",1,IF(V223="SELL",-1,0))+IF(W223="BUY",1,IF(W223="SELL",-1,0))+IF(X223="BUY",1,IF(X223="SELL",-1,0)),0))</f>
        <v>0</v>
      </c>
      <c r="Z223" s="32" t="str">
        <f aca="false">IF(Y223="","",IF(Y223&gt;=2,"STRONG BUY",IF(Y223=1,"BUY",IF(Y223=0,"HOLD",IF(Y223=-1,"SELL","STRONG SELL")))))</f>
        <v>HOLD</v>
      </c>
    </row>
    <row r="224" customFormat="false" ht="15" hidden="false" customHeight="false" outlineLevel="0" collapsed="false">
      <c r="A224" s="24" t="n">
        <v>46080</v>
      </c>
      <c r="B224" s="25" t="n">
        <v>1772.53</v>
      </c>
      <c r="C224" s="25" t="n">
        <v>1784.42</v>
      </c>
      <c r="D224" s="25" t="n">
        <v>1768.88</v>
      </c>
      <c r="E224" s="25" t="n">
        <v>1776.65</v>
      </c>
      <c r="F224" s="26" t="n">
        <v>3406798</v>
      </c>
      <c r="G224" s="27" t="n">
        <f aca="false">E224-E223</f>
        <v>20.6900000000001</v>
      </c>
      <c r="H224" s="28" t="n">
        <f aca="false">G224/E223</f>
        <v>0.0117827285359576</v>
      </c>
      <c r="I224" s="29" t="n">
        <f aca="false">MAX(G224,0)</f>
        <v>20.6900000000001</v>
      </c>
      <c r="J224" s="29" t="n">
        <f aca="false">MAX(-G224,0)</f>
        <v>0</v>
      </c>
      <c r="K224" s="29" t="n">
        <f aca="false">(K223*13+I224)/14</f>
        <v>9.44995944798269</v>
      </c>
      <c r="L224" s="29" t="n">
        <f aca="false">(L223*13+J224)/14</f>
        <v>5.47543747479001</v>
      </c>
      <c r="M224" s="31" t="n">
        <f aca="false">IF(L224=0,100,100-100/(1+K224/MAX(L224,0.000001)))</f>
        <v>63.3146273889992</v>
      </c>
      <c r="N224" s="30" t="n">
        <f aca="false">AVERAGE(E205:E224)</f>
        <v>1735.749</v>
      </c>
      <c r="O224" s="30" t="n">
        <f aca="false">AVERAGE(E175:E224)</f>
        <v>1694.8346</v>
      </c>
      <c r="P224" s="30" t="n">
        <f aca="false">AVERAGE(E25:E224)</f>
        <v>1501.0224</v>
      </c>
      <c r="Q224" s="30" t="n">
        <f aca="false">Q223+(2/13)*(E224-Q223)</f>
        <v>1746.63139255838</v>
      </c>
      <c r="R224" s="30" t="n">
        <f aca="false">R223+(2/27)*(E224-R223)</f>
        <v>1726.3776147755</v>
      </c>
      <c r="S224" s="33" t="n">
        <f aca="false">Q224-R224</f>
        <v>20.2537777828873</v>
      </c>
      <c r="T224" s="33" t="n">
        <f aca="false">T223+(2/10)*(S224-T223)</f>
        <v>19.4394002960285</v>
      </c>
      <c r="U224" s="33" t="n">
        <f aca="false">S224-T224</f>
        <v>0.814377486858728</v>
      </c>
      <c r="V224" s="32" t="str">
        <f aca="false">IF(M224="","",IF(M224&lt;Assumptions!$B$5,"BUY",IF(M224&gt;Assumptions!$B$4,"SELL","HOLD")))</f>
        <v>HOLD</v>
      </c>
      <c r="W224" s="32" t="str">
        <f aca="false">IF(O224="","",IF(E224&gt;O224,"BUY","SELL"))</f>
        <v>BUY</v>
      </c>
      <c r="X224" s="32" t="str">
        <f aca="false">IF(T224="","",IF(S224&gt;T224,"BUY","SELL"))</f>
        <v>BUY</v>
      </c>
      <c r="Y224" s="34" t="n">
        <f aca="false">IF(OR(V224="",W224="",X224=""),"",IFERROR(IF(V224="BUY",1,IF(V224="SELL",-1,0))+IF(W224="BUY",1,IF(W224="SELL",-1,0))+IF(X224="BUY",1,IF(X224="SELL",-1,0)),0))</f>
        <v>2</v>
      </c>
      <c r="Z224" s="32" t="str">
        <f aca="false">IF(Y224="","",IF(Y224&gt;=2,"STRONG BUY",IF(Y224=1,"BUY",IF(Y224=0,"HOLD",IF(Y224=-1,"SELL","STRONG SELL")))))</f>
        <v>STRONG BUY</v>
      </c>
    </row>
    <row r="225" customFormat="false" ht="15" hidden="false" customHeight="false" outlineLevel="0" collapsed="false">
      <c r="A225" s="24" t="n">
        <v>46083</v>
      </c>
      <c r="B225" s="25" t="n">
        <v>1767.76</v>
      </c>
      <c r="C225" s="25" t="n">
        <v>1783.93</v>
      </c>
      <c r="D225" s="25" t="n">
        <v>1761.51</v>
      </c>
      <c r="E225" s="25" t="n">
        <v>1772.72</v>
      </c>
      <c r="F225" s="26" t="n">
        <v>2487132</v>
      </c>
      <c r="G225" s="27" t="n">
        <f aca="false">E225-E224</f>
        <v>-3.93000000000006</v>
      </c>
      <c r="H225" s="28" t="n">
        <f aca="false">G225/E224</f>
        <v>-0.00221202825542457</v>
      </c>
      <c r="I225" s="29" t="n">
        <f aca="false">MAX(G225,0)</f>
        <v>0</v>
      </c>
      <c r="J225" s="29" t="n">
        <f aca="false">MAX(-G225,0)</f>
        <v>3.93000000000006</v>
      </c>
      <c r="K225" s="29" t="n">
        <f aca="false">(K224*13+I225)/14</f>
        <v>8.77496234455536</v>
      </c>
      <c r="L225" s="29" t="n">
        <f aca="false">(L224*13+J225)/14</f>
        <v>5.36504908373359</v>
      </c>
      <c r="M225" s="31" t="n">
        <f aca="false">IF(L225=0,100,100-100/(1+K225/MAX(L225,0.000001)))</f>
        <v>62.0576750525102</v>
      </c>
      <c r="N225" s="30" t="n">
        <f aca="false">AVERAGE(E206:E225)</f>
        <v>1737.7875</v>
      </c>
      <c r="O225" s="30" t="n">
        <f aca="false">AVERAGE(E176:E225)</f>
        <v>1696.6996</v>
      </c>
      <c r="P225" s="30" t="n">
        <f aca="false">AVERAGE(E26:E225)</f>
        <v>1503.12085</v>
      </c>
      <c r="Q225" s="30" t="n">
        <f aca="false">Q224+(2/13)*(E225-Q224)</f>
        <v>1750.64502447248</v>
      </c>
      <c r="R225" s="30" t="n">
        <f aca="false">R224+(2/27)*(E225-R224)</f>
        <v>1729.81038405139</v>
      </c>
      <c r="S225" s="33" t="n">
        <f aca="false">Q225-R225</f>
        <v>20.8346404210929</v>
      </c>
      <c r="T225" s="33" t="n">
        <f aca="false">T224+(2/10)*(S225-T224)</f>
        <v>19.7184483210414</v>
      </c>
      <c r="U225" s="33" t="n">
        <f aca="false">S225-T225</f>
        <v>1.1161921000515</v>
      </c>
      <c r="V225" s="32" t="str">
        <f aca="false">IF(M225="","",IF(M225&lt;Assumptions!$B$5,"BUY",IF(M225&gt;Assumptions!$B$4,"SELL","HOLD")))</f>
        <v>HOLD</v>
      </c>
      <c r="W225" s="32" t="str">
        <f aca="false">IF(O225="","",IF(E225&gt;O225,"BUY","SELL"))</f>
        <v>BUY</v>
      </c>
      <c r="X225" s="32" t="str">
        <f aca="false">IF(T225="","",IF(S225&gt;T225,"BUY","SELL"))</f>
        <v>BUY</v>
      </c>
      <c r="Y225" s="34" t="n">
        <f aca="false">IF(OR(V225="",W225="",X225=""),"",IFERROR(IF(V225="BUY",1,IF(V225="SELL",-1,0))+IF(W225="BUY",1,IF(W225="SELL",-1,0))+IF(X225="BUY",1,IF(X225="SELL",-1,0)),0))</f>
        <v>2</v>
      </c>
      <c r="Z225" s="32" t="str">
        <f aca="false">IF(Y225="","",IF(Y225&gt;=2,"STRONG BUY",IF(Y225=1,"BUY",IF(Y225=0,"HOLD",IF(Y225=-1,"SELL","STRONG SELL")))))</f>
        <v>STRONG BUY</v>
      </c>
    </row>
    <row r="226" customFormat="false" ht="15" hidden="false" customHeight="false" outlineLevel="0" collapsed="false">
      <c r="A226" s="24" t="n">
        <v>46084</v>
      </c>
      <c r="B226" s="25" t="n">
        <v>1736.71</v>
      </c>
      <c r="C226" s="25" t="n">
        <v>1758.33</v>
      </c>
      <c r="D226" s="25" t="n">
        <v>1736.71</v>
      </c>
      <c r="E226" s="25" t="n">
        <v>1747.52</v>
      </c>
      <c r="F226" s="26" t="n">
        <v>2379762</v>
      </c>
      <c r="G226" s="27" t="n">
        <f aca="false">E226-E225</f>
        <v>-25.2</v>
      </c>
      <c r="H226" s="28" t="n">
        <f aca="false">G226/E225</f>
        <v>-0.0142154429351505</v>
      </c>
      <c r="I226" s="29" t="n">
        <f aca="false">MAX(G226,0)</f>
        <v>0</v>
      </c>
      <c r="J226" s="29" t="n">
        <f aca="false">MAX(-G226,0)</f>
        <v>25.2</v>
      </c>
      <c r="K226" s="29" t="n">
        <f aca="false">(K225*13+I226)/14</f>
        <v>8.14817931994426</v>
      </c>
      <c r="L226" s="29" t="n">
        <f aca="false">(L225*13+J226)/14</f>
        <v>6.78183129203833</v>
      </c>
      <c r="M226" s="31" t="n">
        <f aca="false">IF(L226=0,100,100-100/(1+K226/MAX(L226,0.000001)))</f>
        <v>54.5758441283669</v>
      </c>
      <c r="N226" s="30" t="n">
        <f aca="false">AVERAGE(E207:E226)</f>
        <v>1738.2835</v>
      </c>
      <c r="O226" s="30" t="n">
        <f aca="false">AVERAGE(E177:E226)</f>
        <v>1698.5752</v>
      </c>
      <c r="P226" s="30" t="n">
        <f aca="false">AVERAGE(E27:E226)</f>
        <v>1505.1116</v>
      </c>
      <c r="Q226" s="30" t="n">
        <f aca="false">Q225+(2/13)*(E226-Q225)</f>
        <v>1750.16425147671</v>
      </c>
      <c r="R226" s="30" t="n">
        <f aca="false">R225+(2/27)*(E226-R225)</f>
        <v>1731.12220745499</v>
      </c>
      <c r="S226" s="33" t="n">
        <f aca="false">Q226-R226</f>
        <v>19.0420440217258</v>
      </c>
      <c r="T226" s="33" t="n">
        <f aca="false">T225+(2/10)*(S226-T225)</f>
        <v>19.5831674611783</v>
      </c>
      <c r="U226" s="33" t="n">
        <f aca="false">S226-T226</f>
        <v>-0.54112343945247</v>
      </c>
      <c r="V226" s="32" t="str">
        <f aca="false">IF(M226="","",IF(M226&lt;Assumptions!$B$5,"BUY",IF(M226&gt;Assumptions!$B$4,"SELL","HOLD")))</f>
        <v>HOLD</v>
      </c>
      <c r="W226" s="32" t="str">
        <f aca="false">IF(O226="","",IF(E226&gt;O226,"BUY","SELL"))</f>
        <v>BUY</v>
      </c>
      <c r="X226" s="32" t="str">
        <f aca="false">IF(T226="","",IF(S226&gt;T226,"BUY","SELL"))</f>
        <v>SELL</v>
      </c>
      <c r="Y226" s="34" t="n">
        <f aca="false">IF(OR(V226="",W226="",X226=""),"",IFERROR(IF(V226="BUY",1,IF(V226="SELL",-1,0))+IF(W226="BUY",1,IF(W226="SELL",-1,0))+IF(X226="BUY",1,IF(X226="SELL",-1,0)),0))</f>
        <v>0</v>
      </c>
      <c r="Z226" s="32" t="str">
        <f aca="false">IF(Y226="","",IF(Y226&gt;=2,"STRONG BUY",IF(Y226=1,"BUY",IF(Y226=0,"HOLD",IF(Y226=-1,"SELL","STRONG SELL")))))</f>
        <v>HOLD</v>
      </c>
    </row>
    <row r="227" customFormat="false" ht="15" hidden="false" customHeight="false" outlineLevel="0" collapsed="false">
      <c r="A227" s="24" t="n">
        <v>46085</v>
      </c>
      <c r="B227" s="25" t="n">
        <v>1737.24</v>
      </c>
      <c r="C227" s="25" t="n">
        <v>1757.16</v>
      </c>
      <c r="D227" s="25" t="n">
        <v>1724.58</v>
      </c>
      <c r="E227" s="25" t="n">
        <v>1740.87</v>
      </c>
      <c r="F227" s="26" t="n">
        <v>3803545</v>
      </c>
      <c r="G227" s="27" t="n">
        <f aca="false">E227-E226</f>
        <v>-6.65000000000009</v>
      </c>
      <c r="H227" s="28" t="n">
        <f aca="false">G227/E226</f>
        <v>-0.00380539278520423</v>
      </c>
      <c r="I227" s="29" t="n">
        <f aca="false">MAX(G227,0)</f>
        <v>0</v>
      </c>
      <c r="J227" s="29" t="n">
        <f aca="false">MAX(-G227,0)</f>
        <v>6.65000000000009</v>
      </c>
      <c r="K227" s="29" t="n">
        <f aca="false">(K226*13+I227)/14</f>
        <v>7.56616651137681</v>
      </c>
      <c r="L227" s="29" t="n">
        <f aca="false">(L226*13+J227)/14</f>
        <v>6.77241477117846</v>
      </c>
      <c r="M227" s="31" t="n">
        <f aca="false">IF(L227=0,100,100-100/(1+K227/MAX(L227,0.000001)))</f>
        <v>52.7678879958788</v>
      </c>
      <c r="N227" s="30" t="n">
        <f aca="false">AVERAGE(E208:E227)</f>
        <v>1738.8215</v>
      </c>
      <c r="O227" s="30" t="n">
        <f aca="false">AVERAGE(E178:E227)</f>
        <v>1700.2252</v>
      </c>
      <c r="P227" s="30" t="n">
        <f aca="false">AVERAGE(E28:E227)</f>
        <v>1507.0386</v>
      </c>
      <c r="Q227" s="30" t="n">
        <f aca="false">Q226+(2/13)*(E227-Q226)</f>
        <v>1748.73436663414</v>
      </c>
      <c r="R227" s="30" t="n">
        <f aca="false">R226+(2/27)*(E227-R226)</f>
        <v>1731.84426616203</v>
      </c>
      <c r="S227" s="33" t="n">
        <f aca="false">Q227-R227</f>
        <v>16.8901004721165</v>
      </c>
      <c r="T227" s="33" t="n">
        <f aca="false">T226+(2/10)*(S227-T226)</f>
        <v>19.0445540633659</v>
      </c>
      <c r="U227" s="33" t="n">
        <f aca="false">S227-T227</f>
        <v>-2.15445359124943</v>
      </c>
      <c r="V227" s="32" t="str">
        <f aca="false">IF(M227="","",IF(M227&lt;Assumptions!$B$5,"BUY",IF(M227&gt;Assumptions!$B$4,"SELL","HOLD")))</f>
        <v>HOLD</v>
      </c>
      <c r="W227" s="32" t="str">
        <f aca="false">IF(O227="","",IF(E227&gt;O227,"BUY","SELL"))</f>
        <v>BUY</v>
      </c>
      <c r="X227" s="32" t="str">
        <f aca="false">IF(T227="","",IF(S227&gt;T227,"BUY","SELL"))</f>
        <v>SELL</v>
      </c>
      <c r="Y227" s="34" t="n">
        <f aca="false">IF(OR(V227="",W227="",X227=""),"",IFERROR(IF(V227="BUY",1,IF(V227="SELL",-1,0))+IF(W227="BUY",1,IF(W227="SELL",-1,0))+IF(X227="BUY",1,IF(X227="SELL",-1,0)),0))</f>
        <v>0</v>
      </c>
      <c r="Z227" s="32" t="str">
        <f aca="false">IF(Y227="","",IF(Y227&gt;=2,"STRONG BUY",IF(Y227=1,"BUY",IF(Y227=0,"HOLD",IF(Y227=-1,"SELL","STRONG SELL")))))</f>
        <v>HOLD</v>
      </c>
    </row>
    <row r="228" customFormat="false" ht="15" hidden="false" customHeight="false" outlineLevel="0" collapsed="false">
      <c r="A228" s="24" t="n">
        <v>46086</v>
      </c>
      <c r="B228" s="25" t="n">
        <v>1763.96</v>
      </c>
      <c r="C228" s="25" t="n">
        <v>1773.55</v>
      </c>
      <c r="D228" s="25" t="n">
        <v>1747.63</v>
      </c>
      <c r="E228" s="25" t="n">
        <v>1760.59</v>
      </c>
      <c r="F228" s="26" t="n">
        <v>4915867</v>
      </c>
      <c r="G228" s="27" t="n">
        <f aca="false">E228-E227</f>
        <v>19.72</v>
      </c>
      <c r="H228" s="28" t="n">
        <f aca="false">G228/E227</f>
        <v>0.0113276694985841</v>
      </c>
      <c r="I228" s="29" t="n">
        <f aca="false">MAX(G228,0)</f>
        <v>19.72</v>
      </c>
      <c r="J228" s="29" t="n">
        <f aca="false">MAX(-G228,0)</f>
        <v>0</v>
      </c>
      <c r="K228" s="29" t="n">
        <f aca="false">(K227*13+I228)/14</f>
        <v>8.4342974748499</v>
      </c>
      <c r="L228" s="29" t="n">
        <f aca="false">(L227*13+J228)/14</f>
        <v>6.28867085895143</v>
      </c>
      <c r="M228" s="31" t="n">
        <f aca="false">IF(L228=0,100,100-100/(1+K228/MAX(L228,0.000001)))</f>
        <v>57.2866645069544</v>
      </c>
      <c r="N228" s="30" t="n">
        <f aca="false">AVERAGE(E209:E228)</f>
        <v>1740.873</v>
      </c>
      <c r="O228" s="30" t="n">
        <f aca="false">AVERAGE(E179:E228)</f>
        <v>1702.1976</v>
      </c>
      <c r="P228" s="30" t="n">
        <f aca="false">AVERAGE(E29:E228)</f>
        <v>1509.01005</v>
      </c>
      <c r="Q228" s="30" t="n">
        <f aca="false">Q227+(2/13)*(E228-Q227)</f>
        <v>1750.55831022889</v>
      </c>
      <c r="R228" s="30" t="n">
        <f aca="false">R227+(2/27)*(E228-R227)</f>
        <v>1733.97357977965</v>
      </c>
      <c r="S228" s="33" t="n">
        <f aca="false">Q228-R228</f>
        <v>16.5847304492361</v>
      </c>
      <c r="T228" s="33" t="n">
        <f aca="false">T227+(2/10)*(S228-T227)</f>
        <v>18.55258934054</v>
      </c>
      <c r="U228" s="33" t="n">
        <f aca="false">S228-T228</f>
        <v>-1.96785889130388</v>
      </c>
      <c r="V228" s="32" t="str">
        <f aca="false">IF(M228="","",IF(M228&lt;Assumptions!$B$5,"BUY",IF(M228&gt;Assumptions!$B$4,"SELL","HOLD")))</f>
        <v>HOLD</v>
      </c>
      <c r="W228" s="32" t="str">
        <f aca="false">IF(O228="","",IF(E228&gt;O228,"BUY","SELL"))</f>
        <v>BUY</v>
      </c>
      <c r="X228" s="32" t="str">
        <f aca="false">IF(T228="","",IF(S228&gt;T228,"BUY","SELL"))</f>
        <v>SELL</v>
      </c>
      <c r="Y228" s="34" t="n">
        <f aca="false">IF(OR(V228="",W228="",X228=""),"",IFERROR(IF(V228="BUY",1,IF(V228="SELL",-1,0))+IF(W228="BUY",1,IF(W228="SELL",-1,0))+IF(X228="BUY",1,IF(X228="SELL",-1,0)),0))</f>
        <v>0</v>
      </c>
      <c r="Z228" s="32" t="str">
        <f aca="false">IF(Y228="","",IF(Y228&gt;=2,"STRONG BUY",IF(Y228=1,"BUY",IF(Y228=0,"HOLD",IF(Y228=-1,"SELL","STRONG SELL")))))</f>
        <v>HOLD</v>
      </c>
    </row>
    <row r="229" customFormat="false" ht="15" hidden="false" customHeight="false" outlineLevel="0" collapsed="false">
      <c r="A229" s="24" t="n">
        <v>46087</v>
      </c>
      <c r="B229" s="25" t="n">
        <v>1764.88</v>
      </c>
      <c r="C229" s="25" t="n">
        <v>1772.74</v>
      </c>
      <c r="D229" s="25" t="n">
        <v>1763.58</v>
      </c>
      <c r="E229" s="25" t="n">
        <v>1768.16</v>
      </c>
      <c r="F229" s="26" t="n">
        <v>7787539</v>
      </c>
      <c r="G229" s="27" t="n">
        <f aca="false">E229-E228</f>
        <v>7.57000000000016</v>
      </c>
      <c r="H229" s="28" t="n">
        <f aca="false">G229/E228</f>
        <v>0.00429969498861187</v>
      </c>
      <c r="I229" s="29" t="n">
        <f aca="false">MAX(G229,0)</f>
        <v>7.57000000000016</v>
      </c>
      <c r="J229" s="29" t="n">
        <f aca="false">MAX(-G229,0)</f>
        <v>0</v>
      </c>
      <c r="K229" s="29" t="n">
        <f aca="false">(K228*13+I229)/14</f>
        <v>8.37256194093206</v>
      </c>
      <c r="L229" s="29" t="n">
        <f aca="false">(L228*13+J229)/14</f>
        <v>5.83948008331204</v>
      </c>
      <c r="M229" s="31" t="n">
        <f aca="false">IF(L229=0,100,100-100/(1+K229/MAX(L229,0.000001)))</f>
        <v>58.9117448896467</v>
      </c>
      <c r="N229" s="30" t="n">
        <f aca="false">AVERAGE(E210:E229)</f>
        <v>1743.246</v>
      </c>
      <c r="O229" s="30" t="n">
        <f aca="false">AVERAGE(E180:E229)</f>
        <v>1704.4994</v>
      </c>
      <c r="P229" s="30" t="n">
        <f aca="false">AVERAGE(E30:E229)</f>
        <v>1511.03345</v>
      </c>
      <c r="Q229" s="30" t="n">
        <f aca="false">Q228+(2/13)*(E229-Q228)</f>
        <v>1753.26626250137</v>
      </c>
      <c r="R229" s="30" t="n">
        <f aca="false">R228+(2/27)*(E229-R228)</f>
        <v>1736.50590720338</v>
      </c>
      <c r="S229" s="33" t="n">
        <f aca="false">Q229-R229</f>
        <v>16.7603552979854</v>
      </c>
      <c r="T229" s="33" t="n">
        <f aca="false">T228+(2/10)*(S229-T228)</f>
        <v>18.194142532029</v>
      </c>
      <c r="U229" s="33" t="n">
        <f aca="false">S229-T229</f>
        <v>-1.43378723404367</v>
      </c>
      <c r="V229" s="32" t="str">
        <f aca="false">IF(M229="","",IF(M229&lt;Assumptions!$B$5,"BUY",IF(M229&gt;Assumptions!$B$4,"SELL","HOLD")))</f>
        <v>HOLD</v>
      </c>
      <c r="W229" s="32" t="str">
        <f aca="false">IF(O229="","",IF(E229&gt;O229,"BUY","SELL"))</f>
        <v>BUY</v>
      </c>
      <c r="X229" s="32" t="str">
        <f aca="false">IF(T229="","",IF(S229&gt;T229,"BUY","SELL"))</f>
        <v>SELL</v>
      </c>
      <c r="Y229" s="34" t="n">
        <f aca="false">IF(OR(V229="",W229="",X229=""),"",IFERROR(IF(V229="BUY",1,IF(V229="SELL",-1,0))+IF(W229="BUY",1,IF(W229="SELL",-1,0))+IF(X229="BUY",1,IF(X229="SELL",-1,0)),0))</f>
        <v>0</v>
      </c>
      <c r="Z229" s="32" t="str">
        <f aca="false">IF(Y229="","",IF(Y229&gt;=2,"STRONG BUY",IF(Y229=1,"BUY",IF(Y229=0,"HOLD",IF(Y229=-1,"SELL","STRONG SELL")))))</f>
        <v>HOLD</v>
      </c>
    </row>
    <row r="230" customFormat="false" ht="15" hidden="false" customHeight="false" outlineLevel="0" collapsed="false">
      <c r="A230" s="24" t="n">
        <v>46090</v>
      </c>
      <c r="B230" s="25" t="n">
        <v>1739.96</v>
      </c>
      <c r="C230" s="25" t="n">
        <v>1739.96</v>
      </c>
      <c r="D230" s="25" t="n">
        <v>1734.96</v>
      </c>
      <c r="E230" s="25" t="n">
        <v>1737.46</v>
      </c>
      <c r="F230" s="26" t="n">
        <v>474430</v>
      </c>
      <c r="G230" s="27" t="n">
        <f aca="false">E230-E229</f>
        <v>-30.7</v>
      </c>
      <c r="H230" s="28" t="n">
        <f aca="false">G230/E229</f>
        <v>-0.0173626821102163</v>
      </c>
      <c r="I230" s="29" t="n">
        <f aca="false">MAX(G230,0)</f>
        <v>0</v>
      </c>
      <c r="J230" s="29" t="n">
        <f aca="false">MAX(-G230,0)</f>
        <v>30.7</v>
      </c>
      <c r="K230" s="29" t="n">
        <f aca="false">(K229*13+I230)/14</f>
        <v>7.77452180229406</v>
      </c>
      <c r="L230" s="29" t="n">
        <f aca="false">(L229*13+J230)/14</f>
        <v>7.61523150593261</v>
      </c>
      <c r="M230" s="31" t="n">
        <f aca="false">IF(L230=0,100,100-100/(1+K230/MAX(L230,0.000001)))</f>
        <v>50.5175206293797</v>
      </c>
      <c r="N230" s="30" t="n">
        <f aca="false">AVERAGE(E211:E230)</f>
        <v>1744.294</v>
      </c>
      <c r="O230" s="30" t="n">
        <f aca="false">AVERAGE(E181:E230)</f>
        <v>1705.9236</v>
      </c>
      <c r="P230" s="30" t="n">
        <f aca="false">AVERAGE(E31:E230)</f>
        <v>1512.8795</v>
      </c>
      <c r="Q230" s="30" t="n">
        <f aca="false">Q229+(2/13)*(E230-Q229)</f>
        <v>1750.83452980885</v>
      </c>
      <c r="R230" s="30" t="n">
        <f aca="false">R229+(2/27)*(E230-R229)</f>
        <v>1736.57658074387</v>
      </c>
      <c r="S230" s="33" t="n">
        <f aca="false">Q230-R230</f>
        <v>14.2579490649771</v>
      </c>
      <c r="T230" s="33" t="n">
        <f aca="false">T229+(2/10)*(S230-T229)</f>
        <v>17.4069038386187</v>
      </c>
      <c r="U230" s="33" t="n">
        <f aca="false">S230-T230</f>
        <v>-3.14895477364157</v>
      </c>
      <c r="V230" s="32" t="str">
        <f aca="false">IF(M230="","",IF(M230&lt;Assumptions!$B$5,"BUY",IF(M230&gt;Assumptions!$B$4,"SELL","HOLD")))</f>
        <v>HOLD</v>
      </c>
      <c r="W230" s="32" t="str">
        <f aca="false">IF(O230="","",IF(E230&gt;O230,"BUY","SELL"))</f>
        <v>BUY</v>
      </c>
      <c r="X230" s="32" t="str">
        <f aca="false">IF(T230="","",IF(S230&gt;T230,"BUY","SELL"))</f>
        <v>SELL</v>
      </c>
      <c r="Y230" s="34" t="n">
        <f aca="false">IF(OR(V230="",W230="",X230=""),"",IFERROR(IF(V230="BUY",1,IF(V230="SELL",-1,0))+IF(W230="BUY",1,IF(W230="SELL",-1,0))+IF(X230="BUY",1,IF(X230="SELL",-1,0)),0))</f>
        <v>0</v>
      </c>
      <c r="Z230" s="32" t="str">
        <f aca="false">IF(Y230="","",IF(Y230&gt;=2,"STRONG BUY",IF(Y230=1,"BUY",IF(Y230=0,"HOLD",IF(Y230=-1,"SELL","STRONG SELL")))))</f>
        <v>HOLD</v>
      </c>
    </row>
    <row r="231" customFormat="false" ht="15" hidden="false" customHeight="false" outlineLevel="0" collapsed="false">
      <c r="A231" s="24" t="n">
        <v>46091</v>
      </c>
      <c r="B231" s="25" t="n">
        <v>1730.28</v>
      </c>
      <c r="C231" s="25" t="n">
        <v>1743.9</v>
      </c>
      <c r="D231" s="25" t="n">
        <v>1730.28</v>
      </c>
      <c r="E231" s="25" t="n">
        <v>1737.09</v>
      </c>
      <c r="F231" s="26" t="n">
        <v>4254142</v>
      </c>
      <c r="G231" s="27" t="n">
        <f aca="false">E231-E230</f>
        <v>-0.370000000000118</v>
      </c>
      <c r="H231" s="28" t="n">
        <f aca="false">G231/E230</f>
        <v>-0.000212954542838464</v>
      </c>
      <c r="I231" s="29" t="n">
        <f aca="false">MAX(G231,0)</f>
        <v>0</v>
      </c>
      <c r="J231" s="29" t="n">
        <f aca="false">MAX(-G231,0)</f>
        <v>0.370000000000118</v>
      </c>
      <c r="K231" s="29" t="n">
        <f aca="false">(K230*13+I231)/14</f>
        <v>7.21919881641591</v>
      </c>
      <c r="L231" s="29" t="n">
        <f aca="false">(L230*13+J231)/14</f>
        <v>7.09771496979458</v>
      </c>
      <c r="M231" s="31" t="n">
        <f aca="false">IF(L231=0,100,100-100/(1+K231/MAX(L231,0.000001)))</f>
        <v>50.4242668791452</v>
      </c>
      <c r="N231" s="30" t="n">
        <f aca="false">AVERAGE(E212:E231)</f>
        <v>1745.1585</v>
      </c>
      <c r="O231" s="30" t="n">
        <f aca="false">AVERAGE(E182:E231)</f>
        <v>1707.1544</v>
      </c>
      <c r="P231" s="30" t="n">
        <f aca="false">AVERAGE(E32:E231)</f>
        <v>1514.7077</v>
      </c>
      <c r="Q231" s="30" t="n">
        <f aca="false">Q230+(2/13)*(E231-Q230)</f>
        <v>1748.71998676133</v>
      </c>
      <c r="R231" s="30" t="n">
        <f aca="false">R230+(2/27)*(E231-R230)</f>
        <v>1736.61461179988</v>
      </c>
      <c r="S231" s="33" t="n">
        <f aca="false">Q231-R231</f>
        <v>12.1053749614523</v>
      </c>
      <c r="T231" s="33" t="n">
        <f aca="false">T230+(2/10)*(S231-T230)</f>
        <v>16.3465980631854</v>
      </c>
      <c r="U231" s="33" t="n">
        <f aca="false">S231-T231</f>
        <v>-4.24122310173308</v>
      </c>
      <c r="V231" s="32" t="str">
        <f aca="false">IF(M231="","",IF(M231&lt;Assumptions!$B$5,"BUY",IF(M231&gt;Assumptions!$B$4,"SELL","HOLD")))</f>
        <v>HOLD</v>
      </c>
      <c r="W231" s="32" t="str">
        <f aca="false">IF(O231="","",IF(E231&gt;O231,"BUY","SELL"))</f>
        <v>BUY</v>
      </c>
      <c r="X231" s="32" t="str">
        <f aca="false">IF(T231="","",IF(S231&gt;T231,"BUY","SELL"))</f>
        <v>SELL</v>
      </c>
      <c r="Y231" s="34" t="n">
        <f aca="false">IF(OR(V231="",W231="",X231=""),"",IFERROR(IF(V231="BUY",1,IF(V231="SELL",-1,0))+IF(W231="BUY",1,IF(W231="SELL",-1,0))+IF(X231="BUY",1,IF(X231="SELL",-1,0)),0))</f>
        <v>0</v>
      </c>
      <c r="Z231" s="32" t="str">
        <f aca="false">IF(Y231="","",IF(Y231&gt;=2,"STRONG BUY",IF(Y231=1,"BUY",IF(Y231=0,"HOLD",IF(Y231=-1,"SELL","STRONG SELL")))))</f>
        <v>HOLD</v>
      </c>
    </row>
    <row r="232" customFormat="false" ht="15" hidden="false" customHeight="false" outlineLevel="0" collapsed="false">
      <c r="A232" s="24" t="n">
        <v>46092</v>
      </c>
      <c r="B232" s="25" t="n">
        <v>1755.32</v>
      </c>
      <c r="C232" s="25" t="n">
        <v>1763.2</v>
      </c>
      <c r="D232" s="25" t="n">
        <v>1755.32</v>
      </c>
      <c r="E232" s="25" t="n">
        <v>1759.26</v>
      </c>
      <c r="F232" s="26" t="n">
        <v>5907565</v>
      </c>
      <c r="G232" s="27" t="n">
        <f aca="false">E232-E231</f>
        <v>22.1700000000001</v>
      </c>
      <c r="H232" s="28" t="n">
        <f aca="false">G232/E231</f>
        <v>0.0127627238657756</v>
      </c>
      <c r="I232" s="29" t="n">
        <f aca="false">MAX(G232,0)</f>
        <v>22.1700000000001</v>
      </c>
      <c r="J232" s="29" t="n">
        <f aca="false">MAX(-G232,0)</f>
        <v>0</v>
      </c>
      <c r="K232" s="29" t="n">
        <f aca="false">(K231*13+I232)/14</f>
        <v>8.28711318667192</v>
      </c>
      <c r="L232" s="29" t="n">
        <f aca="false">(L231*13+J232)/14</f>
        <v>6.59073532909496</v>
      </c>
      <c r="M232" s="31" t="n">
        <f aca="false">IF(L232=0,100,100-100/(1+K232/MAX(L232,0.000001)))</f>
        <v>55.7010187184633</v>
      </c>
      <c r="N232" s="30" t="n">
        <f aca="false">AVERAGE(E213:E232)</f>
        <v>1748.737</v>
      </c>
      <c r="O232" s="30" t="n">
        <f aca="false">AVERAGE(E183:E232)</f>
        <v>1709.124</v>
      </c>
      <c r="P232" s="30" t="n">
        <f aca="false">AVERAGE(E33:E232)</f>
        <v>1516.5976</v>
      </c>
      <c r="Q232" s="30" t="n">
        <f aca="false">Q231+(2/13)*(E232-Q231)</f>
        <v>1750.34152725959</v>
      </c>
      <c r="R232" s="30" t="n">
        <f aca="false">R231+(2/27)*(E232-R231)</f>
        <v>1738.29204796285</v>
      </c>
      <c r="S232" s="33" t="n">
        <f aca="false">Q232-R232</f>
        <v>12.049479296737</v>
      </c>
      <c r="T232" s="33" t="n">
        <f aca="false">T231+(2/10)*(S232-T231)</f>
        <v>15.4871743098957</v>
      </c>
      <c r="U232" s="33" t="n">
        <f aca="false">S232-T232</f>
        <v>-3.43769501315871</v>
      </c>
      <c r="V232" s="32" t="str">
        <f aca="false">IF(M232="","",IF(M232&lt;Assumptions!$B$5,"BUY",IF(M232&gt;Assumptions!$B$4,"SELL","HOLD")))</f>
        <v>HOLD</v>
      </c>
      <c r="W232" s="32" t="str">
        <f aca="false">IF(O232="","",IF(E232&gt;O232,"BUY","SELL"))</f>
        <v>BUY</v>
      </c>
      <c r="X232" s="32" t="str">
        <f aca="false">IF(T232="","",IF(S232&gt;T232,"BUY","SELL"))</f>
        <v>SELL</v>
      </c>
      <c r="Y232" s="34" t="n">
        <f aca="false">IF(OR(V232="",W232="",X232=""),"",IFERROR(IF(V232="BUY",1,IF(V232="SELL",-1,0))+IF(W232="BUY",1,IF(W232="SELL",-1,0))+IF(X232="BUY",1,IF(X232="SELL",-1,0)),0))</f>
        <v>0</v>
      </c>
      <c r="Z232" s="32" t="str">
        <f aca="false">IF(Y232="","",IF(Y232&gt;=2,"STRONG BUY",IF(Y232=1,"BUY",IF(Y232=0,"HOLD",IF(Y232=-1,"SELL","STRONG SELL")))))</f>
        <v>HOLD</v>
      </c>
    </row>
    <row r="233" customFormat="false" ht="15" hidden="false" customHeight="false" outlineLevel="0" collapsed="false">
      <c r="A233" s="24" t="n">
        <v>46093</v>
      </c>
      <c r="B233" s="25" t="n">
        <v>1797.57</v>
      </c>
      <c r="C233" s="25" t="n">
        <v>1804.44</v>
      </c>
      <c r="D233" s="25" t="n">
        <v>1782.42</v>
      </c>
      <c r="E233" s="25" t="n">
        <v>1793.43</v>
      </c>
      <c r="F233" s="26" t="n">
        <v>2281183</v>
      </c>
      <c r="G233" s="27" t="n">
        <f aca="false">E233-E232</f>
        <v>34.1700000000001</v>
      </c>
      <c r="H233" s="28" t="n">
        <f aca="false">G233/E232</f>
        <v>0.0194229391903414</v>
      </c>
      <c r="I233" s="29" t="n">
        <f aca="false">MAX(G233,0)</f>
        <v>34.1700000000001</v>
      </c>
      <c r="J233" s="29" t="n">
        <f aca="false">MAX(-G233,0)</f>
        <v>0</v>
      </c>
      <c r="K233" s="29" t="n">
        <f aca="false">(K232*13+I233)/14</f>
        <v>10.1358908161954</v>
      </c>
      <c r="L233" s="29" t="n">
        <f aca="false">(L232*13+J233)/14</f>
        <v>6.11996851987389</v>
      </c>
      <c r="M233" s="31" t="n">
        <f aca="false">IF(L233=0,100,100-100/(1+K233/MAX(L233,0.000001)))</f>
        <v>62.3522300891555</v>
      </c>
      <c r="N233" s="30" t="n">
        <f aca="false">AVERAGE(E214:E233)</f>
        <v>1752.481</v>
      </c>
      <c r="O233" s="30" t="n">
        <f aca="false">AVERAGE(E184:E233)</f>
        <v>1711.6184</v>
      </c>
      <c r="P233" s="30" t="n">
        <f aca="false">AVERAGE(E34:E233)</f>
        <v>1518.7265</v>
      </c>
      <c r="Q233" s="30" t="n">
        <f aca="false">Q232+(2/13)*(E233-Q232)</f>
        <v>1756.97052306581</v>
      </c>
      <c r="R233" s="30" t="n">
        <f aca="false">R232+(2/27)*(E233-R232)</f>
        <v>1742.37634070635</v>
      </c>
      <c r="S233" s="33" t="n">
        <f aca="false">Q233-R233</f>
        <v>14.5941823594615</v>
      </c>
      <c r="T233" s="33" t="n">
        <f aca="false">T232+(2/10)*(S233-T232)</f>
        <v>15.3085759198089</v>
      </c>
      <c r="U233" s="33" t="n">
        <f aca="false">S233-T233</f>
        <v>-0.714393560347396</v>
      </c>
      <c r="V233" s="32" t="str">
        <f aca="false">IF(M233="","",IF(M233&lt;Assumptions!$B$5,"BUY",IF(M233&gt;Assumptions!$B$4,"SELL","HOLD")))</f>
        <v>HOLD</v>
      </c>
      <c r="W233" s="32" t="str">
        <f aca="false">IF(O233="","",IF(E233&gt;O233,"BUY","SELL"))</f>
        <v>BUY</v>
      </c>
      <c r="X233" s="32" t="str">
        <f aca="false">IF(T233="","",IF(S233&gt;T233,"BUY","SELL"))</f>
        <v>SELL</v>
      </c>
      <c r="Y233" s="34" t="n">
        <f aca="false">IF(OR(V233="",W233="",X233=""),"",IFERROR(IF(V233="BUY",1,IF(V233="SELL",-1,0))+IF(W233="BUY",1,IF(W233="SELL",-1,0))+IF(X233="BUY",1,IF(X233="SELL",-1,0)),0))</f>
        <v>0</v>
      </c>
      <c r="Z233" s="32" t="str">
        <f aca="false">IF(Y233="","",IF(Y233&gt;=2,"STRONG BUY",IF(Y233=1,"BUY",IF(Y233=0,"HOLD",IF(Y233=-1,"SELL","STRONG SELL")))))</f>
        <v>HOLD</v>
      </c>
    </row>
    <row r="234" customFormat="false" ht="15" hidden="false" customHeight="false" outlineLevel="0" collapsed="false">
      <c r="A234" s="24" t="n">
        <v>46094</v>
      </c>
      <c r="B234" s="25" t="n">
        <v>1805.53</v>
      </c>
      <c r="C234" s="25" t="n">
        <v>1805.53</v>
      </c>
      <c r="D234" s="25" t="n">
        <v>1799.87</v>
      </c>
      <c r="E234" s="25" t="n">
        <v>1802.7</v>
      </c>
      <c r="F234" s="26" t="n">
        <v>5937861</v>
      </c>
      <c r="G234" s="27" t="n">
        <f aca="false">E234-E233</f>
        <v>9.26999999999998</v>
      </c>
      <c r="H234" s="28" t="n">
        <f aca="false">G234/E233</f>
        <v>0.0051688663622221</v>
      </c>
      <c r="I234" s="29" t="n">
        <f aca="false">MAX(G234,0)</f>
        <v>9.26999999999998</v>
      </c>
      <c r="J234" s="29" t="n">
        <f aca="false">MAX(-G234,0)</f>
        <v>0</v>
      </c>
      <c r="K234" s="29" t="n">
        <f aca="false">(K233*13+I234)/14</f>
        <v>10.0740414721814</v>
      </c>
      <c r="L234" s="29" t="n">
        <f aca="false">(L233*13+J234)/14</f>
        <v>5.68282791131147</v>
      </c>
      <c r="M234" s="31" t="n">
        <f aca="false">IF(L234=0,100,100-100/(1+K234/MAX(L234,0.000001)))</f>
        <v>63.9342830545712</v>
      </c>
      <c r="N234" s="30" t="n">
        <f aca="false">AVERAGE(E215:E234)</f>
        <v>1756.809</v>
      </c>
      <c r="O234" s="30" t="n">
        <f aca="false">AVERAGE(E185:E234)</f>
        <v>1714.3538</v>
      </c>
      <c r="P234" s="30" t="n">
        <f aca="false">AVERAGE(E35:E234)</f>
        <v>1520.866</v>
      </c>
      <c r="Q234" s="30" t="n">
        <f aca="false">Q233+(2/13)*(E234-Q233)</f>
        <v>1764.00582720953</v>
      </c>
      <c r="R234" s="30" t="n">
        <f aca="false">R233+(2/27)*(E234-R233)</f>
        <v>1746.84475991328</v>
      </c>
      <c r="S234" s="33" t="n">
        <f aca="false">Q234-R234</f>
        <v>17.1610672962461</v>
      </c>
      <c r="T234" s="33" t="n">
        <f aca="false">T233+(2/10)*(S234-T233)</f>
        <v>15.6790741950963</v>
      </c>
      <c r="U234" s="33" t="n">
        <f aca="false">S234-T234</f>
        <v>1.48199310114978</v>
      </c>
      <c r="V234" s="32" t="str">
        <f aca="false">IF(M234="","",IF(M234&lt;Assumptions!$B$5,"BUY",IF(M234&gt;Assumptions!$B$4,"SELL","HOLD")))</f>
        <v>HOLD</v>
      </c>
      <c r="W234" s="32" t="str">
        <f aca="false">IF(O234="","",IF(E234&gt;O234,"BUY","SELL"))</f>
        <v>BUY</v>
      </c>
      <c r="X234" s="32" t="str">
        <f aca="false">IF(T234="","",IF(S234&gt;T234,"BUY","SELL"))</f>
        <v>BUY</v>
      </c>
      <c r="Y234" s="34" t="n">
        <f aca="false">IF(OR(V234="",W234="",X234=""),"",IFERROR(IF(V234="BUY",1,IF(V234="SELL",-1,0))+IF(W234="BUY",1,IF(W234="SELL",-1,0))+IF(X234="BUY",1,IF(X234="SELL",-1,0)),0))</f>
        <v>2</v>
      </c>
      <c r="Z234" s="32" t="str">
        <f aca="false">IF(Y234="","",IF(Y234&gt;=2,"STRONG BUY",IF(Y234=1,"BUY",IF(Y234=0,"HOLD",IF(Y234=-1,"SELL","STRONG SELL")))))</f>
        <v>STRONG BUY</v>
      </c>
    </row>
    <row r="235" customFormat="false" ht="15" hidden="false" customHeight="false" outlineLevel="0" collapsed="false">
      <c r="A235" s="24" t="n">
        <v>46097</v>
      </c>
      <c r="B235" s="25" t="n">
        <v>1809.29</v>
      </c>
      <c r="C235" s="25" t="n">
        <v>1809.29</v>
      </c>
      <c r="D235" s="25" t="n">
        <v>1806.53</v>
      </c>
      <c r="E235" s="25" t="n">
        <v>1807.91</v>
      </c>
      <c r="F235" s="26" t="n">
        <v>4274765</v>
      </c>
      <c r="G235" s="27" t="n">
        <f aca="false">E235-E234</f>
        <v>5.21000000000004</v>
      </c>
      <c r="H235" s="28" t="n">
        <f aca="false">G235/E234</f>
        <v>0.00289010928052368</v>
      </c>
      <c r="I235" s="29" t="n">
        <f aca="false">MAX(G235,0)</f>
        <v>5.21000000000004</v>
      </c>
      <c r="J235" s="29" t="n">
        <f aca="false">MAX(-G235,0)</f>
        <v>0</v>
      </c>
      <c r="K235" s="29" t="n">
        <f aca="false">(K234*13+I235)/14</f>
        <v>9.72660993845417</v>
      </c>
      <c r="L235" s="29" t="n">
        <f aca="false">(L234*13+J235)/14</f>
        <v>5.27691163193208</v>
      </c>
      <c r="M235" s="31" t="n">
        <f aca="false">IF(L235=0,100,100-100/(1+K235/MAX(L235,0.000001)))</f>
        <v>64.8288463000075</v>
      </c>
      <c r="N235" s="30" t="n">
        <f aca="false">AVERAGE(E216:E235)</f>
        <v>1760.032</v>
      </c>
      <c r="O235" s="30" t="n">
        <f aca="false">AVERAGE(E186:E235)</f>
        <v>1717.6318</v>
      </c>
      <c r="P235" s="30" t="n">
        <f aca="false">AVERAGE(E36:E235)</f>
        <v>1523.12395</v>
      </c>
      <c r="Q235" s="30" t="n">
        <f aca="false">Q234+(2/13)*(E235-Q234)</f>
        <v>1770.76031533114</v>
      </c>
      <c r="R235" s="30" t="n">
        <f aca="false">R234+(2/27)*(E235-R234)</f>
        <v>1751.36811103082</v>
      </c>
      <c r="S235" s="33" t="n">
        <f aca="false">Q235-R235</f>
        <v>19.3922043003224</v>
      </c>
      <c r="T235" s="33" t="n">
        <f aca="false">T234+(2/10)*(S235-T234)</f>
        <v>16.4217002161415</v>
      </c>
      <c r="U235" s="33" t="n">
        <f aca="false">S235-T235</f>
        <v>2.9705040841809</v>
      </c>
      <c r="V235" s="32" t="str">
        <f aca="false">IF(M235="","",IF(M235&lt;Assumptions!$B$5,"BUY",IF(M235&gt;Assumptions!$B$4,"SELL","HOLD")))</f>
        <v>HOLD</v>
      </c>
      <c r="W235" s="32" t="str">
        <f aca="false">IF(O235="","",IF(E235&gt;O235,"BUY","SELL"))</f>
        <v>BUY</v>
      </c>
      <c r="X235" s="32" t="str">
        <f aca="false">IF(T235="","",IF(S235&gt;T235,"BUY","SELL"))</f>
        <v>BUY</v>
      </c>
      <c r="Y235" s="34" t="n">
        <f aca="false">IF(OR(V235="",W235="",X235=""),"",IFERROR(IF(V235="BUY",1,IF(V235="SELL",-1,0))+IF(W235="BUY",1,IF(W235="SELL",-1,0))+IF(X235="BUY",1,IF(X235="SELL",-1,0)),0))</f>
        <v>2</v>
      </c>
      <c r="Z235" s="32" t="str">
        <f aca="false">IF(Y235="","",IF(Y235&gt;=2,"STRONG BUY",IF(Y235=1,"BUY",IF(Y235=0,"HOLD",IF(Y235=-1,"SELL","STRONG SELL")))))</f>
        <v>STRONG BUY</v>
      </c>
    </row>
    <row r="236" customFormat="false" ht="15" hidden="false" customHeight="false" outlineLevel="0" collapsed="false">
      <c r="A236" s="24" t="n">
        <v>46098</v>
      </c>
      <c r="B236" s="25" t="n">
        <v>1783.18</v>
      </c>
      <c r="C236" s="25" t="n">
        <v>1792.86</v>
      </c>
      <c r="D236" s="25" t="n">
        <v>1783.18</v>
      </c>
      <c r="E236" s="25" t="n">
        <v>1788.02</v>
      </c>
      <c r="F236" s="26" t="n">
        <v>8095634</v>
      </c>
      <c r="G236" s="27" t="n">
        <f aca="false">E236-E235</f>
        <v>-19.8900000000001</v>
      </c>
      <c r="H236" s="28" t="n">
        <f aca="false">G236/E235</f>
        <v>-0.0110016538433883</v>
      </c>
      <c r="I236" s="29" t="n">
        <f aca="false">MAX(G236,0)</f>
        <v>0</v>
      </c>
      <c r="J236" s="29" t="n">
        <f aca="false">MAX(-G236,0)</f>
        <v>19.8900000000001</v>
      </c>
      <c r="K236" s="29" t="n">
        <f aca="false">(K235*13+I236)/14</f>
        <v>9.03185208570744</v>
      </c>
      <c r="L236" s="29" t="n">
        <f aca="false">(L235*13+J236)/14</f>
        <v>6.32070365822265</v>
      </c>
      <c r="M236" s="31" t="n">
        <f aca="false">IF(L236=0,100,100-100/(1+K236/MAX(L236,0.000001)))</f>
        <v>58.8296322537591</v>
      </c>
      <c r="N236" s="30" t="n">
        <f aca="false">AVERAGE(E217:E236)</f>
        <v>1763.0385</v>
      </c>
      <c r="O236" s="30" t="n">
        <f aca="false">AVERAGE(E187:E236)</f>
        <v>1720.3744</v>
      </c>
      <c r="P236" s="30" t="n">
        <f aca="false">AVERAGE(E37:E236)</f>
        <v>1525.4398</v>
      </c>
      <c r="Q236" s="30" t="n">
        <f aca="false">Q235+(2/13)*(E236-Q235)</f>
        <v>1773.41565143404</v>
      </c>
      <c r="R236" s="30" t="n">
        <f aca="false">R235+(2/27)*(E236-R235)</f>
        <v>1754.08306576928</v>
      </c>
      <c r="S236" s="33" t="n">
        <f aca="false">Q236-R236</f>
        <v>19.3325856647659</v>
      </c>
      <c r="T236" s="33" t="n">
        <f aca="false">T235+(2/10)*(S236-T235)</f>
        <v>17.0038773058664</v>
      </c>
      <c r="U236" s="33" t="n">
        <f aca="false">S236-T236</f>
        <v>2.32870835889953</v>
      </c>
      <c r="V236" s="32" t="str">
        <f aca="false">IF(M236="","",IF(M236&lt;Assumptions!$B$5,"BUY",IF(M236&gt;Assumptions!$B$4,"SELL","HOLD")))</f>
        <v>HOLD</v>
      </c>
      <c r="W236" s="32" t="str">
        <f aca="false">IF(O236="","",IF(E236&gt;O236,"BUY","SELL"))</f>
        <v>BUY</v>
      </c>
      <c r="X236" s="32" t="str">
        <f aca="false">IF(T236="","",IF(S236&gt;T236,"BUY","SELL"))</f>
        <v>BUY</v>
      </c>
      <c r="Y236" s="34" t="n">
        <f aca="false">IF(OR(V236="",W236="",X236=""),"",IFERROR(IF(V236="BUY",1,IF(V236="SELL",-1,0))+IF(W236="BUY",1,IF(W236="SELL",-1,0))+IF(X236="BUY",1,IF(X236="SELL",-1,0)),0))</f>
        <v>2</v>
      </c>
      <c r="Z236" s="32" t="str">
        <f aca="false">IF(Y236="","",IF(Y236&gt;=2,"STRONG BUY",IF(Y236=1,"BUY",IF(Y236=0,"HOLD",IF(Y236=-1,"SELL","STRONG SELL")))))</f>
        <v>STRONG BUY</v>
      </c>
    </row>
    <row r="237" customFormat="false" ht="15" hidden="false" customHeight="false" outlineLevel="0" collapsed="false">
      <c r="A237" s="24" t="n">
        <v>46099</v>
      </c>
      <c r="B237" s="25" t="n">
        <v>1770.75</v>
      </c>
      <c r="C237" s="25" t="n">
        <v>1778.61</v>
      </c>
      <c r="D237" s="25" t="n">
        <v>1770.75</v>
      </c>
      <c r="E237" s="25" t="n">
        <v>1774.68</v>
      </c>
      <c r="F237" s="26" t="n">
        <v>7311582</v>
      </c>
      <c r="G237" s="27" t="n">
        <f aca="false">E237-E236</f>
        <v>-13.3399999999999</v>
      </c>
      <c r="H237" s="28" t="n">
        <f aca="false">G237/E236</f>
        <v>-0.00746076665809103</v>
      </c>
      <c r="I237" s="29" t="n">
        <f aca="false">MAX(G237,0)</f>
        <v>0</v>
      </c>
      <c r="J237" s="29" t="n">
        <f aca="false">MAX(-G237,0)</f>
        <v>13.3399999999999</v>
      </c>
      <c r="K237" s="29" t="n">
        <f aca="false">(K236*13+I237)/14</f>
        <v>8.38671979387119</v>
      </c>
      <c r="L237" s="29" t="n">
        <f aca="false">(L236*13+J237)/14</f>
        <v>6.8220819683496</v>
      </c>
      <c r="M237" s="31" t="n">
        <f aca="false">IF(L237=0,100,100-100/(1+K237/MAX(L237,0.000001)))</f>
        <v>55.1438563339296</v>
      </c>
      <c r="N237" s="30" t="n">
        <f aca="false">AVERAGE(E218:E237)</f>
        <v>1765.1415</v>
      </c>
      <c r="O237" s="30" t="n">
        <f aca="false">AVERAGE(E188:E237)</f>
        <v>1722.8604</v>
      </c>
      <c r="P237" s="30" t="n">
        <f aca="false">AVERAGE(E38:E237)</f>
        <v>1527.72435</v>
      </c>
      <c r="Q237" s="30" t="n">
        <f aca="false">Q236+(2/13)*(E237-Q236)</f>
        <v>1773.61016659804</v>
      </c>
      <c r="R237" s="30" t="n">
        <f aca="false">R236+(2/27)*(E237-R236)</f>
        <v>1755.60876460118</v>
      </c>
      <c r="S237" s="33" t="n">
        <f aca="false">Q237-R237</f>
        <v>18.0014019968542</v>
      </c>
      <c r="T237" s="33" t="n">
        <f aca="false">T236+(2/10)*(S237-T236)</f>
        <v>17.203382244064</v>
      </c>
      <c r="U237" s="33" t="n">
        <f aca="false">S237-T237</f>
        <v>0.798019752790204</v>
      </c>
      <c r="V237" s="32" t="str">
        <f aca="false">IF(M237="","",IF(M237&lt;Assumptions!$B$5,"BUY",IF(M237&gt;Assumptions!$B$4,"SELL","HOLD")))</f>
        <v>HOLD</v>
      </c>
      <c r="W237" s="32" t="str">
        <f aca="false">IF(O237="","",IF(E237&gt;O237,"BUY","SELL"))</f>
        <v>BUY</v>
      </c>
      <c r="X237" s="32" t="str">
        <f aca="false">IF(T237="","",IF(S237&gt;T237,"BUY","SELL"))</f>
        <v>BUY</v>
      </c>
      <c r="Y237" s="34" t="n">
        <f aca="false">IF(OR(V237="",W237="",X237=""),"",IFERROR(IF(V237="BUY",1,IF(V237="SELL",-1,0))+IF(W237="BUY",1,IF(W237="SELL",-1,0))+IF(X237="BUY",1,IF(X237="SELL",-1,0)),0))</f>
        <v>2</v>
      </c>
      <c r="Z237" s="32" t="str">
        <f aca="false">IF(Y237="","",IF(Y237&gt;=2,"STRONG BUY",IF(Y237=1,"BUY",IF(Y237=0,"HOLD",IF(Y237=-1,"SELL","STRONG SELL")))))</f>
        <v>STRONG BUY</v>
      </c>
    </row>
    <row r="238" customFormat="false" ht="15" hidden="false" customHeight="false" outlineLevel="0" collapsed="false">
      <c r="A238" s="24" t="n">
        <v>46100</v>
      </c>
      <c r="B238" s="25" t="n">
        <v>1776.38</v>
      </c>
      <c r="C238" s="25" t="n">
        <v>1788.77</v>
      </c>
      <c r="D238" s="25" t="n">
        <v>1762.45</v>
      </c>
      <c r="E238" s="25" t="n">
        <v>1775.61</v>
      </c>
      <c r="F238" s="26" t="n">
        <v>2488887</v>
      </c>
      <c r="G238" s="27" t="n">
        <f aca="false">E238-E237</f>
        <v>0.929999999999836</v>
      </c>
      <c r="H238" s="28" t="n">
        <f aca="false">G238/E237</f>
        <v>0.000524038136452677</v>
      </c>
      <c r="I238" s="29" t="n">
        <f aca="false">MAX(G238,0)</f>
        <v>0.929999999999836</v>
      </c>
      <c r="J238" s="29" t="n">
        <f aca="false">MAX(-G238,0)</f>
        <v>0</v>
      </c>
      <c r="K238" s="29" t="n">
        <f aca="false">(K237*13+I238)/14</f>
        <v>7.85409695145181</v>
      </c>
      <c r="L238" s="29" t="n">
        <f aca="false">(L237*13+J238)/14</f>
        <v>6.33479039918177</v>
      </c>
      <c r="M238" s="31" t="n">
        <f aca="false">IF(L238=0,100,100-100/(1+K238/MAX(L238,0.000001)))</f>
        <v>55.3538607881125</v>
      </c>
      <c r="N238" s="30" t="n">
        <f aca="false">AVERAGE(E219:E238)</f>
        <v>1764.779</v>
      </c>
      <c r="O238" s="30" t="n">
        <f aca="false">AVERAGE(E189:E238)</f>
        <v>1725.5824</v>
      </c>
      <c r="P238" s="30" t="n">
        <f aca="false">AVERAGE(E39:E238)</f>
        <v>1530.067</v>
      </c>
      <c r="Q238" s="30" t="n">
        <f aca="false">Q237+(2/13)*(E238-Q237)</f>
        <v>1773.91783327526</v>
      </c>
      <c r="R238" s="30" t="n">
        <f aca="false">R237+(2/27)*(E238-R237)</f>
        <v>1757.09033759369</v>
      </c>
      <c r="S238" s="33" t="n">
        <f aca="false">Q238-R238</f>
        <v>16.8274956815744</v>
      </c>
      <c r="T238" s="33" t="n">
        <f aca="false">T237+(2/10)*(S238-T237)</f>
        <v>17.128204931566</v>
      </c>
      <c r="U238" s="33" t="n">
        <f aca="false">S238-T238</f>
        <v>-0.300709249991627</v>
      </c>
      <c r="V238" s="32" t="str">
        <f aca="false">IF(M238="","",IF(M238&lt;Assumptions!$B$5,"BUY",IF(M238&gt;Assumptions!$B$4,"SELL","HOLD")))</f>
        <v>HOLD</v>
      </c>
      <c r="W238" s="32" t="str">
        <f aca="false">IF(O238="","",IF(E238&gt;O238,"BUY","SELL"))</f>
        <v>BUY</v>
      </c>
      <c r="X238" s="32" t="str">
        <f aca="false">IF(T238="","",IF(S238&gt;T238,"BUY","SELL"))</f>
        <v>SELL</v>
      </c>
      <c r="Y238" s="34" t="n">
        <f aca="false">IF(OR(V238="",W238="",X238=""),"",IFERROR(IF(V238="BUY",1,IF(V238="SELL",-1,0))+IF(W238="BUY",1,IF(W238="SELL",-1,0))+IF(X238="BUY",1,IF(X238="SELL",-1,0)),0))</f>
        <v>0</v>
      </c>
      <c r="Z238" s="32" t="str">
        <f aca="false">IF(Y238="","",IF(Y238&gt;=2,"STRONG BUY",IF(Y238=1,"BUY",IF(Y238=0,"HOLD",IF(Y238=-1,"SELL","STRONG SELL")))))</f>
        <v>HOLD</v>
      </c>
    </row>
    <row r="239" customFormat="false" ht="15" hidden="false" customHeight="false" outlineLevel="0" collapsed="false">
      <c r="A239" s="24" t="n">
        <v>46101</v>
      </c>
      <c r="B239" s="25" t="n">
        <v>1779.42</v>
      </c>
      <c r="C239" s="25" t="n">
        <v>1788.33</v>
      </c>
      <c r="D239" s="25" t="n">
        <v>1779.37</v>
      </c>
      <c r="E239" s="25" t="n">
        <v>1783.85</v>
      </c>
      <c r="F239" s="26" t="n">
        <v>2951149</v>
      </c>
      <c r="G239" s="27" t="n">
        <f aca="false">E239-E238</f>
        <v>8.24000000000001</v>
      </c>
      <c r="H239" s="28" t="n">
        <f aca="false">G239/E238</f>
        <v>0.00464065870320623</v>
      </c>
      <c r="I239" s="29" t="n">
        <f aca="false">MAX(G239,0)</f>
        <v>8.24000000000001</v>
      </c>
      <c r="J239" s="29" t="n">
        <f aca="false">MAX(-G239,0)</f>
        <v>0</v>
      </c>
      <c r="K239" s="29" t="n">
        <f aca="false">(K238*13+I239)/14</f>
        <v>7.88166145491954</v>
      </c>
      <c r="L239" s="29" t="n">
        <f aca="false">(L238*13+J239)/14</f>
        <v>5.88230537066879</v>
      </c>
      <c r="M239" s="31" t="n">
        <f aca="false">IF(L239=0,100,100-100/(1+K239/MAX(L239,0.000001)))</f>
        <v>57.2630082213428</v>
      </c>
      <c r="N239" s="30" t="n">
        <f aca="false">AVERAGE(E220:E239)</f>
        <v>1765.5145</v>
      </c>
      <c r="O239" s="30" t="n">
        <f aca="false">AVERAGE(E190:E239)</f>
        <v>1728.3112</v>
      </c>
      <c r="P239" s="30" t="n">
        <f aca="false">AVERAGE(E40:E239)</f>
        <v>1532.39845</v>
      </c>
      <c r="Q239" s="30" t="n">
        <f aca="false">Q238+(2/13)*(E239-Q238)</f>
        <v>1775.44585892522</v>
      </c>
      <c r="R239" s="30" t="n">
        <f aca="false">R238+(2/27)*(E239-R238)</f>
        <v>1759.07253480897</v>
      </c>
      <c r="S239" s="33" t="n">
        <f aca="false">Q239-R239</f>
        <v>16.3733241162518</v>
      </c>
      <c r="T239" s="33" t="n">
        <f aca="false">T238+(2/10)*(S239-T238)</f>
        <v>16.9772287685032</v>
      </c>
      <c r="U239" s="33" t="n">
        <f aca="false">S239-T239</f>
        <v>-0.603904652251437</v>
      </c>
      <c r="V239" s="32" t="str">
        <f aca="false">IF(M239="","",IF(M239&lt;Assumptions!$B$5,"BUY",IF(M239&gt;Assumptions!$B$4,"SELL","HOLD")))</f>
        <v>HOLD</v>
      </c>
      <c r="W239" s="32" t="str">
        <f aca="false">IF(O239="","",IF(E239&gt;O239,"BUY","SELL"))</f>
        <v>BUY</v>
      </c>
      <c r="X239" s="32" t="str">
        <f aca="false">IF(T239="","",IF(S239&gt;T239,"BUY","SELL"))</f>
        <v>SELL</v>
      </c>
      <c r="Y239" s="34" t="n">
        <f aca="false">IF(OR(V239="",W239="",X239=""),"",IFERROR(IF(V239="BUY",1,IF(V239="SELL",-1,0))+IF(W239="BUY",1,IF(W239="SELL",-1,0))+IF(X239="BUY",1,IF(X239="SELL",-1,0)),0))</f>
        <v>0</v>
      </c>
      <c r="Z239" s="32" t="str">
        <f aca="false">IF(Y239="","",IF(Y239&gt;=2,"STRONG BUY",IF(Y239=1,"BUY",IF(Y239=0,"HOLD",IF(Y239=-1,"SELL","STRONG SELL")))))</f>
        <v>HOLD</v>
      </c>
    </row>
    <row r="240" customFormat="false" ht="15" hidden="false" customHeight="false" outlineLevel="0" collapsed="false">
      <c r="A240" s="24" t="n">
        <v>46104</v>
      </c>
      <c r="B240" s="25" t="n">
        <v>1782.14</v>
      </c>
      <c r="C240" s="25" t="n">
        <v>1804.6</v>
      </c>
      <c r="D240" s="25" t="n">
        <v>1782.14</v>
      </c>
      <c r="E240" s="25" t="n">
        <v>1793.37</v>
      </c>
      <c r="F240" s="26" t="n">
        <v>5992535</v>
      </c>
      <c r="G240" s="27" t="n">
        <f aca="false">E240-E239</f>
        <v>9.51999999999998</v>
      </c>
      <c r="H240" s="28" t="n">
        <f aca="false">G240/E239</f>
        <v>0.00533677158953947</v>
      </c>
      <c r="I240" s="29" t="n">
        <f aca="false">MAX(G240,0)</f>
        <v>9.51999999999998</v>
      </c>
      <c r="J240" s="29" t="n">
        <f aca="false">MAX(-G240,0)</f>
        <v>0</v>
      </c>
      <c r="K240" s="29" t="n">
        <f aca="false">(K239*13+I240)/14</f>
        <v>7.998685636711</v>
      </c>
      <c r="L240" s="29" t="n">
        <f aca="false">(L239*13+J240)/14</f>
        <v>5.4621407013353</v>
      </c>
      <c r="M240" s="31" t="n">
        <f aca="false">IF(L240=0,100,100-100/(1+K240/MAX(L240,0.000001)))</f>
        <v>59.4219510439946</v>
      </c>
      <c r="N240" s="30" t="n">
        <f aca="false">AVERAGE(E221:E240)</f>
        <v>1767.8995</v>
      </c>
      <c r="O240" s="30" t="n">
        <f aca="false">AVERAGE(E191:E240)</f>
        <v>1731.082</v>
      </c>
      <c r="P240" s="30" t="n">
        <f aca="false">AVERAGE(E41:E240)</f>
        <v>1534.73735</v>
      </c>
      <c r="Q240" s="30" t="n">
        <f aca="false">Q239+(2/13)*(E240-Q239)</f>
        <v>1778.20341909057</v>
      </c>
      <c r="R240" s="30" t="n">
        <f aca="false">R239+(2/27)*(E240-R239)</f>
        <v>1761.61308778608</v>
      </c>
      <c r="S240" s="33" t="n">
        <f aca="false">Q240-R240</f>
        <v>16.5903313044889</v>
      </c>
      <c r="T240" s="33" t="n">
        <f aca="false">T239+(2/10)*(S240-T239)</f>
        <v>16.8998492757003</v>
      </c>
      <c r="U240" s="33" t="n">
        <f aca="false">S240-T240</f>
        <v>-0.30951797121141</v>
      </c>
      <c r="V240" s="32" t="str">
        <f aca="false">IF(M240="","",IF(M240&lt;Assumptions!$B$5,"BUY",IF(M240&gt;Assumptions!$B$4,"SELL","HOLD")))</f>
        <v>HOLD</v>
      </c>
      <c r="W240" s="32" t="str">
        <f aca="false">IF(O240="","",IF(E240&gt;O240,"BUY","SELL"))</f>
        <v>BUY</v>
      </c>
      <c r="X240" s="32" t="str">
        <f aca="false">IF(T240="","",IF(S240&gt;T240,"BUY","SELL"))</f>
        <v>SELL</v>
      </c>
      <c r="Y240" s="34" t="n">
        <f aca="false">IF(OR(V240="",W240="",X240=""),"",IFERROR(IF(V240="BUY",1,IF(V240="SELL",-1,0))+IF(W240="BUY",1,IF(W240="SELL",-1,0))+IF(X240="BUY",1,IF(X240="SELL",-1,0)),0))</f>
        <v>0</v>
      </c>
      <c r="Z240" s="32" t="str">
        <f aca="false">IF(Y240="","",IF(Y240&gt;=2,"STRONG BUY",IF(Y240=1,"BUY",IF(Y240=0,"HOLD",IF(Y240=-1,"SELL","STRONG SELL")))))</f>
        <v>HOLD</v>
      </c>
    </row>
    <row r="241" customFormat="false" ht="15" hidden="false" customHeight="false" outlineLevel="0" collapsed="false">
      <c r="A241" s="24" t="n">
        <v>46105</v>
      </c>
      <c r="B241" s="25" t="n">
        <v>1790.77</v>
      </c>
      <c r="C241" s="25" t="n">
        <v>1790.77</v>
      </c>
      <c r="D241" s="25" t="n">
        <v>1780.93</v>
      </c>
      <c r="E241" s="25" t="n">
        <v>1785.85</v>
      </c>
      <c r="F241" s="26" t="n">
        <v>5569054</v>
      </c>
      <c r="G241" s="27" t="n">
        <f aca="false">E241-E240</f>
        <v>-7.51999999999998</v>
      </c>
      <c r="H241" s="28" t="n">
        <f aca="false">G241/E240</f>
        <v>-0.00419322281514689</v>
      </c>
      <c r="I241" s="29" t="n">
        <f aca="false">MAX(G241,0)</f>
        <v>0</v>
      </c>
      <c r="J241" s="29" t="n">
        <f aca="false">MAX(-G241,0)</f>
        <v>7.51999999999998</v>
      </c>
      <c r="K241" s="29" t="n">
        <f aca="false">(K240*13+I241)/14</f>
        <v>7.4273509483745</v>
      </c>
      <c r="L241" s="29" t="n">
        <f aca="false">(L240*13+J241)/14</f>
        <v>5.60913065123992</v>
      </c>
      <c r="M241" s="31" t="n">
        <f aca="false">IF(L241=0,100,100-100/(1+K241/MAX(L241,0.000001)))</f>
        <v>56.9735851780298</v>
      </c>
      <c r="N241" s="30" t="n">
        <f aca="false">AVERAGE(E222:E241)</f>
        <v>1770.328</v>
      </c>
      <c r="O241" s="30" t="n">
        <f aca="false">AVERAGE(E192:E241)</f>
        <v>1733.8706</v>
      </c>
      <c r="P241" s="30" t="n">
        <f aca="false">AVERAGE(E42:E241)</f>
        <v>1537.1103</v>
      </c>
      <c r="Q241" s="30" t="n">
        <f aca="false">Q240+(2/13)*(E241-Q240)</f>
        <v>1779.37981615356</v>
      </c>
      <c r="R241" s="30" t="n">
        <f aca="false">R240+(2/27)*(E241-R240)</f>
        <v>1763.40841461674</v>
      </c>
      <c r="S241" s="33" t="n">
        <f aca="false">Q241-R241</f>
        <v>15.9714015368174</v>
      </c>
      <c r="T241" s="33" t="n">
        <f aca="false">T240+(2/10)*(S241-T240)</f>
        <v>16.7141597279238</v>
      </c>
      <c r="U241" s="33" t="n">
        <f aca="false">S241-T241</f>
        <v>-0.742758191106319</v>
      </c>
      <c r="V241" s="32" t="str">
        <f aca="false">IF(M241="","",IF(M241&lt;Assumptions!$B$5,"BUY",IF(M241&gt;Assumptions!$B$4,"SELL","HOLD")))</f>
        <v>HOLD</v>
      </c>
      <c r="W241" s="32" t="str">
        <f aca="false">IF(O241="","",IF(E241&gt;O241,"BUY","SELL"))</f>
        <v>BUY</v>
      </c>
      <c r="X241" s="32" t="str">
        <f aca="false">IF(T241="","",IF(S241&gt;T241,"BUY","SELL"))</f>
        <v>SELL</v>
      </c>
      <c r="Y241" s="34" t="n">
        <f aca="false">IF(OR(V241="",W241="",X241=""),"",IFERROR(IF(V241="BUY",1,IF(V241="SELL",-1,0))+IF(W241="BUY",1,IF(W241="SELL",-1,0))+IF(X241="BUY",1,IF(X241="SELL",-1,0)),0))</f>
        <v>0</v>
      </c>
      <c r="Z241" s="32" t="str">
        <f aca="false">IF(Y241="","",IF(Y241&gt;=2,"STRONG BUY",IF(Y241=1,"BUY",IF(Y241=0,"HOLD",IF(Y241=-1,"SELL","STRONG SELL")))))</f>
        <v>HOLD</v>
      </c>
    </row>
    <row r="242" customFormat="false" ht="15" hidden="false" customHeight="false" outlineLevel="0" collapsed="false">
      <c r="A242" s="24" t="n">
        <v>46106</v>
      </c>
      <c r="B242" s="25" t="n">
        <v>1761.71</v>
      </c>
      <c r="C242" s="25" t="n">
        <v>1789.44</v>
      </c>
      <c r="D242" s="25" t="n">
        <v>1745.78</v>
      </c>
      <c r="E242" s="25" t="n">
        <v>1767.61</v>
      </c>
      <c r="F242" s="26" t="n">
        <v>5113167</v>
      </c>
      <c r="G242" s="27" t="n">
        <f aca="false">E242-E241</f>
        <v>-18.24</v>
      </c>
      <c r="H242" s="28" t="n">
        <f aca="false">G242/E241</f>
        <v>-0.0102136237645939</v>
      </c>
      <c r="I242" s="29" t="n">
        <f aca="false">MAX(G242,0)</f>
        <v>0</v>
      </c>
      <c r="J242" s="29" t="n">
        <f aca="false">MAX(-G242,0)</f>
        <v>18.24</v>
      </c>
      <c r="K242" s="29" t="n">
        <f aca="false">(K241*13+I242)/14</f>
        <v>6.89682588063347</v>
      </c>
      <c r="L242" s="29" t="n">
        <f aca="false">(L241*13+J242)/14</f>
        <v>6.51133560472279</v>
      </c>
      <c r="M242" s="31" t="n">
        <f aca="false">IF(L242=0,100,100-100/(1+K242/MAX(L242,0.000001)))</f>
        <v>51.4375210066335</v>
      </c>
      <c r="N242" s="30" t="n">
        <f aca="false">AVERAGE(E223:E242)</f>
        <v>1771.4655</v>
      </c>
      <c r="O242" s="30" t="n">
        <f aca="false">AVERAGE(E193:E242)</f>
        <v>1736.1722</v>
      </c>
      <c r="P242" s="30" t="n">
        <f aca="false">AVERAGE(E43:E242)</f>
        <v>1539.3412</v>
      </c>
      <c r="Q242" s="30" t="n">
        <f aca="false">Q241+(2/13)*(E242-Q241)</f>
        <v>1777.56907520686</v>
      </c>
      <c r="R242" s="30" t="n">
        <f aca="false">R241+(2/27)*(E242-R241)</f>
        <v>1763.71964316365</v>
      </c>
      <c r="S242" s="33" t="n">
        <f aca="false">Q242-R242</f>
        <v>13.849432043208</v>
      </c>
      <c r="T242" s="33" t="n">
        <f aca="false">T241+(2/10)*(S242-T241)</f>
        <v>16.1412141909806</v>
      </c>
      <c r="U242" s="33" t="n">
        <f aca="false">S242-T242</f>
        <v>-2.29178214777259</v>
      </c>
      <c r="V242" s="32" t="str">
        <f aca="false">IF(M242="","",IF(M242&lt;Assumptions!$B$5,"BUY",IF(M242&gt;Assumptions!$B$4,"SELL","HOLD")))</f>
        <v>HOLD</v>
      </c>
      <c r="W242" s="32" t="str">
        <f aca="false">IF(O242="","",IF(E242&gt;O242,"BUY","SELL"))</f>
        <v>BUY</v>
      </c>
      <c r="X242" s="32" t="str">
        <f aca="false">IF(T242="","",IF(S242&gt;T242,"BUY","SELL"))</f>
        <v>SELL</v>
      </c>
      <c r="Y242" s="34" t="n">
        <f aca="false">IF(OR(V242="",W242="",X242=""),"",IFERROR(IF(V242="BUY",1,IF(V242="SELL",-1,0))+IF(W242="BUY",1,IF(W242="SELL",-1,0))+IF(X242="BUY",1,IF(X242="SELL",-1,0)),0))</f>
        <v>0</v>
      </c>
      <c r="Z242" s="32" t="str">
        <f aca="false">IF(Y242="","",IF(Y242&gt;=2,"STRONG BUY",IF(Y242=1,"BUY",IF(Y242=0,"HOLD",IF(Y242=-1,"SELL","STRONG SELL")))))</f>
        <v>HOLD</v>
      </c>
    </row>
    <row r="243" customFormat="false" ht="15" hidden="false" customHeight="false" outlineLevel="0" collapsed="false">
      <c r="A243" s="24" t="n">
        <v>46107</v>
      </c>
      <c r="B243" s="25" t="n">
        <v>1759.21</v>
      </c>
      <c r="C243" s="25" t="n">
        <v>1759.21</v>
      </c>
      <c r="D243" s="25" t="n">
        <v>1751.71</v>
      </c>
      <c r="E243" s="25" t="n">
        <v>1755.46</v>
      </c>
      <c r="F243" s="26" t="n">
        <v>1570567</v>
      </c>
      <c r="G243" s="27" t="n">
        <f aca="false">E243-E242</f>
        <v>-12.1499999999999</v>
      </c>
      <c r="H243" s="28" t="n">
        <f aca="false">G243/E242</f>
        <v>-0.00687368820045138</v>
      </c>
      <c r="I243" s="29" t="n">
        <f aca="false">MAX(G243,0)</f>
        <v>0</v>
      </c>
      <c r="J243" s="29" t="n">
        <f aca="false">MAX(-G243,0)</f>
        <v>12.1499999999999</v>
      </c>
      <c r="K243" s="29" t="n">
        <f aca="false">(K242*13+I243)/14</f>
        <v>6.40419546058822</v>
      </c>
      <c r="L243" s="29" t="n">
        <f aca="false">(L242*13+J243)/14</f>
        <v>6.91409734724258</v>
      </c>
      <c r="M243" s="31" t="n">
        <f aca="false">IF(L243=0,100,100-100/(1+K243/MAX(L243,0.000001)))</f>
        <v>48.0857085288193</v>
      </c>
      <c r="N243" s="30" t="n">
        <f aca="false">AVERAGE(E224:E243)</f>
        <v>1771.4405</v>
      </c>
      <c r="O243" s="30" t="n">
        <f aca="false">AVERAGE(E194:E243)</f>
        <v>1737.9242</v>
      </c>
      <c r="P243" s="30" t="n">
        <f aca="false">AVERAGE(E44:E243)</f>
        <v>1541.57</v>
      </c>
      <c r="Q243" s="30" t="n">
        <f aca="false">Q242+(2/13)*(E243-Q242)</f>
        <v>1774.16767902119</v>
      </c>
      <c r="R243" s="30" t="n">
        <f aca="false">R242+(2/27)*(E243-R242)</f>
        <v>1763.10781774412</v>
      </c>
      <c r="S243" s="33" t="n">
        <f aca="false">Q243-R243</f>
        <v>11.0598612770671</v>
      </c>
      <c r="T243" s="33" t="n">
        <f aca="false">T242+(2/10)*(S243-T242)</f>
        <v>15.1249436081979</v>
      </c>
      <c r="U243" s="33" t="n">
        <f aca="false">S243-T243</f>
        <v>-4.06508233113084</v>
      </c>
      <c r="V243" s="32" t="str">
        <f aca="false">IF(M243="","",IF(M243&lt;Assumptions!$B$5,"BUY",IF(M243&gt;Assumptions!$B$4,"SELL","HOLD")))</f>
        <v>HOLD</v>
      </c>
      <c r="W243" s="32" t="str">
        <f aca="false">IF(O243="","",IF(E243&gt;O243,"BUY","SELL"))</f>
        <v>BUY</v>
      </c>
      <c r="X243" s="32" t="str">
        <f aca="false">IF(T243="","",IF(S243&gt;T243,"BUY","SELL"))</f>
        <v>SELL</v>
      </c>
      <c r="Y243" s="34" t="n">
        <f aca="false">IF(OR(V243="",W243="",X243=""),"",IFERROR(IF(V243="BUY",1,IF(V243="SELL",-1,0))+IF(W243="BUY",1,IF(W243="SELL",-1,0))+IF(X243="BUY",1,IF(X243="SELL",-1,0)),0))</f>
        <v>0</v>
      </c>
      <c r="Z243" s="32" t="str">
        <f aca="false">IF(Y243="","",IF(Y243&gt;=2,"STRONG BUY",IF(Y243=1,"BUY",IF(Y243=0,"HOLD",IF(Y243=-1,"SELL","STRONG SELL")))))</f>
        <v>HOLD</v>
      </c>
    </row>
    <row r="244" customFormat="false" ht="15" hidden="false" customHeight="false" outlineLevel="0" collapsed="false">
      <c r="A244" s="24" t="n">
        <v>46108</v>
      </c>
      <c r="B244" s="25" t="n">
        <v>1740.89</v>
      </c>
      <c r="C244" s="25" t="n">
        <v>1740.89</v>
      </c>
      <c r="D244" s="25" t="n">
        <v>1734.01</v>
      </c>
      <c r="E244" s="25" t="n">
        <v>1737.45</v>
      </c>
      <c r="F244" s="26" t="n">
        <v>7701947</v>
      </c>
      <c r="G244" s="27" t="n">
        <f aca="false">E244-E243</f>
        <v>-18.01</v>
      </c>
      <c r="H244" s="28" t="n">
        <f aca="false">G244/E243</f>
        <v>-0.0102594191835758</v>
      </c>
      <c r="I244" s="29" t="n">
        <f aca="false">MAX(G244,0)</f>
        <v>0</v>
      </c>
      <c r="J244" s="29" t="n">
        <f aca="false">MAX(-G244,0)</f>
        <v>18.01</v>
      </c>
      <c r="K244" s="29" t="n">
        <f aca="false">(K243*13+I244)/14</f>
        <v>5.94675292768906</v>
      </c>
      <c r="L244" s="29" t="n">
        <f aca="false">(L243*13+J244)/14</f>
        <v>7.70666182243954</v>
      </c>
      <c r="M244" s="31" t="n">
        <f aca="false">IF(L244=0,100,100-100/(1+K244/MAX(L244,0.000001)))</f>
        <v>43.5550595694974</v>
      </c>
      <c r="N244" s="30" t="n">
        <f aca="false">AVERAGE(E225:E244)</f>
        <v>1769.4805</v>
      </c>
      <c r="O244" s="30" t="n">
        <f aca="false">AVERAGE(E195:E244)</f>
        <v>1739.526</v>
      </c>
      <c r="P244" s="30" t="n">
        <f aca="false">AVERAGE(E45:E244)</f>
        <v>1543.7132</v>
      </c>
      <c r="Q244" s="30" t="n">
        <f aca="false">Q243+(2/13)*(E244-Q243)</f>
        <v>1768.51880532562</v>
      </c>
      <c r="R244" s="30" t="n">
        <f aca="false">R243+(2/27)*(E244-R243)</f>
        <v>1761.20723865196</v>
      </c>
      <c r="S244" s="33" t="n">
        <f aca="false">Q244-R244</f>
        <v>7.3115666736569</v>
      </c>
      <c r="T244" s="33" t="n">
        <f aca="false">T243+(2/10)*(S244-T243)</f>
        <v>13.5622682212897</v>
      </c>
      <c r="U244" s="33" t="n">
        <f aca="false">S244-T244</f>
        <v>-6.2507015476328</v>
      </c>
      <c r="V244" s="32" t="str">
        <f aca="false">IF(M244="","",IF(M244&lt;Assumptions!$B$5,"BUY",IF(M244&gt;Assumptions!$B$4,"SELL","HOLD")))</f>
        <v>HOLD</v>
      </c>
      <c r="W244" s="32" t="str">
        <f aca="false">IF(O244="","",IF(E244&gt;O244,"BUY","SELL"))</f>
        <v>SELL</v>
      </c>
      <c r="X244" s="32" t="str">
        <f aca="false">IF(T244="","",IF(S244&gt;T244,"BUY","SELL"))</f>
        <v>SELL</v>
      </c>
      <c r="Y244" s="34" t="n">
        <f aca="false">IF(OR(V244="",W244="",X244=""),"",IFERROR(IF(V244="BUY",1,IF(V244="SELL",-1,0))+IF(W244="BUY",1,IF(W244="SELL",-1,0))+IF(X244="BUY",1,IF(X244="SELL",-1,0)),0))</f>
        <v>-2</v>
      </c>
      <c r="Z244" s="32" t="str">
        <f aca="false">IF(Y244="","",IF(Y244&gt;=2,"STRONG BUY",IF(Y244=1,"BUY",IF(Y244=0,"HOLD",IF(Y244=-1,"SELL","STRONG SELL")))))</f>
        <v>STRONG SELL</v>
      </c>
    </row>
    <row r="245" customFormat="false" ht="15" hidden="false" customHeight="false" outlineLevel="0" collapsed="false">
      <c r="A245" s="24" t="n">
        <v>46111</v>
      </c>
      <c r="B245" s="25" t="n">
        <v>1744.98</v>
      </c>
      <c r="C245" s="25" t="n">
        <v>1767.23</v>
      </c>
      <c r="D245" s="25" t="n">
        <v>1728.19</v>
      </c>
      <c r="E245" s="25" t="n">
        <v>1747.71</v>
      </c>
      <c r="F245" s="26" t="n">
        <v>6920809</v>
      </c>
      <c r="G245" s="27" t="n">
        <f aca="false">E245-E244</f>
        <v>10.26</v>
      </c>
      <c r="H245" s="28" t="n">
        <f aca="false">G245/E244</f>
        <v>0.0059052059052059</v>
      </c>
      <c r="I245" s="29" t="n">
        <f aca="false">MAX(G245,0)</f>
        <v>10.26</v>
      </c>
      <c r="J245" s="29" t="n">
        <f aca="false">MAX(-G245,0)</f>
        <v>0</v>
      </c>
      <c r="K245" s="29" t="n">
        <f aca="false">(K244*13+I245)/14</f>
        <v>6.2548420042827</v>
      </c>
      <c r="L245" s="29" t="n">
        <f aca="false">(L244*13+J245)/14</f>
        <v>7.15618597797957</v>
      </c>
      <c r="M245" s="31" t="n">
        <f aca="false">IF(L245=0,100,100-100/(1+K245/MAX(L245,0.000001)))</f>
        <v>46.6395418200267</v>
      </c>
      <c r="N245" s="30" t="n">
        <f aca="false">AVERAGE(E226:E245)</f>
        <v>1768.23</v>
      </c>
      <c r="O245" s="30" t="n">
        <f aca="false">AVERAGE(E196:E245)</f>
        <v>1741.2158</v>
      </c>
      <c r="P245" s="30" t="n">
        <f aca="false">AVERAGE(E46:E245)</f>
        <v>1545.92435</v>
      </c>
      <c r="Q245" s="30" t="n">
        <f aca="false">Q244+(2/13)*(E245-Q244)</f>
        <v>1765.31745066014</v>
      </c>
      <c r="R245" s="30" t="n">
        <f aca="false">R244+(2/27)*(E245-R244)</f>
        <v>1760.20744319626</v>
      </c>
      <c r="S245" s="33" t="n">
        <f aca="false">Q245-R245</f>
        <v>5.11000746387799</v>
      </c>
      <c r="T245" s="33" t="n">
        <f aca="false">T244+(2/10)*(S245-T244)</f>
        <v>11.8718160698074</v>
      </c>
      <c r="U245" s="33" t="n">
        <f aca="false">S245-T245</f>
        <v>-6.76180860592937</v>
      </c>
      <c r="V245" s="32" t="str">
        <f aca="false">IF(M245="","",IF(M245&lt;Assumptions!$B$5,"BUY",IF(M245&gt;Assumptions!$B$4,"SELL","HOLD")))</f>
        <v>HOLD</v>
      </c>
      <c r="W245" s="32" t="str">
        <f aca="false">IF(O245="","",IF(E245&gt;O245,"BUY","SELL"))</f>
        <v>BUY</v>
      </c>
      <c r="X245" s="32" t="str">
        <f aca="false">IF(T245="","",IF(S245&gt;T245,"BUY","SELL"))</f>
        <v>SELL</v>
      </c>
      <c r="Y245" s="34" t="n">
        <f aca="false">IF(OR(V245="",W245="",X245=""),"",IFERROR(IF(V245="BUY",1,IF(V245="SELL",-1,0))+IF(W245="BUY",1,IF(W245="SELL",-1,0))+IF(X245="BUY",1,IF(X245="SELL",-1,0)),0))</f>
        <v>0</v>
      </c>
      <c r="Z245" s="32" t="str">
        <f aca="false">IF(Y245="","",IF(Y245&gt;=2,"STRONG BUY",IF(Y245=1,"BUY",IF(Y245=0,"HOLD",IF(Y245=-1,"SELL","STRONG SELL")))))</f>
        <v>HOLD</v>
      </c>
    </row>
    <row r="246" customFormat="false" ht="15" hidden="false" customHeight="false" outlineLevel="0" collapsed="false">
      <c r="A246" s="24" t="n">
        <v>46112</v>
      </c>
      <c r="B246" s="25" t="n">
        <v>1720.11</v>
      </c>
      <c r="C246" s="25" t="n">
        <v>1729.47</v>
      </c>
      <c r="D246" s="25" t="n">
        <v>1694.31</v>
      </c>
      <c r="E246" s="25" t="n">
        <v>1711.89</v>
      </c>
      <c r="F246" s="26" t="n">
        <v>6266449</v>
      </c>
      <c r="G246" s="27" t="n">
        <f aca="false">E246-E245</f>
        <v>-35.8199999999999</v>
      </c>
      <c r="H246" s="28" t="n">
        <f aca="false">G246/E245</f>
        <v>-0.0204953911117977</v>
      </c>
      <c r="I246" s="29" t="n">
        <f aca="false">MAX(G246,0)</f>
        <v>0</v>
      </c>
      <c r="J246" s="29" t="n">
        <f aca="false">MAX(-G246,0)</f>
        <v>35.8199999999999</v>
      </c>
      <c r="K246" s="29" t="n">
        <f aca="false">(K245*13+I246)/14</f>
        <v>5.80806757540536</v>
      </c>
      <c r="L246" s="29" t="n">
        <f aca="false">(L245*13+J246)/14</f>
        <v>9.20360126526674</v>
      </c>
      <c r="M246" s="31" t="n">
        <f aca="false">IF(L246=0,100,100-100/(1+K246/MAX(L246,0.000001)))</f>
        <v>38.6903523988564</v>
      </c>
      <c r="N246" s="30" t="n">
        <f aca="false">AVERAGE(E227:E246)</f>
        <v>1766.4485</v>
      </c>
      <c r="O246" s="30" t="n">
        <f aca="false">AVERAGE(E197:E246)</f>
        <v>1742.185</v>
      </c>
      <c r="P246" s="30" t="n">
        <f aca="false">AVERAGE(E47:E246)</f>
        <v>1547.949</v>
      </c>
      <c r="Q246" s="30" t="n">
        <f aca="false">Q245+(2/13)*(E246-Q245)</f>
        <v>1757.09784286627</v>
      </c>
      <c r="R246" s="30" t="n">
        <f aca="false">R245+(2/27)*(E246-R245)</f>
        <v>1756.62837332987</v>
      </c>
      <c r="S246" s="33" t="n">
        <f aca="false">Q246-R246</f>
        <v>0.469469536399856</v>
      </c>
      <c r="T246" s="33" t="n">
        <f aca="false">T245+(2/10)*(S246-T245)</f>
        <v>9.59134676312586</v>
      </c>
      <c r="U246" s="33" t="n">
        <f aca="false">S246-T246</f>
        <v>-9.121877226726</v>
      </c>
      <c r="V246" s="32" t="str">
        <f aca="false">IF(M246="","",IF(M246&lt;Assumptions!$B$5,"BUY",IF(M246&gt;Assumptions!$B$4,"SELL","HOLD")))</f>
        <v>HOLD</v>
      </c>
      <c r="W246" s="32" t="str">
        <f aca="false">IF(O246="","",IF(E246&gt;O246,"BUY","SELL"))</f>
        <v>SELL</v>
      </c>
      <c r="X246" s="32" t="str">
        <f aca="false">IF(T246="","",IF(S246&gt;T246,"BUY","SELL"))</f>
        <v>SELL</v>
      </c>
      <c r="Y246" s="34" t="n">
        <f aca="false">IF(OR(V246="",W246="",X246=""),"",IFERROR(IF(V246="BUY",1,IF(V246="SELL",-1,0))+IF(W246="BUY",1,IF(W246="SELL",-1,0))+IF(X246="BUY",1,IF(X246="SELL",-1,0)),0))</f>
        <v>-2</v>
      </c>
      <c r="Z246" s="32" t="str">
        <f aca="false">IF(Y246="","",IF(Y246&gt;=2,"STRONG BUY",IF(Y246=1,"BUY",IF(Y246=0,"HOLD",IF(Y246=-1,"SELL","STRONG SELL")))))</f>
        <v>STRONG SELL</v>
      </c>
    </row>
    <row r="247" customFormat="false" ht="15" hidden="false" customHeight="false" outlineLevel="0" collapsed="false">
      <c r="A247" s="24" t="n">
        <v>46113</v>
      </c>
      <c r="B247" s="25" t="n">
        <v>1701.55</v>
      </c>
      <c r="C247" s="25" t="n">
        <v>1715.41</v>
      </c>
      <c r="D247" s="25" t="n">
        <v>1698.45</v>
      </c>
      <c r="E247" s="25" t="n">
        <v>1706.93</v>
      </c>
      <c r="F247" s="26" t="n">
        <v>2467312</v>
      </c>
      <c r="G247" s="27" t="n">
        <f aca="false">E247-E246</f>
        <v>-4.96000000000004</v>
      </c>
      <c r="H247" s="28" t="n">
        <f aca="false">G247/E246</f>
        <v>-0.00289738242527267</v>
      </c>
      <c r="I247" s="29" t="n">
        <f aca="false">MAX(G247,0)</f>
        <v>0</v>
      </c>
      <c r="J247" s="29" t="n">
        <f aca="false">MAX(-G247,0)</f>
        <v>4.96000000000004</v>
      </c>
      <c r="K247" s="29" t="n">
        <f aca="false">(K246*13+I247)/14</f>
        <v>5.39320560573355</v>
      </c>
      <c r="L247" s="29" t="n">
        <f aca="false">(L246*13+J247)/14</f>
        <v>8.90048688917626</v>
      </c>
      <c r="M247" s="31" t="n">
        <f aca="false">IF(L247=0,100,100-100/(1+K247/MAX(L247,0.000001)))</f>
        <v>37.7313672282662</v>
      </c>
      <c r="N247" s="30" t="n">
        <f aca="false">AVERAGE(E228:E247)</f>
        <v>1764.7515</v>
      </c>
      <c r="O247" s="30" t="n">
        <f aca="false">AVERAGE(E198:E247)</f>
        <v>1742.3662</v>
      </c>
      <c r="P247" s="30" t="n">
        <f aca="false">AVERAGE(E48:E247)</f>
        <v>1549.89985</v>
      </c>
      <c r="Q247" s="30" t="n">
        <f aca="false">Q246+(2/13)*(E247-Q246)</f>
        <v>1749.37971319454</v>
      </c>
      <c r="R247" s="30" t="n">
        <f aca="false">R246+(2/27)*(E247-R246)</f>
        <v>1752.94701234248</v>
      </c>
      <c r="S247" s="33" t="n">
        <f aca="false">Q247-R247</f>
        <v>-3.56729914793641</v>
      </c>
      <c r="T247" s="33" t="n">
        <f aca="false">T246+(2/10)*(S247-T246)</f>
        <v>6.95961758091341</v>
      </c>
      <c r="U247" s="33" t="n">
        <f aca="false">S247-T247</f>
        <v>-10.5269167288498</v>
      </c>
      <c r="V247" s="32" t="str">
        <f aca="false">IF(M247="","",IF(M247&lt;Assumptions!$B$5,"BUY",IF(M247&gt;Assumptions!$B$4,"SELL","HOLD")))</f>
        <v>HOLD</v>
      </c>
      <c r="W247" s="32" t="str">
        <f aca="false">IF(O247="","",IF(E247&gt;O247,"BUY","SELL"))</f>
        <v>SELL</v>
      </c>
      <c r="X247" s="32" t="str">
        <f aca="false">IF(T247="","",IF(S247&gt;T247,"BUY","SELL"))</f>
        <v>SELL</v>
      </c>
      <c r="Y247" s="34" t="n">
        <f aca="false">IF(OR(V247="",W247="",X247=""),"",IFERROR(IF(V247="BUY",1,IF(V247="SELL",-1,0))+IF(W247="BUY",1,IF(W247="SELL",-1,0))+IF(X247="BUY",1,IF(X247="SELL",-1,0)),0))</f>
        <v>-2</v>
      </c>
      <c r="Z247" s="32" t="str">
        <f aca="false">IF(Y247="","",IF(Y247&gt;=2,"STRONG BUY",IF(Y247=1,"BUY",IF(Y247=0,"HOLD",IF(Y247=-1,"SELL","STRONG SELL")))))</f>
        <v>STRONG SELL</v>
      </c>
    </row>
    <row r="248" customFormat="false" ht="15" hidden="false" customHeight="false" outlineLevel="0" collapsed="false">
      <c r="A248" s="24" t="n">
        <v>46114</v>
      </c>
      <c r="B248" s="25" t="n">
        <v>1711.65</v>
      </c>
      <c r="C248" s="25" t="n">
        <v>1724.14</v>
      </c>
      <c r="D248" s="25" t="n">
        <v>1703.92</v>
      </c>
      <c r="E248" s="25" t="n">
        <v>1714.03</v>
      </c>
      <c r="F248" s="26" t="n">
        <v>4950766</v>
      </c>
      <c r="G248" s="27" t="n">
        <f aca="false">E248-E247</f>
        <v>7.09999999999991</v>
      </c>
      <c r="H248" s="28" t="n">
        <f aca="false">G248/E247</f>
        <v>0.00415951444991881</v>
      </c>
      <c r="I248" s="29" t="n">
        <f aca="false">MAX(G248,0)</f>
        <v>7.09999999999991</v>
      </c>
      <c r="J248" s="29" t="n">
        <f aca="false">MAX(-G248,0)</f>
        <v>0</v>
      </c>
      <c r="K248" s="29" t="n">
        <f aca="false">(K247*13+I248)/14</f>
        <v>5.51511949103829</v>
      </c>
      <c r="L248" s="29" t="n">
        <f aca="false">(L247*13+J248)/14</f>
        <v>8.26473782566367</v>
      </c>
      <c r="M248" s="31" t="n">
        <f aca="false">IF(L248=0,100,100-100/(1+K248/MAX(L248,0.000001)))</f>
        <v>40.0230522296748</v>
      </c>
      <c r="N248" s="30" t="n">
        <f aca="false">AVERAGE(E229:E248)</f>
        <v>1762.4235</v>
      </c>
      <c r="O248" s="30" t="n">
        <f aca="false">AVERAGE(E199:E248)</f>
        <v>1743.2504</v>
      </c>
      <c r="P248" s="30" t="n">
        <f aca="false">AVERAGE(E49:E248)</f>
        <v>1551.8476</v>
      </c>
      <c r="Q248" s="30" t="n">
        <f aca="false">Q247+(2/13)*(E248-Q247)</f>
        <v>1743.94129577999</v>
      </c>
      <c r="R248" s="30" t="n">
        <f aca="false">R247+(2/27)*(E248-R247)</f>
        <v>1750.06427068748</v>
      </c>
      <c r="S248" s="33" t="n">
        <f aca="false">Q248-R248</f>
        <v>-6.12297490748256</v>
      </c>
      <c r="T248" s="33" t="n">
        <f aca="false">T247+(2/10)*(S248-T247)</f>
        <v>4.34309908323421</v>
      </c>
      <c r="U248" s="33" t="n">
        <f aca="false">S248-T248</f>
        <v>-10.4660739907168</v>
      </c>
      <c r="V248" s="32" t="str">
        <f aca="false">IF(M248="","",IF(M248&lt;Assumptions!$B$5,"BUY",IF(M248&gt;Assumptions!$B$4,"SELL","HOLD")))</f>
        <v>HOLD</v>
      </c>
      <c r="W248" s="32" t="str">
        <f aca="false">IF(O248="","",IF(E248&gt;O248,"BUY","SELL"))</f>
        <v>SELL</v>
      </c>
      <c r="X248" s="32" t="str">
        <f aca="false">IF(T248="","",IF(S248&gt;T248,"BUY","SELL"))</f>
        <v>SELL</v>
      </c>
      <c r="Y248" s="34" t="n">
        <f aca="false">IF(OR(V248="",W248="",X248=""),"",IFERROR(IF(V248="BUY",1,IF(V248="SELL",-1,0))+IF(W248="BUY",1,IF(W248="SELL",-1,0))+IF(X248="BUY",1,IF(X248="SELL",-1,0)),0))</f>
        <v>-2</v>
      </c>
      <c r="Z248" s="32" t="str">
        <f aca="false">IF(Y248="","",IF(Y248&gt;=2,"STRONG BUY",IF(Y248=1,"BUY",IF(Y248=0,"HOLD",IF(Y248=-1,"SELL","STRONG SELL")))))</f>
        <v>STRONG SELL</v>
      </c>
    </row>
    <row r="249" customFormat="false" ht="15" hidden="false" customHeight="false" outlineLevel="0" collapsed="false">
      <c r="A249" s="24" t="n">
        <v>46115</v>
      </c>
      <c r="B249" s="25" t="n">
        <v>1735.11</v>
      </c>
      <c r="C249" s="25" t="n">
        <v>1743.87</v>
      </c>
      <c r="D249" s="25" t="n">
        <v>1731.81</v>
      </c>
      <c r="E249" s="25" t="n">
        <v>1737.84</v>
      </c>
      <c r="F249" s="26" t="n">
        <v>5407311</v>
      </c>
      <c r="G249" s="27" t="n">
        <f aca="false">E249-E248</f>
        <v>23.8099999999999</v>
      </c>
      <c r="H249" s="28" t="n">
        <f aca="false">G249/E248</f>
        <v>0.0138912387764508</v>
      </c>
      <c r="I249" s="29" t="n">
        <f aca="false">MAX(G249,0)</f>
        <v>23.8099999999999</v>
      </c>
      <c r="J249" s="29" t="n">
        <f aca="false">MAX(-G249,0)</f>
        <v>0</v>
      </c>
      <c r="K249" s="29" t="n">
        <f aca="false">(K248*13+I249)/14</f>
        <v>6.82189667024984</v>
      </c>
      <c r="L249" s="29" t="n">
        <f aca="false">(L248*13+J249)/14</f>
        <v>7.67439940954484</v>
      </c>
      <c r="M249" s="31" t="n">
        <f aca="false">IF(L249=0,100,100-100/(1+K249/MAX(L249,0.000001)))</f>
        <v>47.0595842737952</v>
      </c>
      <c r="N249" s="30" t="n">
        <f aca="false">AVERAGE(E230:E249)</f>
        <v>1760.9075</v>
      </c>
      <c r="O249" s="30" t="n">
        <f aca="false">AVERAGE(E200:E249)</f>
        <v>1744.3978</v>
      </c>
      <c r="P249" s="30" t="n">
        <f aca="false">AVERAGE(E50:E249)</f>
        <v>1553.89285</v>
      </c>
      <c r="Q249" s="30" t="n">
        <f aca="false">Q248+(2/13)*(E249-Q248)</f>
        <v>1743.00263489076</v>
      </c>
      <c r="R249" s="30" t="n">
        <f aca="false">R248+(2/27)*(E249-R248)</f>
        <v>1749.15876915507</v>
      </c>
      <c r="S249" s="33" t="n">
        <f aca="false">Q249-R249</f>
        <v>-6.15613426430673</v>
      </c>
      <c r="T249" s="33" t="n">
        <f aca="false">T248+(2/10)*(S249-T248)</f>
        <v>2.24325241372602</v>
      </c>
      <c r="U249" s="33" t="n">
        <f aca="false">S249-T249</f>
        <v>-8.39938667803275</v>
      </c>
      <c r="V249" s="32" t="str">
        <f aca="false">IF(M249="","",IF(M249&lt;Assumptions!$B$5,"BUY",IF(M249&gt;Assumptions!$B$4,"SELL","HOLD")))</f>
        <v>HOLD</v>
      </c>
      <c r="W249" s="32" t="str">
        <f aca="false">IF(O249="","",IF(E249&gt;O249,"BUY","SELL"))</f>
        <v>SELL</v>
      </c>
      <c r="X249" s="32" t="str">
        <f aca="false">IF(T249="","",IF(S249&gt;T249,"BUY","SELL"))</f>
        <v>SELL</v>
      </c>
      <c r="Y249" s="34" t="n">
        <f aca="false">IF(OR(V249="",W249="",X249=""),"",IFERROR(IF(V249="BUY",1,IF(V249="SELL",-1,0))+IF(W249="BUY",1,IF(W249="SELL",-1,0))+IF(X249="BUY",1,IF(X249="SELL",-1,0)),0))</f>
        <v>-2</v>
      </c>
      <c r="Z249" s="32" t="str">
        <f aca="false">IF(Y249="","",IF(Y249&gt;=2,"STRONG BUY",IF(Y249=1,"BUY",IF(Y249=0,"HOLD",IF(Y249=-1,"SELL","STRONG SELL")))))</f>
        <v>STRONG SELL</v>
      </c>
    </row>
    <row r="250" customFormat="false" ht="15" hidden="false" customHeight="false" outlineLevel="0" collapsed="false">
      <c r="A250" s="24" t="n">
        <v>46118</v>
      </c>
      <c r="B250" s="25" t="n">
        <v>1739.61</v>
      </c>
      <c r="C250" s="25" t="n">
        <v>1749.79</v>
      </c>
      <c r="D250" s="25" t="n">
        <v>1728.47</v>
      </c>
      <c r="E250" s="25" t="n">
        <v>1739.13</v>
      </c>
      <c r="F250" s="26" t="n">
        <v>5430596</v>
      </c>
      <c r="G250" s="27" t="n">
        <f aca="false">E250-E249</f>
        <v>1.29000000000019</v>
      </c>
      <c r="H250" s="28" t="n">
        <f aca="false">G250/E249</f>
        <v>0.000742300787184201</v>
      </c>
      <c r="I250" s="29" t="n">
        <f aca="false">MAX(G250,0)</f>
        <v>1.29000000000019</v>
      </c>
      <c r="J250" s="29" t="n">
        <f aca="false">MAX(-G250,0)</f>
        <v>0</v>
      </c>
      <c r="K250" s="29" t="n">
        <f aca="false">(K249*13+I250)/14</f>
        <v>6.42676119380343</v>
      </c>
      <c r="L250" s="29" t="n">
        <f aca="false">(L249*13+J250)/14</f>
        <v>7.12622802314878</v>
      </c>
      <c r="M250" s="31" t="n">
        <f aca="false">IF(L250=0,100,100-100/(1+K250/MAX(L250,0.000001)))</f>
        <v>47.4195108615949</v>
      </c>
      <c r="N250" s="30" t="n">
        <f aca="false">AVERAGE(E231:E250)</f>
        <v>1760.991</v>
      </c>
      <c r="O250" s="30" t="n">
        <f aca="false">AVERAGE(E201:E250)</f>
        <v>1745.6602</v>
      </c>
      <c r="P250" s="30" t="n">
        <f aca="false">AVERAGE(E51:E250)</f>
        <v>1555.9049</v>
      </c>
      <c r="Q250" s="30" t="n">
        <f aca="false">Q249+(2/13)*(E250-Q249)</f>
        <v>1742.40684490757</v>
      </c>
      <c r="R250" s="30" t="n">
        <f aca="false">R249+(2/27)*(E250-R249)</f>
        <v>1748.41589736581</v>
      </c>
      <c r="S250" s="33" t="n">
        <f aca="false">Q250-R250</f>
        <v>-6.00905245823674</v>
      </c>
      <c r="T250" s="33" t="n">
        <f aca="false">T249+(2/10)*(S250-T249)</f>
        <v>0.592791439333471</v>
      </c>
      <c r="U250" s="33" t="n">
        <f aca="false">S250-T250</f>
        <v>-6.60184389757021</v>
      </c>
      <c r="V250" s="32" t="str">
        <f aca="false">IF(M250="","",IF(M250&lt;Assumptions!$B$5,"BUY",IF(M250&gt;Assumptions!$B$4,"SELL","HOLD")))</f>
        <v>HOLD</v>
      </c>
      <c r="W250" s="32" t="str">
        <f aca="false">IF(O250="","",IF(E250&gt;O250,"BUY","SELL"))</f>
        <v>SELL</v>
      </c>
      <c r="X250" s="32" t="str">
        <f aca="false">IF(T250="","",IF(S250&gt;T250,"BUY","SELL"))</f>
        <v>SELL</v>
      </c>
      <c r="Y250" s="34" t="n">
        <f aca="false">IF(OR(V250="",W250="",X250=""),"",IFERROR(IF(V250="BUY",1,IF(V250="SELL",-1,0))+IF(W250="BUY",1,IF(W250="SELL",-1,0))+IF(X250="BUY",1,IF(X250="SELL",-1,0)),0))</f>
        <v>-2</v>
      </c>
      <c r="Z250" s="32" t="str">
        <f aca="false">IF(Y250="","",IF(Y250&gt;=2,"STRONG BUY",IF(Y250=1,"BUY",IF(Y250=0,"HOLD",IF(Y250=-1,"SELL","STRONG SELL")))))</f>
        <v>STRONG SELL</v>
      </c>
    </row>
    <row r="251" customFormat="false" ht="15" hidden="false" customHeight="false" outlineLevel="0" collapsed="false">
      <c r="A251" s="24" t="n">
        <v>46119</v>
      </c>
      <c r="B251" s="25" t="n">
        <v>1754.24</v>
      </c>
      <c r="C251" s="25" t="n">
        <v>1755.86</v>
      </c>
      <c r="D251" s="25" t="n">
        <v>1754.24</v>
      </c>
      <c r="E251" s="25" t="n">
        <v>1755.05</v>
      </c>
      <c r="F251" s="26" t="n">
        <v>6376584</v>
      </c>
      <c r="G251" s="27" t="n">
        <f aca="false">E251-E250</f>
        <v>15.9199999999998</v>
      </c>
      <c r="H251" s="28" t="n">
        <f aca="false">G251/E250</f>
        <v>0.00915400228850048</v>
      </c>
      <c r="I251" s="29" t="n">
        <f aca="false">MAX(G251,0)</f>
        <v>15.9199999999998</v>
      </c>
      <c r="J251" s="29" t="n">
        <f aca="false">MAX(-G251,0)</f>
        <v>0</v>
      </c>
      <c r="K251" s="29" t="n">
        <f aca="false">(K250*13+I251)/14</f>
        <v>7.10484967996032</v>
      </c>
      <c r="L251" s="29" t="n">
        <f aca="false">(L250*13+J251)/14</f>
        <v>6.61721173578101</v>
      </c>
      <c r="M251" s="31" t="n">
        <f aca="false">IF(L251=0,100,100-100/(1+K251/MAX(L251,0.000001)))</f>
        <v>51.7768392423165</v>
      </c>
      <c r="N251" s="30" t="n">
        <f aca="false">AVERAGE(E232:E251)</f>
        <v>1761.889</v>
      </c>
      <c r="O251" s="30" t="n">
        <f aca="false">AVERAGE(E202:E251)</f>
        <v>1747.2678</v>
      </c>
      <c r="P251" s="30" t="n">
        <f aca="false">AVERAGE(E52:E251)</f>
        <v>1557.96705</v>
      </c>
      <c r="Q251" s="30" t="n">
        <f aca="false">Q250+(2/13)*(E251-Q250)</f>
        <v>1744.35194569102</v>
      </c>
      <c r="R251" s="30" t="n">
        <f aca="false">R250+(2/27)*(E251-R250)</f>
        <v>1748.90731237575</v>
      </c>
      <c r="S251" s="33" t="n">
        <f aca="false">Q251-R251</f>
        <v>-4.55536668472632</v>
      </c>
      <c r="T251" s="33" t="n">
        <f aca="false">T250+(2/10)*(S251-T250)</f>
        <v>-0.436840185478488</v>
      </c>
      <c r="U251" s="33" t="n">
        <f aca="false">S251-T251</f>
        <v>-4.11852649924784</v>
      </c>
      <c r="V251" s="32" t="str">
        <f aca="false">IF(M251="","",IF(M251&lt;Assumptions!$B$5,"BUY",IF(M251&gt;Assumptions!$B$4,"SELL","HOLD")))</f>
        <v>HOLD</v>
      </c>
      <c r="W251" s="32" t="str">
        <f aca="false">IF(O251="","",IF(E251&gt;O251,"BUY","SELL"))</f>
        <v>BUY</v>
      </c>
      <c r="X251" s="32" t="str">
        <f aca="false">IF(T251="","",IF(S251&gt;T251,"BUY","SELL"))</f>
        <v>SELL</v>
      </c>
      <c r="Y251" s="34" t="n">
        <f aca="false">IF(OR(V251="",W251="",X251=""),"",IFERROR(IF(V251="BUY",1,IF(V251="SELL",-1,0))+IF(W251="BUY",1,IF(W251="SELL",-1,0))+IF(X251="BUY",1,IF(X251="SELL",-1,0)),0))</f>
        <v>0</v>
      </c>
      <c r="Z251" s="32" t="str">
        <f aca="false">IF(Y251="","",IF(Y251&gt;=2,"STRONG BUY",IF(Y251=1,"BUY",IF(Y251=0,"HOLD",IF(Y251=-1,"SELL","STRONG SELL")))))</f>
        <v>HOLD</v>
      </c>
    </row>
    <row r="252" customFormat="false" ht="15" hidden="false" customHeight="false" outlineLevel="0" collapsed="false">
      <c r="A252" s="24" t="n">
        <v>46120</v>
      </c>
      <c r="B252" s="25" t="n">
        <v>1744.73</v>
      </c>
      <c r="C252" s="25" t="n">
        <v>1768.58</v>
      </c>
      <c r="D252" s="25" t="n">
        <v>1729.28</v>
      </c>
      <c r="E252" s="25" t="n">
        <v>1748.93</v>
      </c>
      <c r="F252" s="26" t="n">
        <v>7160309</v>
      </c>
      <c r="G252" s="27" t="n">
        <f aca="false">E252-E251</f>
        <v>-6.11999999999989</v>
      </c>
      <c r="H252" s="28" t="n">
        <f aca="false">G252/E251</f>
        <v>-0.00348708014016688</v>
      </c>
      <c r="I252" s="29" t="n">
        <f aca="false">MAX(G252,0)</f>
        <v>0</v>
      </c>
      <c r="J252" s="29" t="n">
        <f aca="false">MAX(-G252,0)</f>
        <v>6.11999999999989</v>
      </c>
      <c r="K252" s="29" t="n">
        <f aca="false">(K251*13+I252)/14</f>
        <v>6.59736041710601</v>
      </c>
      <c r="L252" s="29" t="n">
        <f aca="false">(L251*13+J252)/14</f>
        <v>6.58169661179664</v>
      </c>
      <c r="M252" s="31" t="n">
        <f aca="false">IF(L252=0,100,100-100/(1+K252/MAX(L252,0.000001)))</f>
        <v>50.0594268818893</v>
      </c>
      <c r="N252" s="30" t="n">
        <f aca="false">AVERAGE(E233:E252)</f>
        <v>1761.3725</v>
      </c>
      <c r="O252" s="30" t="n">
        <f aca="false">AVERAGE(E203:E252)</f>
        <v>1748.1714</v>
      </c>
      <c r="P252" s="30" t="n">
        <f aca="false">AVERAGE(E53:E252)</f>
        <v>1560.0357</v>
      </c>
      <c r="Q252" s="30" t="n">
        <f aca="false">Q251+(2/13)*(E252-Q251)</f>
        <v>1745.05626173856</v>
      </c>
      <c r="R252" s="30" t="n">
        <f aca="false">R251+(2/27)*(E252-R251)</f>
        <v>1748.90899294051</v>
      </c>
      <c r="S252" s="33" t="n">
        <f aca="false">Q252-R252</f>
        <v>-3.85273120195052</v>
      </c>
      <c r="T252" s="33" t="n">
        <f aca="false">T251+(2/10)*(S252-T251)</f>
        <v>-1.12001838877289</v>
      </c>
      <c r="U252" s="33" t="n">
        <f aca="false">S252-T252</f>
        <v>-2.73271281317763</v>
      </c>
      <c r="V252" s="32" t="str">
        <f aca="false">IF(M252="","",IF(M252&lt;Assumptions!$B$5,"BUY",IF(M252&gt;Assumptions!$B$4,"SELL","HOLD")))</f>
        <v>HOLD</v>
      </c>
      <c r="W252" s="32" t="str">
        <f aca="false">IF(O252="","",IF(E252&gt;O252,"BUY","SELL"))</f>
        <v>BUY</v>
      </c>
      <c r="X252" s="32" t="str">
        <f aca="false">IF(T252="","",IF(S252&gt;T252,"BUY","SELL"))</f>
        <v>SELL</v>
      </c>
      <c r="Y252" s="34" t="n">
        <f aca="false">IF(OR(V252="",W252="",X252=""),"",IFERROR(IF(V252="BUY",1,IF(V252="SELL",-1,0))+IF(W252="BUY",1,IF(W252="SELL",-1,0))+IF(X252="BUY",1,IF(X252="SELL",-1,0)),0))</f>
        <v>0</v>
      </c>
      <c r="Z252" s="32" t="str">
        <f aca="false">IF(Y252="","",IF(Y252&gt;=2,"STRONG BUY",IF(Y252=1,"BUY",IF(Y252=0,"HOLD",IF(Y252=-1,"SELL","STRONG SELL")))))</f>
        <v>HOLD</v>
      </c>
    </row>
    <row r="253" customFormat="false" ht="15" hidden="false" customHeight="false" outlineLevel="0" collapsed="false">
      <c r="A253" s="24" t="n">
        <v>46121</v>
      </c>
      <c r="B253" s="25" t="n">
        <v>1728.16</v>
      </c>
      <c r="C253" s="25" t="n">
        <v>1746.7</v>
      </c>
      <c r="D253" s="25" t="n">
        <v>1728.16</v>
      </c>
      <c r="E253" s="25" t="n">
        <v>1737.43</v>
      </c>
      <c r="F253" s="26" t="n">
        <v>3667910</v>
      </c>
      <c r="G253" s="27" t="n">
        <f aca="false">E253-E252</f>
        <v>-11.5</v>
      </c>
      <c r="H253" s="28" t="n">
        <f aca="false">G253/E252</f>
        <v>-0.0065754489888103</v>
      </c>
      <c r="I253" s="29" t="n">
        <f aca="false">MAX(G253,0)</f>
        <v>0</v>
      </c>
      <c r="J253" s="29" t="n">
        <f aca="false">MAX(-G253,0)</f>
        <v>11.5</v>
      </c>
      <c r="K253" s="29" t="n">
        <f aca="false">(K252*13+I253)/14</f>
        <v>6.12612038731272</v>
      </c>
      <c r="L253" s="29" t="n">
        <f aca="false">(L252*13+J253)/14</f>
        <v>6.93300399666831</v>
      </c>
      <c r="M253" s="31" t="n">
        <f aca="false">IF(L253=0,100,100-100/(1+K253/MAX(L253,0.000001)))</f>
        <v>46.9106519486661</v>
      </c>
      <c r="N253" s="30" t="n">
        <f aca="false">AVERAGE(E234:E253)</f>
        <v>1758.5725</v>
      </c>
      <c r="O253" s="30" t="n">
        <f aca="false">AVERAGE(E204:E253)</f>
        <v>1748.8442</v>
      </c>
      <c r="P253" s="30" t="n">
        <f aca="false">AVERAGE(E54:E253)</f>
        <v>1562.08915</v>
      </c>
      <c r="Q253" s="30" t="n">
        <f aca="false">Q252+(2/13)*(E253-Q252)</f>
        <v>1743.88299070186</v>
      </c>
      <c r="R253" s="30" t="n">
        <f aca="false">R252+(2/27)*(E253-R252)</f>
        <v>1748.05869716714</v>
      </c>
      <c r="S253" s="33" t="n">
        <f aca="false">Q253-R253</f>
        <v>-4.17570646528066</v>
      </c>
      <c r="T253" s="33" t="n">
        <f aca="false">T252+(2/10)*(S253-T252)</f>
        <v>-1.73115600407445</v>
      </c>
      <c r="U253" s="33" t="n">
        <f aca="false">S253-T253</f>
        <v>-2.44455046120621</v>
      </c>
      <c r="V253" s="32" t="str">
        <f aca="false">IF(M253="","",IF(M253&lt;Assumptions!$B$5,"BUY",IF(M253&gt;Assumptions!$B$4,"SELL","HOLD")))</f>
        <v>HOLD</v>
      </c>
      <c r="W253" s="32" t="str">
        <f aca="false">IF(O253="","",IF(E253&gt;O253,"BUY","SELL"))</f>
        <v>SELL</v>
      </c>
      <c r="X253" s="32" t="str">
        <f aca="false">IF(T253="","",IF(S253&gt;T253,"BUY","SELL"))</f>
        <v>SELL</v>
      </c>
      <c r="Y253" s="34" t="n">
        <f aca="false">IF(OR(V253="",W253="",X253=""),"",IFERROR(IF(V253="BUY",1,IF(V253="SELL",-1,0))+IF(W253="BUY",1,IF(W253="SELL",-1,0))+IF(X253="BUY",1,IF(X253="SELL",-1,0)),0))</f>
        <v>-2</v>
      </c>
      <c r="Z253" s="32" t="str">
        <f aca="false">IF(Y253="","",IF(Y253&gt;=2,"STRONG BUY",IF(Y253=1,"BUY",IF(Y253=0,"HOLD",IF(Y253=-1,"SELL","STRONG SELL")))))</f>
        <v>STRONG SELL</v>
      </c>
    </row>
    <row r="254" customFormat="false" ht="15" hidden="false" customHeight="false" outlineLevel="0" collapsed="false">
      <c r="A254" s="24" t="n">
        <v>46122</v>
      </c>
      <c r="B254" s="25" t="n">
        <v>1732.5</v>
      </c>
      <c r="C254" s="25" t="n">
        <v>1733.68</v>
      </c>
      <c r="D254" s="25" t="n">
        <v>1720.5</v>
      </c>
      <c r="E254" s="25" t="n">
        <v>1727.09</v>
      </c>
      <c r="F254" s="26" t="n">
        <v>5329853</v>
      </c>
      <c r="G254" s="27" t="n">
        <f aca="false">E254-E253</f>
        <v>-10.3400000000001</v>
      </c>
      <c r="H254" s="28" t="n">
        <f aca="false">G254/E253</f>
        <v>-0.00595131890205657</v>
      </c>
      <c r="I254" s="29" t="n">
        <f aca="false">MAX(G254,0)</f>
        <v>0</v>
      </c>
      <c r="J254" s="29" t="n">
        <f aca="false">MAX(-G254,0)</f>
        <v>10.3400000000001</v>
      </c>
      <c r="K254" s="29" t="n">
        <f aca="false">(K253*13+I254)/14</f>
        <v>5.68854035964753</v>
      </c>
      <c r="L254" s="29" t="n">
        <f aca="false">(L253*13+J254)/14</f>
        <v>7.17636085404916</v>
      </c>
      <c r="M254" s="31" t="n">
        <f aca="false">IF(L254=0,100,100-100/(1+K254/MAX(L254,0.000001)))</f>
        <v>44.217520719018</v>
      </c>
      <c r="N254" s="30" t="n">
        <f aca="false">AVERAGE(E235:E254)</f>
        <v>1754.792</v>
      </c>
      <c r="O254" s="30" t="n">
        <f aca="false">AVERAGE(E205:E254)</f>
        <v>1748.6124</v>
      </c>
      <c r="P254" s="30" t="n">
        <f aca="false">AVERAGE(E55:E254)</f>
        <v>1564.11825</v>
      </c>
      <c r="Q254" s="30" t="n">
        <f aca="false">Q253+(2/13)*(E254-Q253)</f>
        <v>1741.2994536708</v>
      </c>
      <c r="R254" s="30" t="n">
        <f aca="false">R253+(2/27)*(E254-R253)</f>
        <v>1746.50546033994</v>
      </c>
      <c r="S254" s="33" t="n">
        <f aca="false">Q254-R254</f>
        <v>-5.20600666914015</v>
      </c>
      <c r="T254" s="33" t="n">
        <f aca="false">T253+(2/10)*(S254-T253)</f>
        <v>-2.42612613708759</v>
      </c>
      <c r="U254" s="33" t="n">
        <f aca="false">S254-T254</f>
        <v>-2.77988053205256</v>
      </c>
      <c r="V254" s="32" t="str">
        <f aca="false">IF(M254="","",IF(M254&lt;Assumptions!$B$5,"BUY",IF(M254&gt;Assumptions!$B$4,"SELL","HOLD")))</f>
        <v>HOLD</v>
      </c>
      <c r="W254" s="32" t="str">
        <f aca="false">IF(O254="","",IF(E254&gt;O254,"BUY","SELL"))</f>
        <v>SELL</v>
      </c>
      <c r="X254" s="32" t="str">
        <f aca="false">IF(T254="","",IF(S254&gt;T254,"BUY","SELL"))</f>
        <v>SELL</v>
      </c>
      <c r="Y254" s="34" t="n">
        <f aca="false">IF(OR(V254="",W254="",X254=""),"",IFERROR(IF(V254="BUY",1,IF(V254="SELL",-1,0))+IF(W254="BUY",1,IF(W254="SELL",-1,0))+IF(X254="BUY",1,IF(X254="SELL",-1,0)),0))</f>
        <v>-2</v>
      </c>
      <c r="Z254" s="32" t="str">
        <f aca="false">IF(Y254="","",IF(Y254&gt;=2,"STRONG BUY",IF(Y254=1,"BUY",IF(Y254=0,"HOLD",IF(Y254=-1,"SELL","STRONG SELL")))))</f>
        <v>STRONG SELL</v>
      </c>
    </row>
  </sheetData>
  <mergeCells count="1">
    <mergeCell ref="A1:Z1"/>
  </mergeCells>
  <conditionalFormatting sqref="V3:V254">
    <cfRule type="cellIs" priority="2" operator="equal" aboveAverage="0" equalAverage="0" bottom="0" percent="0" rank="0" text="" dxfId="5">
      <formula>"BUY"</formula>
    </cfRule>
    <cfRule type="cellIs" priority="3" operator="equal" aboveAverage="0" equalAverage="0" bottom="0" percent="0" rank="0" text="" dxfId="6">
      <formula>"SELL"</formula>
    </cfRule>
    <cfRule type="cellIs" priority="4" operator="equal" aboveAverage="0" equalAverage="0" bottom="0" percent="0" rank="0" text="" dxfId="7">
      <formula>"HOLD"</formula>
    </cfRule>
  </conditionalFormatting>
  <conditionalFormatting sqref="W3:W254">
    <cfRule type="cellIs" priority="5" operator="equal" aboveAverage="0" equalAverage="0" bottom="0" percent="0" rank="0" text="" dxfId="5">
      <formula>"BUY"</formula>
    </cfRule>
    <cfRule type="cellIs" priority="6" operator="equal" aboveAverage="0" equalAverage="0" bottom="0" percent="0" rank="0" text="" dxfId="6">
      <formula>"SELL"</formula>
    </cfRule>
    <cfRule type="cellIs" priority="7" operator="equal" aboveAverage="0" equalAverage="0" bottom="0" percent="0" rank="0" text="" dxfId="7">
      <formula>"HOLD"</formula>
    </cfRule>
  </conditionalFormatting>
  <conditionalFormatting sqref="X3:X254">
    <cfRule type="cellIs" priority="8" operator="equal" aboveAverage="0" equalAverage="0" bottom="0" percent="0" rank="0" text="" dxfId="5">
      <formula>"BUY"</formula>
    </cfRule>
    <cfRule type="cellIs" priority="9" operator="equal" aboveAverage="0" equalAverage="0" bottom="0" percent="0" rank="0" text="" dxfId="6">
      <formula>"SELL"</formula>
    </cfRule>
    <cfRule type="cellIs" priority="10" operator="equal" aboveAverage="0" equalAverage="0" bottom="0" percent="0" rank="0" text="" dxfId="7">
      <formula>"HOLD"</formula>
    </cfRule>
  </conditionalFormatting>
  <conditionalFormatting sqref="Z3:Z254">
    <cfRule type="cellIs" priority="11" operator="equal" aboveAverage="0" equalAverage="0" bottom="0" percent="0" rank="0" text="" dxfId="8">
      <formula>"STRONG BUY"</formula>
    </cfRule>
    <cfRule type="cellIs" priority="12" operator="equal" aboveAverage="0" equalAverage="0" bottom="0" percent="0" rank="0" text="" dxfId="5">
      <formula>"BUY"</formula>
    </cfRule>
    <cfRule type="cellIs" priority="13" operator="equal" aboveAverage="0" equalAverage="0" bottom="0" percent="0" rank="0" text="" dxfId="7">
      <formula>"HOLD"</formula>
    </cfRule>
    <cfRule type="cellIs" priority="14" operator="equal" aboveAverage="0" equalAverage="0" bottom="0" percent="0" rank="0" text="" dxfId="6">
      <formula>"SELL"</formula>
    </cfRule>
    <cfRule type="cellIs" priority="15" operator="equal" aboveAverage="0" equalAverage="0" bottom="0" percent="0" rank="0" text="" dxfId="9">
      <formula>"STRONG SELL"</formula>
    </cfRule>
  </conditionalFormatting>
  <conditionalFormatting sqref="M3:M254">
    <cfRule type="cellIs" priority="16" operator="greaterThan" aboveAverage="0" equalAverage="0" bottom="0" percent="0" rank="0" text="" dxfId="10">
      <formula>70</formula>
    </cfRule>
    <cfRule type="cellIs" priority="17" operator="lessThan" aboveAverage="0" equalAverage="0" bottom="0" percent="0" rank="0" text="" dxfId="11">
      <formula>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40"/>
  </cols>
  <sheetData>
    <row r="1" customFormat="false" ht="36" hidden="false" customHeight="true" outlineLevel="0" collapsed="false">
      <c r="A1" s="1" t="s">
        <v>45</v>
      </c>
      <c r="B1" s="1"/>
      <c r="C1" s="1"/>
    </row>
    <row r="2" customFormat="false" ht="19.5" hidden="false" customHeight="true" outlineLevel="0" collapsed="false">
      <c r="A2" s="3" t="s">
        <v>46</v>
      </c>
      <c r="B2" s="3" t="s">
        <v>47</v>
      </c>
      <c r="C2" s="3" t="s">
        <v>48</v>
      </c>
    </row>
    <row r="3" customFormat="false" ht="18" hidden="false" customHeight="true" outlineLevel="0" collapsed="false">
      <c r="A3" s="35" t="s">
        <v>49</v>
      </c>
      <c r="B3" s="36" t="n">
        <v>14</v>
      </c>
      <c r="C3" s="37" t="s">
        <v>50</v>
      </c>
    </row>
    <row r="4" customFormat="false" ht="18" hidden="false" customHeight="true" outlineLevel="0" collapsed="false">
      <c r="A4" s="35" t="s">
        <v>51</v>
      </c>
      <c r="B4" s="36" t="n">
        <v>70</v>
      </c>
      <c r="C4" s="37" t="s">
        <v>52</v>
      </c>
    </row>
    <row r="5" customFormat="false" ht="18" hidden="false" customHeight="true" outlineLevel="0" collapsed="false">
      <c r="A5" s="35" t="s">
        <v>53</v>
      </c>
      <c r="B5" s="36" t="n">
        <v>30</v>
      </c>
      <c r="C5" s="37" t="s">
        <v>54</v>
      </c>
    </row>
    <row r="6" customFormat="false" ht="18" hidden="false" customHeight="true" outlineLevel="0" collapsed="false">
      <c r="A6" s="35" t="s">
        <v>55</v>
      </c>
      <c r="B6" s="36" t="n">
        <v>20</v>
      </c>
      <c r="C6" s="37" t="s">
        <v>56</v>
      </c>
    </row>
    <row r="7" customFormat="false" ht="18" hidden="false" customHeight="true" outlineLevel="0" collapsed="false">
      <c r="A7" s="35" t="s">
        <v>57</v>
      </c>
      <c r="B7" s="36" t="n">
        <v>50</v>
      </c>
      <c r="C7" s="37" t="s">
        <v>58</v>
      </c>
    </row>
    <row r="8" customFormat="false" ht="18" hidden="false" customHeight="true" outlineLevel="0" collapsed="false">
      <c r="A8" s="35" t="s">
        <v>59</v>
      </c>
      <c r="B8" s="36" t="n">
        <v>200</v>
      </c>
      <c r="C8" s="37" t="s">
        <v>60</v>
      </c>
    </row>
    <row r="9" customFormat="false" ht="18" hidden="false" customHeight="true" outlineLevel="0" collapsed="false">
      <c r="A9" s="35" t="s">
        <v>61</v>
      </c>
      <c r="B9" s="36" t="n">
        <v>12</v>
      </c>
      <c r="C9" s="37" t="s">
        <v>62</v>
      </c>
    </row>
    <row r="10" customFormat="false" ht="18" hidden="false" customHeight="true" outlineLevel="0" collapsed="false">
      <c r="A10" s="35" t="s">
        <v>63</v>
      </c>
      <c r="B10" s="36" t="n">
        <v>26</v>
      </c>
      <c r="C10" s="37" t="s">
        <v>64</v>
      </c>
    </row>
    <row r="11" customFormat="false" ht="18" hidden="false" customHeight="true" outlineLevel="0" collapsed="false">
      <c r="A11" s="35" t="s">
        <v>65</v>
      </c>
      <c r="B11" s="36" t="n">
        <v>9</v>
      </c>
      <c r="C11" s="37" t="s">
        <v>66</v>
      </c>
    </row>
    <row r="12" customFormat="false" ht="9.75" hidden="false" customHeight="true" outlineLevel="0" collapsed="false"/>
    <row r="13" customFormat="false" ht="21.75" hidden="false" customHeight="true" outlineLevel="0" collapsed="false">
      <c r="A13" s="38" t="s">
        <v>67</v>
      </c>
      <c r="B13" s="38"/>
      <c r="C13" s="38"/>
    </row>
    <row r="14" customFormat="false" ht="18" hidden="false" customHeight="true" outlineLevel="0" collapsed="false">
      <c r="A14" s="39" t="s">
        <v>68</v>
      </c>
      <c r="B14" s="40" t="s">
        <v>69</v>
      </c>
      <c r="C14" s="35" t="s">
        <v>70</v>
      </c>
    </row>
    <row r="15" customFormat="false" ht="18" hidden="false" customHeight="true" outlineLevel="0" collapsed="false">
      <c r="A15" s="41" t="s">
        <v>71</v>
      </c>
      <c r="B15" s="42" t="s">
        <v>69</v>
      </c>
      <c r="C15" s="35" t="s">
        <v>72</v>
      </c>
    </row>
    <row r="16" customFormat="false" ht="18" hidden="false" customHeight="true" outlineLevel="0" collapsed="false">
      <c r="A16" s="43" t="s">
        <v>73</v>
      </c>
      <c r="B16" s="44" t="s">
        <v>69</v>
      </c>
      <c r="C16" s="35" t="s">
        <v>74</v>
      </c>
    </row>
    <row r="17" customFormat="false" ht="18" hidden="false" customHeight="true" outlineLevel="0" collapsed="false">
      <c r="A17" s="45" t="s">
        <v>75</v>
      </c>
      <c r="B17" s="46" t="s">
        <v>69</v>
      </c>
      <c r="C17" s="35" t="s">
        <v>76</v>
      </c>
    </row>
    <row r="18" customFormat="false" ht="18" hidden="false" customHeight="true" outlineLevel="0" collapsed="false">
      <c r="A18" s="47" t="s">
        <v>77</v>
      </c>
      <c r="B18" s="48" t="s">
        <v>69</v>
      </c>
      <c r="C18" s="35" t="s">
        <v>78</v>
      </c>
    </row>
    <row r="19" customFormat="false" ht="18" hidden="false" customHeight="true" outlineLevel="0" collapsed="false">
      <c r="A19" s="49" t="s">
        <v>79</v>
      </c>
      <c r="B19" s="50" t="s">
        <v>69</v>
      </c>
      <c r="C19" s="35" t="s">
        <v>80</v>
      </c>
    </row>
    <row r="20" customFormat="false" ht="18" hidden="false" customHeight="true" outlineLevel="0" collapsed="false">
      <c r="A20" s="51" t="s">
        <v>81</v>
      </c>
      <c r="B20" s="52" t="s">
        <v>69</v>
      </c>
      <c r="C20" s="35" t="s">
        <v>82</v>
      </c>
    </row>
    <row r="21" customFormat="false" ht="18" hidden="false" customHeight="true" outlineLevel="0" collapsed="false">
      <c r="A21" s="53" t="s">
        <v>83</v>
      </c>
      <c r="B21" s="54" t="s">
        <v>69</v>
      </c>
      <c r="C21" s="35" t="s">
        <v>84</v>
      </c>
    </row>
    <row r="22" customFormat="false" ht="18" hidden="false" customHeight="true" outlineLevel="0" collapsed="false">
      <c r="A22" s="55" t="s">
        <v>85</v>
      </c>
      <c r="B22" s="56" t="s">
        <v>69</v>
      </c>
      <c r="C22" s="35" t="s">
        <v>86</v>
      </c>
    </row>
    <row r="24" customFormat="false" ht="30" hidden="false" customHeight="true" outlineLevel="0" collapsed="false">
      <c r="A24" s="57" t="s">
        <v>87</v>
      </c>
      <c r="B24" s="57"/>
      <c r="C24" s="57"/>
    </row>
    <row r="25" customFormat="false" ht="30" hidden="false" customHeight="true" outlineLevel="0" collapsed="false">
      <c r="A25" s="57"/>
      <c r="B25" s="57"/>
      <c r="C25" s="57"/>
    </row>
  </sheetData>
  <mergeCells count="3">
    <mergeCell ref="A1:C1"/>
    <mergeCell ref="A13:C13"/>
    <mergeCell ref="A24: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4" min="2" style="0" width="10"/>
    <col collapsed="false" customWidth="true" hidden="false" outlineLevel="0" max="5" min="5" style="0" width="12"/>
    <col collapsed="false" customWidth="true" hidden="false" outlineLevel="0" max="6" min="6" style="0" width="14"/>
    <col collapsed="false" customWidth="true" hidden="false" outlineLevel="0" max="8" min="7" style="0" width="10"/>
    <col collapsed="false" customWidth="true" hidden="true" outlineLevel="0" max="10" min="9" style="0" width="8"/>
    <col collapsed="false" customWidth="true" hidden="true" outlineLevel="0" max="12" min="11" style="0" width="10"/>
    <col collapsed="false" customWidth="true" hidden="false" outlineLevel="0" max="18" min="13" style="0" width="10"/>
    <col collapsed="false" customWidth="true" hidden="false" outlineLevel="0" max="23" min="19" style="0" width="11"/>
    <col collapsed="false" customWidth="true" hidden="false" outlineLevel="0" max="24" min="24" style="0" width="12"/>
    <col collapsed="false" customWidth="true" hidden="false" outlineLevel="0" max="25" min="25" style="0" width="8"/>
    <col collapsed="false" customWidth="true" hidden="false" outlineLevel="0" max="26" min="26" style="0" width="13"/>
  </cols>
  <sheetData>
    <row r="1" customFormat="false" ht="30" hidden="false" customHeight="true" outlineLevel="0" collapsed="false">
      <c r="A1" s="17" t="s">
        <v>88</v>
      </c>
      <c r="B1" s="17"/>
      <c r="C1" s="17"/>
      <c r="D1" s="17"/>
      <c r="E1" s="17"/>
      <c r="F1" s="17"/>
      <c r="G1" s="17"/>
      <c r="H1" s="17"/>
      <c r="I1" s="17"/>
      <c r="J1" s="17"/>
      <c r="K1" s="17"/>
      <c r="L1" s="17"/>
      <c r="M1" s="17"/>
      <c r="N1" s="17"/>
      <c r="O1" s="17"/>
      <c r="P1" s="17"/>
      <c r="Q1" s="17"/>
      <c r="R1" s="17"/>
      <c r="S1" s="17"/>
      <c r="T1" s="17"/>
      <c r="U1" s="17"/>
      <c r="V1" s="17"/>
      <c r="W1" s="17"/>
      <c r="X1" s="17"/>
      <c r="Y1" s="17"/>
      <c r="Z1" s="17"/>
    </row>
    <row r="2" customFormat="false" ht="36" hidden="false" customHeight="true" outlineLevel="0" collapsed="false">
      <c r="A2" s="18" t="s">
        <v>27</v>
      </c>
      <c r="B2" s="18" t="s">
        <v>28</v>
      </c>
      <c r="C2" s="18" t="s">
        <v>29</v>
      </c>
      <c r="D2" s="18" t="s">
        <v>30</v>
      </c>
      <c r="E2" s="18" t="s">
        <v>89</v>
      </c>
      <c r="F2" s="18" t="s">
        <v>32</v>
      </c>
      <c r="G2" s="19" t="s">
        <v>33</v>
      </c>
      <c r="H2" s="19" t="s">
        <v>34</v>
      </c>
      <c r="I2" s="20" t="s">
        <v>35</v>
      </c>
      <c r="J2" s="20" t="s">
        <v>36</v>
      </c>
      <c r="K2" s="20" t="s">
        <v>37</v>
      </c>
      <c r="L2" s="20" t="s">
        <v>38</v>
      </c>
      <c r="M2" s="21" t="s">
        <v>5</v>
      </c>
      <c r="N2" s="21" t="s">
        <v>6</v>
      </c>
      <c r="O2" s="21" t="s">
        <v>7</v>
      </c>
      <c r="P2" s="21" t="s">
        <v>8</v>
      </c>
      <c r="Q2" s="21" t="s">
        <v>39</v>
      </c>
      <c r="R2" s="21" t="s">
        <v>40</v>
      </c>
      <c r="S2" s="21" t="s">
        <v>41</v>
      </c>
      <c r="T2" s="21" t="s">
        <v>42</v>
      </c>
      <c r="U2" s="21" t="s">
        <v>43</v>
      </c>
      <c r="V2" s="22" t="s">
        <v>9</v>
      </c>
      <c r="W2" s="22" t="s">
        <v>10</v>
      </c>
      <c r="X2" s="22" t="s">
        <v>11</v>
      </c>
      <c r="Y2" s="22" t="s">
        <v>12</v>
      </c>
      <c r="Z2" s="23" t="s">
        <v>44</v>
      </c>
    </row>
    <row r="3" customFormat="false" ht="15" hidden="false" customHeight="false" outlineLevel="0" collapsed="false">
      <c r="A3" s="24" t="n">
        <v>45771</v>
      </c>
      <c r="B3" s="25" t="n">
        <v>37.61</v>
      </c>
      <c r="C3" s="25" t="n">
        <v>37.61</v>
      </c>
      <c r="D3" s="25" t="n">
        <v>37.39</v>
      </c>
      <c r="E3" s="25" t="n">
        <v>37.5</v>
      </c>
      <c r="F3" s="26" t="n">
        <v>53648967</v>
      </c>
    </row>
    <row r="4" customFormat="false" ht="15" hidden="false" customHeight="false" outlineLevel="0" collapsed="false">
      <c r="A4" s="24" t="n">
        <v>45772</v>
      </c>
      <c r="B4" s="25" t="n">
        <v>37.82</v>
      </c>
      <c r="C4" s="25" t="n">
        <v>37.82</v>
      </c>
      <c r="D4" s="25" t="n">
        <v>37.68</v>
      </c>
      <c r="E4" s="25" t="n">
        <v>37.75</v>
      </c>
      <c r="F4" s="26" t="n">
        <v>72694061</v>
      </c>
      <c r="G4" s="27" t="n">
        <f aca="false">E4-E3</f>
        <v>0.25</v>
      </c>
      <c r="H4" s="28" t="n">
        <f aca="false">G4/E3</f>
        <v>0.00666666666666667</v>
      </c>
      <c r="I4" s="29" t="n">
        <f aca="false">MAX(G4,0)</f>
        <v>0.25</v>
      </c>
      <c r="J4" s="29" t="n">
        <f aca="false">MAX(-G4,0)</f>
        <v>0</v>
      </c>
    </row>
    <row r="5" customFormat="false" ht="15" hidden="false" customHeight="false" outlineLevel="0" collapsed="false">
      <c r="A5" s="24" t="n">
        <v>45775</v>
      </c>
      <c r="B5" s="25" t="n">
        <v>38.29</v>
      </c>
      <c r="C5" s="25" t="n">
        <v>38.29</v>
      </c>
      <c r="D5" s="25" t="n">
        <v>37.89</v>
      </c>
      <c r="E5" s="25" t="n">
        <v>38.09</v>
      </c>
      <c r="F5" s="26" t="n">
        <v>39233227</v>
      </c>
      <c r="G5" s="27" t="n">
        <f aca="false">E5-E4</f>
        <v>0.340000000000003</v>
      </c>
      <c r="H5" s="28" t="n">
        <f aca="false">G5/E4</f>
        <v>0.00900662251655638</v>
      </c>
      <c r="I5" s="29" t="n">
        <f aca="false">MAX(G5,0)</f>
        <v>0.340000000000003</v>
      </c>
      <c r="J5" s="29" t="n">
        <f aca="false">MAX(-G5,0)</f>
        <v>0</v>
      </c>
    </row>
    <row r="6" customFormat="false" ht="15" hidden="false" customHeight="false" outlineLevel="0" collapsed="false">
      <c r="A6" s="24" t="n">
        <v>45776</v>
      </c>
      <c r="B6" s="25" t="n">
        <v>37.62</v>
      </c>
      <c r="C6" s="25" t="n">
        <v>37.62</v>
      </c>
      <c r="D6" s="25" t="n">
        <v>37.62</v>
      </c>
      <c r="E6" s="25" t="n">
        <v>37.62</v>
      </c>
      <c r="F6" s="26" t="n">
        <v>68778204</v>
      </c>
      <c r="G6" s="27" t="n">
        <f aca="false">E6-E5</f>
        <v>-0.470000000000006</v>
      </c>
      <c r="H6" s="28" t="n">
        <f aca="false">G6/E5</f>
        <v>-0.0123391966395381</v>
      </c>
      <c r="I6" s="29" t="n">
        <f aca="false">MAX(G6,0)</f>
        <v>0</v>
      </c>
      <c r="J6" s="29" t="n">
        <f aca="false">MAX(-G6,0)</f>
        <v>0.470000000000006</v>
      </c>
    </row>
    <row r="7" customFormat="false" ht="15" hidden="false" customHeight="false" outlineLevel="0" collapsed="false">
      <c r="A7" s="24" t="n">
        <v>45777</v>
      </c>
      <c r="B7" s="25" t="n">
        <v>37.3</v>
      </c>
      <c r="C7" s="25" t="n">
        <v>37.48</v>
      </c>
      <c r="D7" s="25" t="n">
        <v>36.98</v>
      </c>
      <c r="E7" s="25" t="n">
        <v>37.23</v>
      </c>
      <c r="F7" s="26" t="n">
        <v>59170260</v>
      </c>
      <c r="G7" s="27" t="n">
        <f aca="false">E7-E6</f>
        <v>-0.390000000000001</v>
      </c>
      <c r="H7" s="28" t="n">
        <f aca="false">G7/E6</f>
        <v>-0.0103668261562999</v>
      </c>
      <c r="I7" s="29" t="n">
        <f aca="false">MAX(G7,0)</f>
        <v>0</v>
      </c>
      <c r="J7" s="29" t="n">
        <f aca="false">MAX(-G7,0)</f>
        <v>0.390000000000001</v>
      </c>
    </row>
    <row r="8" customFormat="false" ht="15" hidden="false" customHeight="false" outlineLevel="0" collapsed="false">
      <c r="A8" s="24" t="n">
        <v>45778</v>
      </c>
      <c r="B8" s="25" t="n">
        <v>36.57</v>
      </c>
      <c r="C8" s="25" t="n">
        <v>36.78</v>
      </c>
      <c r="D8" s="25" t="n">
        <v>36.42</v>
      </c>
      <c r="E8" s="25" t="n">
        <v>36.6</v>
      </c>
      <c r="F8" s="26" t="n">
        <v>67559714</v>
      </c>
      <c r="G8" s="27" t="n">
        <f aca="false">E8-E7</f>
        <v>-0.629999999999996</v>
      </c>
      <c r="H8" s="28" t="n">
        <f aca="false">G8/E7</f>
        <v>-0.0169218372280418</v>
      </c>
      <c r="I8" s="29" t="n">
        <f aca="false">MAX(G8,0)</f>
        <v>0</v>
      </c>
      <c r="J8" s="29" t="n">
        <f aca="false">MAX(-G8,0)</f>
        <v>0.629999999999996</v>
      </c>
    </row>
    <row r="9" customFormat="false" ht="15" hidden="false" customHeight="false" outlineLevel="0" collapsed="false">
      <c r="A9" s="24" t="n">
        <v>45779</v>
      </c>
      <c r="B9" s="25" t="n">
        <v>36.68</v>
      </c>
      <c r="C9" s="25" t="n">
        <v>36.68</v>
      </c>
      <c r="D9" s="25" t="n">
        <v>36.36</v>
      </c>
      <c r="E9" s="25" t="n">
        <v>36.52</v>
      </c>
      <c r="F9" s="26" t="n">
        <v>56164202</v>
      </c>
      <c r="G9" s="27" t="n">
        <f aca="false">E9-E8</f>
        <v>-0.0799999999999983</v>
      </c>
      <c r="H9" s="28" t="n">
        <f aca="false">G9/E8</f>
        <v>-0.00218579234972673</v>
      </c>
      <c r="I9" s="29" t="n">
        <f aca="false">MAX(G9,0)</f>
        <v>0</v>
      </c>
      <c r="J9" s="29" t="n">
        <f aca="false">MAX(-G9,0)</f>
        <v>0.0799999999999983</v>
      </c>
    </row>
    <row r="10" customFormat="false" ht="15" hidden="false" customHeight="false" outlineLevel="0" collapsed="false">
      <c r="A10" s="24" t="n">
        <v>45782</v>
      </c>
      <c r="B10" s="25" t="n">
        <v>36.52</v>
      </c>
      <c r="C10" s="25" t="n">
        <v>36.77</v>
      </c>
      <c r="D10" s="25" t="n">
        <v>36.15</v>
      </c>
      <c r="E10" s="25" t="n">
        <v>36.46</v>
      </c>
      <c r="F10" s="26" t="n">
        <v>53137830</v>
      </c>
      <c r="G10" s="27" t="n">
        <f aca="false">E10-E9</f>
        <v>-0.0600000000000023</v>
      </c>
      <c r="H10" s="28" t="n">
        <f aca="false">G10/E9</f>
        <v>-0.0016429353778752</v>
      </c>
      <c r="I10" s="29" t="n">
        <f aca="false">MAX(G10,0)</f>
        <v>0</v>
      </c>
      <c r="J10" s="29" t="n">
        <f aca="false">MAX(-G10,0)</f>
        <v>0.0600000000000023</v>
      </c>
    </row>
    <row r="11" customFormat="false" ht="15" hidden="false" customHeight="false" outlineLevel="0" collapsed="false">
      <c r="A11" s="24" t="n">
        <v>45783</v>
      </c>
      <c r="B11" s="25" t="n">
        <v>36.47</v>
      </c>
      <c r="C11" s="25" t="n">
        <v>36.63</v>
      </c>
      <c r="D11" s="25" t="n">
        <v>36.47</v>
      </c>
      <c r="E11" s="25" t="n">
        <v>36.55</v>
      </c>
      <c r="F11" s="26" t="n">
        <v>45796623</v>
      </c>
      <c r="G11" s="27" t="n">
        <f aca="false">E11-E10</f>
        <v>0.0899999999999963</v>
      </c>
      <c r="H11" s="28" t="n">
        <f aca="false">G11/E10</f>
        <v>0.00246845858475031</v>
      </c>
      <c r="I11" s="29" t="n">
        <f aca="false">MAX(G11,0)</f>
        <v>0.0899999999999963</v>
      </c>
      <c r="J11" s="29" t="n">
        <f aca="false">MAX(-G11,0)</f>
        <v>0</v>
      </c>
    </row>
    <row r="12" customFormat="false" ht="15" hidden="false" customHeight="false" outlineLevel="0" collapsed="false">
      <c r="A12" s="24" t="n">
        <v>45784</v>
      </c>
      <c r="B12" s="25" t="n">
        <v>36.43</v>
      </c>
      <c r="C12" s="25" t="n">
        <v>36.49</v>
      </c>
      <c r="D12" s="25" t="n">
        <v>35.87</v>
      </c>
      <c r="E12" s="25" t="n">
        <v>36.18</v>
      </c>
      <c r="F12" s="26" t="n">
        <v>30255120</v>
      </c>
      <c r="G12" s="27" t="n">
        <f aca="false">E12-E11</f>
        <v>-0.369999999999997</v>
      </c>
      <c r="H12" s="28" t="n">
        <f aca="false">G12/E11</f>
        <v>-0.0101231190150478</v>
      </c>
      <c r="I12" s="29" t="n">
        <f aca="false">MAX(G12,0)</f>
        <v>0</v>
      </c>
      <c r="J12" s="29" t="n">
        <f aca="false">MAX(-G12,0)</f>
        <v>0.369999999999997</v>
      </c>
    </row>
    <row r="13" customFormat="false" ht="15" hidden="false" customHeight="false" outlineLevel="0" collapsed="false">
      <c r="A13" s="24" t="n">
        <v>45785</v>
      </c>
      <c r="B13" s="25" t="n">
        <v>36.8</v>
      </c>
      <c r="C13" s="25" t="n">
        <v>36.8</v>
      </c>
      <c r="D13" s="25" t="n">
        <v>36.5</v>
      </c>
      <c r="E13" s="25" t="n">
        <v>36.65</v>
      </c>
      <c r="F13" s="26" t="n">
        <v>60238039</v>
      </c>
      <c r="G13" s="27" t="n">
        <f aca="false">E13-E12</f>
        <v>0.469999999999999</v>
      </c>
      <c r="H13" s="28" t="n">
        <f aca="false">G13/E12</f>
        <v>0.0129906025428413</v>
      </c>
      <c r="I13" s="29" t="n">
        <f aca="false">MAX(G13,0)</f>
        <v>0.469999999999999</v>
      </c>
      <c r="J13" s="29" t="n">
        <f aca="false">MAX(-G13,0)</f>
        <v>0</v>
      </c>
    </row>
    <row r="14" customFormat="false" ht="15" hidden="false" customHeight="false" outlineLevel="0" collapsed="false">
      <c r="A14" s="24" t="n">
        <v>45786</v>
      </c>
      <c r="B14" s="25" t="n">
        <v>37.29</v>
      </c>
      <c r="C14" s="25" t="n">
        <v>37.29</v>
      </c>
      <c r="D14" s="25" t="n">
        <v>36.97</v>
      </c>
      <c r="E14" s="25" t="n">
        <v>37.13</v>
      </c>
      <c r="F14" s="26" t="n">
        <v>44537502</v>
      </c>
      <c r="G14" s="27" t="n">
        <f aca="false">E14-E13</f>
        <v>0.480000000000004</v>
      </c>
      <c r="H14" s="28" t="n">
        <f aca="false">G14/E13</f>
        <v>0.0130968622100956</v>
      </c>
      <c r="I14" s="29" t="n">
        <f aca="false">MAX(G14,0)</f>
        <v>0.480000000000004</v>
      </c>
      <c r="J14" s="29" t="n">
        <f aca="false">MAX(-G14,0)</f>
        <v>0</v>
      </c>
      <c r="Q14" s="30" t="n">
        <f aca="false">AVERAGE(E3:E14)</f>
        <v>37.0233333333333</v>
      </c>
    </row>
    <row r="15" customFormat="false" ht="15" hidden="false" customHeight="false" outlineLevel="0" collapsed="false">
      <c r="A15" s="24" t="n">
        <v>45789</v>
      </c>
      <c r="B15" s="25" t="n">
        <v>38.08</v>
      </c>
      <c r="C15" s="25" t="n">
        <v>38.19</v>
      </c>
      <c r="D15" s="25" t="n">
        <v>37.71</v>
      </c>
      <c r="E15" s="25" t="n">
        <v>37.95</v>
      </c>
      <c r="F15" s="26" t="n">
        <v>63934870</v>
      </c>
      <c r="G15" s="27" t="n">
        <f aca="false">E15-E14</f>
        <v>0.82</v>
      </c>
      <c r="H15" s="28" t="n">
        <f aca="false">G15/E14</f>
        <v>0.0220845677349852</v>
      </c>
      <c r="I15" s="29" t="n">
        <f aca="false">MAX(G15,0)</f>
        <v>0.82</v>
      </c>
      <c r="J15" s="29" t="n">
        <f aca="false">MAX(-G15,0)</f>
        <v>0</v>
      </c>
      <c r="Q15" s="30" t="n">
        <f aca="false">Q14+(2/13)*(E15-Q14)</f>
        <v>37.1658974358974</v>
      </c>
    </row>
    <row r="16" customFormat="false" ht="15" hidden="false" customHeight="false" outlineLevel="0" collapsed="false">
      <c r="A16" s="24" t="n">
        <v>45790</v>
      </c>
      <c r="B16" s="25" t="n">
        <v>38.25</v>
      </c>
      <c r="C16" s="25" t="n">
        <v>38.41</v>
      </c>
      <c r="D16" s="25" t="n">
        <v>38.25</v>
      </c>
      <c r="E16" s="25" t="n">
        <v>38.33</v>
      </c>
      <c r="F16" s="26" t="n">
        <v>71685134</v>
      </c>
      <c r="G16" s="27" t="n">
        <f aca="false">E16-E15</f>
        <v>0.379999999999995</v>
      </c>
      <c r="H16" s="28" t="n">
        <f aca="false">G16/E15</f>
        <v>0.0100131752305664</v>
      </c>
      <c r="I16" s="29" t="n">
        <f aca="false">MAX(G16,0)</f>
        <v>0.379999999999995</v>
      </c>
      <c r="J16" s="29" t="n">
        <f aca="false">MAX(-G16,0)</f>
        <v>0</v>
      </c>
      <c r="Q16" s="30" t="n">
        <f aca="false">Q15+(2/13)*(E16-Q15)</f>
        <v>37.3449901380671</v>
      </c>
    </row>
    <row r="17" customFormat="false" ht="15" hidden="false" customHeight="false" outlineLevel="0" collapsed="false">
      <c r="A17" s="24" t="n">
        <v>45791</v>
      </c>
      <c r="B17" s="25" t="n">
        <v>38.3</v>
      </c>
      <c r="C17" s="25" t="n">
        <v>38.56</v>
      </c>
      <c r="D17" s="25" t="n">
        <v>38.3</v>
      </c>
      <c r="E17" s="25" t="n">
        <v>38.43</v>
      </c>
      <c r="F17" s="26" t="n">
        <v>63649191</v>
      </c>
      <c r="G17" s="27" t="n">
        <f aca="false">E17-E16</f>
        <v>0.100000000000001</v>
      </c>
      <c r="H17" s="28" t="n">
        <f aca="false">G17/E16</f>
        <v>0.00260892251500134</v>
      </c>
      <c r="I17" s="29" t="n">
        <f aca="false">MAX(G17,0)</f>
        <v>0.100000000000001</v>
      </c>
      <c r="J17" s="29" t="n">
        <f aca="false">MAX(-G17,0)</f>
        <v>0</v>
      </c>
      <c r="K17" s="29" t="n">
        <f aca="false">AVERAGE(I4:I17)</f>
        <v>0.209285714285714</v>
      </c>
      <c r="L17" s="29" t="n">
        <f aca="false">AVERAGE(J4:J17)</f>
        <v>0.142857142857143</v>
      </c>
      <c r="M17" s="31" t="n">
        <f aca="false">IF(L17=0,100,100-100/(1+K17/MAX(L17,0.000001)))</f>
        <v>59.4320486815416</v>
      </c>
      <c r="Q17" s="30" t="n">
        <f aca="false">Q16+(2/13)*(E17-Q16)</f>
        <v>37.5119147322106</v>
      </c>
      <c r="V17" s="32" t="str">
        <f aca="false">IF(M17="","",IF(M17&lt;Assumptions!$B$5,"BUY",IF(M17&gt;Assumptions!$B$4,"SELL","HOLD")))</f>
        <v>HOLD</v>
      </c>
    </row>
    <row r="18" customFormat="false" ht="15" hidden="false" customHeight="false" outlineLevel="0" collapsed="false">
      <c r="A18" s="24" t="n">
        <v>45792</v>
      </c>
      <c r="B18" s="25" t="n">
        <v>38.73</v>
      </c>
      <c r="C18" s="25" t="n">
        <v>39.14</v>
      </c>
      <c r="D18" s="25" t="n">
        <v>38.46</v>
      </c>
      <c r="E18" s="25" t="n">
        <v>38.8</v>
      </c>
      <c r="F18" s="26" t="n">
        <v>30342084</v>
      </c>
      <c r="G18" s="27" t="n">
        <f aca="false">E18-E17</f>
        <v>0.369999999999997</v>
      </c>
      <c r="H18" s="28" t="n">
        <f aca="false">G18/E17</f>
        <v>0.00962789487379645</v>
      </c>
      <c r="I18" s="29" t="n">
        <f aca="false">MAX(G18,0)</f>
        <v>0.369999999999997</v>
      </c>
      <c r="J18" s="29" t="n">
        <f aca="false">MAX(-G18,0)</f>
        <v>0</v>
      </c>
      <c r="K18" s="29" t="n">
        <f aca="false">(K17*13+I18)/14</f>
        <v>0.220765306122449</v>
      </c>
      <c r="L18" s="29" t="n">
        <f aca="false">(L17*13+J18)/14</f>
        <v>0.13265306122449</v>
      </c>
      <c r="M18" s="31" t="n">
        <f aca="false">IF(L18=0,100,100-100/(1+K18/MAX(L18,0.000001)))</f>
        <v>62.4657138732496</v>
      </c>
      <c r="Q18" s="30" t="n">
        <f aca="false">Q17+(2/13)*(E18-Q17)</f>
        <v>37.7100816964859</v>
      </c>
      <c r="V18" s="32" t="str">
        <f aca="false">IF(M18="","",IF(M18&lt;Assumptions!$B$5,"BUY",IF(M18&gt;Assumptions!$B$4,"SELL","HOLD")))</f>
        <v>HOLD</v>
      </c>
    </row>
    <row r="19" customFormat="false" ht="15" hidden="false" customHeight="false" outlineLevel="0" collapsed="false">
      <c r="A19" s="24" t="n">
        <v>45793</v>
      </c>
      <c r="B19" s="25" t="n">
        <v>39.01</v>
      </c>
      <c r="C19" s="25" t="n">
        <v>39.29</v>
      </c>
      <c r="D19" s="25" t="n">
        <v>38.99</v>
      </c>
      <c r="E19" s="25" t="n">
        <v>39.14</v>
      </c>
      <c r="F19" s="26" t="n">
        <v>39267060</v>
      </c>
      <c r="G19" s="27" t="n">
        <f aca="false">E19-E18</f>
        <v>0.340000000000003</v>
      </c>
      <c r="H19" s="28" t="n">
        <f aca="false">G19/E18</f>
        <v>0.00876288659793823</v>
      </c>
      <c r="I19" s="29" t="n">
        <f aca="false">MAX(G19,0)</f>
        <v>0.340000000000003</v>
      </c>
      <c r="J19" s="29" t="n">
        <f aca="false">MAX(-G19,0)</f>
        <v>0</v>
      </c>
      <c r="K19" s="29" t="n">
        <f aca="false">(K18*13+I19)/14</f>
        <v>0.229282069970846</v>
      </c>
      <c r="L19" s="29" t="n">
        <f aca="false">(L18*13+J19)/14</f>
        <v>0.123177842565598</v>
      </c>
      <c r="M19" s="31" t="n">
        <f aca="false">IF(L19=0,100,100-100/(1+K19/MAX(L19,0.000001)))</f>
        <v>65.0519567802306</v>
      </c>
      <c r="Q19" s="30" t="n">
        <f aca="false">Q18+(2/13)*(E19-Q18)</f>
        <v>37.9300691277958</v>
      </c>
      <c r="V19" s="32" t="str">
        <f aca="false">IF(M19="","",IF(M19&lt;Assumptions!$B$5,"BUY",IF(M19&gt;Assumptions!$B$4,"SELL","HOLD")))</f>
        <v>HOLD</v>
      </c>
    </row>
    <row r="20" customFormat="false" ht="15" hidden="false" customHeight="false" outlineLevel="0" collapsed="false">
      <c r="A20" s="24" t="n">
        <v>45796</v>
      </c>
      <c r="B20" s="25" t="n">
        <v>38.84</v>
      </c>
      <c r="C20" s="25" t="n">
        <v>38.96</v>
      </c>
      <c r="D20" s="25" t="n">
        <v>38.62</v>
      </c>
      <c r="E20" s="25" t="n">
        <v>38.79</v>
      </c>
      <c r="F20" s="26" t="n">
        <v>61002803</v>
      </c>
      <c r="G20" s="27" t="n">
        <f aca="false">E20-E19</f>
        <v>-0.350000000000001</v>
      </c>
      <c r="H20" s="28" t="n">
        <f aca="false">G20/E19</f>
        <v>-0.00894225855901894</v>
      </c>
      <c r="I20" s="29" t="n">
        <f aca="false">MAX(G20,0)</f>
        <v>0</v>
      </c>
      <c r="J20" s="29" t="n">
        <f aca="false">MAX(-G20,0)</f>
        <v>0.350000000000001</v>
      </c>
      <c r="K20" s="29" t="n">
        <f aca="false">(K19*13+I20)/14</f>
        <v>0.212904779258642</v>
      </c>
      <c r="L20" s="29" t="n">
        <f aca="false">(L19*13+J20)/14</f>
        <v>0.139379425239484</v>
      </c>
      <c r="M20" s="31" t="n">
        <f aca="false">IF(L20=0,100,100-100/(1+K20/MAX(L20,0.000001)))</f>
        <v>60.4355167050287</v>
      </c>
      <c r="Q20" s="30" t="n">
        <f aca="false">Q19+(2/13)*(E20-Q19)</f>
        <v>38.0623661850579</v>
      </c>
      <c r="V20" s="32" t="str">
        <f aca="false">IF(M20="","",IF(M20&lt;Assumptions!$B$5,"BUY",IF(M20&gt;Assumptions!$B$4,"SELL","HOLD")))</f>
        <v>HOLD</v>
      </c>
    </row>
    <row r="21" customFormat="false" ht="15" hidden="false" customHeight="false" outlineLevel="0" collapsed="false">
      <c r="A21" s="24" t="n">
        <v>45797</v>
      </c>
      <c r="B21" s="25" t="n">
        <v>39.44</v>
      </c>
      <c r="C21" s="25" t="n">
        <v>39.76</v>
      </c>
      <c r="D21" s="25" t="n">
        <v>39.24</v>
      </c>
      <c r="E21" s="25" t="n">
        <v>39.5</v>
      </c>
      <c r="F21" s="26" t="n">
        <v>51398156</v>
      </c>
      <c r="G21" s="27" t="n">
        <f aca="false">E21-E20</f>
        <v>0.710000000000001</v>
      </c>
      <c r="H21" s="28" t="n">
        <f aca="false">G21/E20</f>
        <v>0.0183036865171436</v>
      </c>
      <c r="I21" s="29" t="n">
        <f aca="false">MAX(G21,0)</f>
        <v>0.710000000000001</v>
      </c>
      <c r="J21" s="29" t="n">
        <f aca="false">MAX(-G21,0)</f>
        <v>0</v>
      </c>
      <c r="K21" s="29" t="n">
        <f aca="false">(K20*13+I21)/14</f>
        <v>0.248411580740168</v>
      </c>
      <c r="L21" s="29" t="n">
        <f aca="false">(L20*13+J21)/14</f>
        <v>0.129423752008092</v>
      </c>
      <c r="M21" s="31" t="n">
        <f aca="false">IF(L21=0,100,100-100/(1+K21/MAX(L21,0.000001)))</f>
        <v>65.745990173364</v>
      </c>
      <c r="Q21" s="30" t="n">
        <f aca="false">Q20+(2/13)*(E21-Q20)</f>
        <v>38.283540618126</v>
      </c>
      <c r="V21" s="32" t="str">
        <f aca="false">IF(M21="","",IF(M21&lt;Assumptions!$B$5,"BUY",IF(M21&gt;Assumptions!$B$4,"SELL","HOLD")))</f>
        <v>HOLD</v>
      </c>
    </row>
    <row r="22" customFormat="false" ht="15" hidden="false" customHeight="false" outlineLevel="0" collapsed="false">
      <c r="A22" s="24" t="n">
        <v>45798</v>
      </c>
      <c r="B22" s="25" t="n">
        <v>40.6</v>
      </c>
      <c r="C22" s="25" t="n">
        <v>40.6</v>
      </c>
      <c r="D22" s="25" t="n">
        <v>40.34</v>
      </c>
      <c r="E22" s="25" t="n">
        <v>40.47</v>
      </c>
      <c r="F22" s="26" t="n">
        <v>65733869</v>
      </c>
      <c r="G22" s="27" t="n">
        <f aca="false">E22-E21</f>
        <v>0.969999999999999</v>
      </c>
      <c r="H22" s="28" t="n">
        <f aca="false">G22/E21</f>
        <v>0.0245569620253164</v>
      </c>
      <c r="I22" s="29" t="n">
        <f aca="false">MAX(G22,0)</f>
        <v>0.969999999999999</v>
      </c>
      <c r="J22" s="29" t="n">
        <f aca="false">MAX(-G22,0)</f>
        <v>0</v>
      </c>
      <c r="K22" s="29" t="n">
        <f aca="false">(K21*13+I22)/14</f>
        <v>0.299953610687299</v>
      </c>
      <c r="L22" s="29" t="n">
        <f aca="false">(L21*13+J22)/14</f>
        <v>0.120179198293228</v>
      </c>
      <c r="M22" s="31" t="n">
        <f aca="false">IF(L22=0,100,100-100/(1+K22/MAX(L22,0.000001)))</f>
        <v>71.3949504241649</v>
      </c>
      <c r="N22" s="30" t="n">
        <f aca="false">AVERAGE(E3:E22)</f>
        <v>37.7845</v>
      </c>
      <c r="Q22" s="30" t="n">
        <f aca="false">Q21+(2/13)*(E22-Q21)</f>
        <v>38.6199189845681</v>
      </c>
      <c r="V22" s="32" t="str">
        <f aca="false">IF(M22="","",IF(M22&lt;Assumptions!$B$5,"BUY",IF(M22&gt;Assumptions!$B$4,"SELL","HOLD")))</f>
        <v>SELL</v>
      </c>
    </row>
    <row r="23" customFormat="false" ht="15" hidden="false" customHeight="false" outlineLevel="0" collapsed="false">
      <c r="A23" s="24" t="n">
        <v>45799</v>
      </c>
      <c r="B23" s="25" t="n">
        <v>41.78</v>
      </c>
      <c r="C23" s="25" t="n">
        <v>41.95</v>
      </c>
      <c r="D23" s="25" t="n">
        <v>41.27</v>
      </c>
      <c r="E23" s="25" t="n">
        <v>41.61</v>
      </c>
      <c r="F23" s="26" t="n">
        <v>68502144</v>
      </c>
      <c r="G23" s="27" t="n">
        <f aca="false">E23-E22</f>
        <v>1.14</v>
      </c>
      <c r="H23" s="28" t="n">
        <f aca="false">G23/E22</f>
        <v>0.0281690140845071</v>
      </c>
      <c r="I23" s="29" t="n">
        <f aca="false">MAX(G23,0)</f>
        <v>1.14</v>
      </c>
      <c r="J23" s="29" t="n">
        <f aca="false">MAX(-G23,0)</f>
        <v>0</v>
      </c>
      <c r="K23" s="29" t="n">
        <f aca="false">(K22*13+I23)/14</f>
        <v>0.359956924209635</v>
      </c>
      <c r="L23" s="29" t="n">
        <f aca="false">(L22*13+J23)/14</f>
        <v>0.111594969843712</v>
      </c>
      <c r="M23" s="31" t="n">
        <f aca="false">IF(L23=0,100,100-100/(1+K23/MAX(L23,0.000001)))</f>
        <v>76.3345304618611</v>
      </c>
      <c r="N23" s="30" t="n">
        <f aca="false">AVERAGE(E4:E23)</f>
        <v>37.99</v>
      </c>
      <c r="Q23" s="30" t="n">
        <f aca="false">Q22+(2/13)*(E23-Q22)</f>
        <v>39.0799314484807</v>
      </c>
      <c r="V23" s="32" t="str">
        <f aca="false">IF(M23="","",IF(M23&lt;Assumptions!$B$5,"BUY",IF(M23&gt;Assumptions!$B$4,"SELL","HOLD")))</f>
        <v>SELL</v>
      </c>
    </row>
    <row r="24" customFormat="false" ht="15" hidden="false" customHeight="false" outlineLevel="0" collapsed="false">
      <c r="A24" s="24" t="n">
        <v>45800</v>
      </c>
      <c r="B24" s="25" t="n">
        <v>41.78</v>
      </c>
      <c r="C24" s="25" t="n">
        <v>42.08</v>
      </c>
      <c r="D24" s="25" t="n">
        <v>41.18</v>
      </c>
      <c r="E24" s="25" t="n">
        <v>41.63</v>
      </c>
      <c r="F24" s="26" t="n">
        <v>53726184</v>
      </c>
      <c r="G24" s="27" t="n">
        <f aca="false">E24-E23</f>
        <v>0.0200000000000031</v>
      </c>
      <c r="H24" s="28" t="n">
        <f aca="false">G24/E23</f>
        <v>0.000480653689017138</v>
      </c>
      <c r="I24" s="29" t="n">
        <f aca="false">MAX(G24,0)</f>
        <v>0.0200000000000031</v>
      </c>
      <c r="J24" s="29" t="n">
        <f aca="false">MAX(-G24,0)</f>
        <v>0</v>
      </c>
      <c r="K24" s="29" t="n">
        <f aca="false">(K23*13+I24)/14</f>
        <v>0.335674286766089</v>
      </c>
      <c r="L24" s="29" t="n">
        <f aca="false">(L23*13+J24)/14</f>
        <v>0.103623900569161</v>
      </c>
      <c r="M24" s="31" t="n">
        <f aca="false">IF(L24=0,100,100-100/(1+K24/MAX(L24,0.000001)))</f>
        <v>76.4114891532479</v>
      </c>
      <c r="N24" s="30" t="n">
        <f aca="false">AVERAGE(E5:E24)</f>
        <v>38.184</v>
      </c>
      <c r="Q24" s="30" t="n">
        <f aca="false">Q23+(2/13)*(E24-Q23)</f>
        <v>39.472249687176</v>
      </c>
      <c r="V24" s="32" t="str">
        <f aca="false">IF(M24="","",IF(M24&lt;Assumptions!$B$5,"BUY",IF(M24&gt;Assumptions!$B$4,"SELL","HOLD")))</f>
        <v>SELL</v>
      </c>
    </row>
    <row r="25" customFormat="false" ht="15" hidden="false" customHeight="false" outlineLevel="0" collapsed="false">
      <c r="A25" s="24" t="n">
        <v>45803</v>
      </c>
      <c r="B25" s="25" t="n">
        <v>41.81</v>
      </c>
      <c r="C25" s="25" t="n">
        <v>41.83</v>
      </c>
      <c r="D25" s="25" t="n">
        <v>41.81</v>
      </c>
      <c r="E25" s="25" t="n">
        <v>41.82</v>
      </c>
      <c r="F25" s="26" t="n">
        <v>42557703</v>
      </c>
      <c r="G25" s="27" t="n">
        <f aca="false">E25-E24</f>
        <v>0.189999999999998</v>
      </c>
      <c r="H25" s="28" t="n">
        <f aca="false">G25/E24</f>
        <v>0.0045640163343742</v>
      </c>
      <c r="I25" s="29" t="n">
        <f aca="false">MAX(G25,0)</f>
        <v>0.189999999999998</v>
      </c>
      <c r="J25" s="29" t="n">
        <f aca="false">MAX(-G25,0)</f>
        <v>0</v>
      </c>
      <c r="K25" s="29" t="n">
        <f aca="false">(K24*13+I25)/14</f>
        <v>0.325268980568512</v>
      </c>
      <c r="L25" s="29" t="n">
        <f aca="false">(L24*13+J25)/14</f>
        <v>0.0962221933856496</v>
      </c>
      <c r="M25" s="31" t="n">
        <f aca="false">IF(L25=0,100,100-100/(1+K25/MAX(L25,0.000001)))</f>
        <v>77.1710063385303</v>
      </c>
      <c r="N25" s="30" t="n">
        <f aca="false">AVERAGE(E6:E25)</f>
        <v>38.3705</v>
      </c>
      <c r="Q25" s="30" t="n">
        <f aca="false">Q24+(2/13)*(E25-Q24)</f>
        <v>39.8334420429951</v>
      </c>
      <c r="V25" s="32" t="str">
        <f aca="false">IF(M25="","",IF(M25&lt;Assumptions!$B$5,"BUY",IF(M25&gt;Assumptions!$B$4,"SELL","HOLD")))</f>
        <v>SELL</v>
      </c>
    </row>
    <row r="26" customFormat="false" ht="15" hidden="false" customHeight="false" outlineLevel="0" collapsed="false">
      <c r="A26" s="24" t="n">
        <v>45804</v>
      </c>
      <c r="B26" s="25" t="n">
        <v>42.18</v>
      </c>
      <c r="C26" s="25" t="n">
        <v>42.18</v>
      </c>
      <c r="D26" s="25" t="n">
        <v>41.96</v>
      </c>
      <c r="E26" s="25" t="n">
        <v>42.07</v>
      </c>
      <c r="F26" s="26" t="n">
        <v>23788751</v>
      </c>
      <c r="G26" s="27" t="n">
        <f aca="false">E26-E25</f>
        <v>0.25</v>
      </c>
      <c r="H26" s="28" t="n">
        <f aca="false">G26/E25</f>
        <v>0.00597800095648015</v>
      </c>
      <c r="I26" s="29" t="n">
        <f aca="false">MAX(G26,0)</f>
        <v>0.25</v>
      </c>
      <c r="J26" s="29" t="n">
        <f aca="false">MAX(-G26,0)</f>
        <v>0</v>
      </c>
      <c r="K26" s="29" t="n">
        <f aca="false">(K25*13+I26)/14</f>
        <v>0.319892624813618</v>
      </c>
      <c r="L26" s="29" t="n">
        <f aca="false">(L25*13+J26)/14</f>
        <v>0.0893491795723889</v>
      </c>
      <c r="M26" s="31" t="n">
        <f aca="false">IF(L26=0,100,100-100/(1+K26/MAX(L26,0.000001)))</f>
        <v>78.1671426000965</v>
      </c>
      <c r="N26" s="30" t="n">
        <f aca="false">AVERAGE(E7:E26)</f>
        <v>38.593</v>
      </c>
      <c r="Q26" s="30" t="n">
        <f aca="false">Q25+(2/13)*(E26-Q25)</f>
        <v>40.1775278825343</v>
      </c>
      <c r="V26" s="32" t="str">
        <f aca="false">IF(M26="","",IF(M26&lt;Assumptions!$B$5,"BUY",IF(M26&gt;Assumptions!$B$4,"SELL","HOLD")))</f>
        <v>SELL</v>
      </c>
    </row>
    <row r="27" customFormat="false" ht="15" hidden="false" customHeight="false" outlineLevel="0" collapsed="false">
      <c r="A27" s="24" t="n">
        <v>45805</v>
      </c>
      <c r="B27" s="25" t="n">
        <v>42.01</v>
      </c>
      <c r="C27" s="25" t="n">
        <v>42.13</v>
      </c>
      <c r="D27" s="25" t="n">
        <v>42.01</v>
      </c>
      <c r="E27" s="25" t="n">
        <v>42.07</v>
      </c>
      <c r="F27" s="26" t="n">
        <v>33360951</v>
      </c>
      <c r="G27" s="27" t="n">
        <f aca="false">E27-E26</f>
        <v>0</v>
      </c>
      <c r="H27" s="28" t="n">
        <f aca="false">G27/E26</f>
        <v>0</v>
      </c>
      <c r="I27" s="29" t="n">
        <f aca="false">MAX(G27,0)</f>
        <v>0</v>
      </c>
      <c r="J27" s="29" t="n">
        <f aca="false">MAX(-G27,0)</f>
        <v>0</v>
      </c>
      <c r="K27" s="29" t="n">
        <f aca="false">(K26*13+I27)/14</f>
        <v>0.297043151612645</v>
      </c>
      <c r="L27" s="29" t="n">
        <f aca="false">(L26*13+J27)/14</f>
        <v>0.0829670953172182</v>
      </c>
      <c r="M27" s="31" t="n">
        <f aca="false">IF(L27=0,100,100-100/(1+K27/MAX(L27,0.000001)))</f>
        <v>78.1671426000965</v>
      </c>
      <c r="N27" s="30" t="n">
        <f aca="false">AVERAGE(E8:E27)</f>
        <v>38.835</v>
      </c>
      <c r="Q27" s="30" t="n">
        <f aca="false">Q26+(2/13)*(E27-Q26)</f>
        <v>40.4686774390675</v>
      </c>
      <c r="V27" s="32" t="str">
        <f aca="false">IF(M27="","",IF(M27&lt;Assumptions!$B$5,"BUY",IF(M27&gt;Assumptions!$B$4,"SELL","HOLD")))</f>
        <v>SELL</v>
      </c>
    </row>
    <row r="28" customFormat="false" ht="15" hidden="false" customHeight="false" outlineLevel="0" collapsed="false">
      <c r="A28" s="24" t="n">
        <v>45806</v>
      </c>
      <c r="B28" s="25" t="n">
        <v>42.38</v>
      </c>
      <c r="C28" s="25" t="n">
        <v>42.54</v>
      </c>
      <c r="D28" s="25" t="n">
        <v>42.34</v>
      </c>
      <c r="E28" s="25" t="n">
        <v>42.44</v>
      </c>
      <c r="F28" s="26" t="n">
        <v>38466858</v>
      </c>
      <c r="G28" s="27" t="n">
        <f aca="false">E28-E27</f>
        <v>0.369999999999997</v>
      </c>
      <c r="H28" s="28" t="n">
        <f aca="false">G28/E27</f>
        <v>0.00879486570002371</v>
      </c>
      <c r="I28" s="29" t="n">
        <f aca="false">MAX(G28,0)</f>
        <v>0.369999999999997</v>
      </c>
      <c r="J28" s="29" t="n">
        <f aca="false">MAX(-G28,0)</f>
        <v>0</v>
      </c>
      <c r="K28" s="29" t="n">
        <f aca="false">(K27*13+I28)/14</f>
        <v>0.302254355068885</v>
      </c>
      <c r="L28" s="29" t="n">
        <f aca="false">(L27*13+J28)/14</f>
        <v>0.0770408742231312</v>
      </c>
      <c r="M28" s="31" t="n">
        <f aca="false">IF(L28=0,100,100-100/(1+K28/MAX(L28,0.000001)))</f>
        <v>79.6884146507896</v>
      </c>
      <c r="N28" s="30" t="n">
        <f aca="false">AVERAGE(E9:E28)</f>
        <v>39.127</v>
      </c>
      <c r="Q28" s="30" t="n">
        <f aca="false">Q27+(2/13)*(E28-Q27)</f>
        <v>40.7719578330571</v>
      </c>
      <c r="R28" s="30" t="n">
        <f aca="false">AVERAGE(E3:E28)</f>
        <v>38.7434615384615</v>
      </c>
      <c r="S28" s="33" t="n">
        <f aca="false">Q28-R28</f>
        <v>2.02849629459555</v>
      </c>
      <c r="V28" s="32" t="str">
        <f aca="false">IF(M28="","",IF(M28&lt;Assumptions!$B$5,"BUY",IF(M28&gt;Assumptions!$B$4,"SELL","HOLD")))</f>
        <v>SELL</v>
      </c>
    </row>
    <row r="29" customFormat="false" ht="15" hidden="false" customHeight="false" outlineLevel="0" collapsed="false">
      <c r="A29" s="24" t="n">
        <v>45807</v>
      </c>
      <c r="B29" s="25" t="n">
        <v>42.42</v>
      </c>
      <c r="C29" s="25" t="n">
        <v>42.57</v>
      </c>
      <c r="D29" s="25" t="n">
        <v>42.17</v>
      </c>
      <c r="E29" s="25" t="n">
        <v>42.37</v>
      </c>
      <c r="F29" s="26" t="n">
        <v>49824330</v>
      </c>
      <c r="G29" s="27" t="n">
        <f aca="false">E29-E28</f>
        <v>-0.0700000000000003</v>
      </c>
      <c r="H29" s="28" t="n">
        <f aca="false">G29/E28</f>
        <v>-0.00164938737040528</v>
      </c>
      <c r="I29" s="29" t="n">
        <f aca="false">MAX(G29,0)</f>
        <v>0</v>
      </c>
      <c r="J29" s="29" t="n">
        <f aca="false">MAX(-G29,0)</f>
        <v>0.0700000000000003</v>
      </c>
      <c r="K29" s="29" t="n">
        <f aca="false">(K28*13+I29)/14</f>
        <v>0.28066475827825</v>
      </c>
      <c r="L29" s="29" t="n">
        <f aca="false">(L28*13+J29)/14</f>
        <v>0.0765379546357647</v>
      </c>
      <c r="M29" s="31" t="n">
        <f aca="false">IF(L29=0,100,100-100/(1+K29/MAX(L29,0.000001)))</f>
        <v>78.5729637909584</v>
      </c>
      <c r="N29" s="30" t="n">
        <f aca="false">AVERAGE(E10:E29)</f>
        <v>39.4195</v>
      </c>
      <c r="Q29" s="30" t="n">
        <f aca="false">Q28+(2/13)*(E29-Q28)</f>
        <v>41.0178104741252</v>
      </c>
      <c r="R29" s="30" t="n">
        <f aca="false">R28+(2/27)*(E29-R28)</f>
        <v>39.012094017094</v>
      </c>
      <c r="S29" s="33" t="n">
        <f aca="false">Q29-R29</f>
        <v>2.00571645703121</v>
      </c>
      <c r="V29" s="32" t="str">
        <f aca="false">IF(M29="","",IF(M29&lt;Assumptions!$B$5,"BUY",IF(M29&gt;Assumptions!$B$4,"SELL","HOLD")))</f>
        <v>SELL</v>
      </c>
    </row>
    <row r="30" customFormat="false" ht="15" hidden="false" customHeight="false" outlineLevel="0" collapsed="false">
      <c r="A30" s="24" t="n">
        <v>45810</v>
      </c>
      <c r="B30" s="25" t="n">
        <v>42.12</v>
      </c>
      <c r="C30" s="25" t="n">
        <v>42.54</v>
      </c>
      <c r="D30" s="25" t="n">
        <v>41.98</v>
      </c>
      <c r="E30" s="25" t="n">
        <v>42.26</v>
      </c>
      <c r="F30" s="26" t="n">
        <v>46806136</v>
      </c>
      <c r="G30" s="27" t="n">
        <f aca="false">E30-E29</f>
        <v>-0.109999999999999</v>
      </c>
      <c r="H30" s="28" t="n">
        <f aca="false">G30/E29</f>
        <v>-0.00259617654000471</v>
      </c>
      <c r="I30" s="29" t="n">
        <f aca="false">MAX(G30,0)</f>
        <v>0</v>
      </c>
      <c r="J30" s="29" t="n">
        <f aca="false">MAX(-G30,0)</f>
        <v>0.109999999999999</v>
      </c>
      <c r="K30" s="29" t="n">
        <f aca="false">(K29*13+I30)/14</f>
        <v>0.260617275544089</v>
      </c>
      <c r="L30" s="29" t="n">
        <f aca="false">(L29*13+J30)/14</f>
        <v>0.0789281007332101</v>
      </c>
      <c r="M30" s="31" t="n">
        <f aca="false">IF(L30=0,100,100-100/(1+K30/MAX(L30,0.000001)))</f>
        <v>76.7547708649252</v>
      </c>
      <c r="N30" s="30" t="n">
        <f aca="false">AVERAGE(E11:E30)</f>
        <v>39.7095</v>
      </c>
      <c r="Q30" s="30" t="n">
        <f aca="false">Q29+(2/13)*(E30-Q29)</f>
        <v>41.208916555029</v>
      </c>
      <c r="R30" s="30" t="n">
        <f aca="false">R29+(2/27)*(E30-R29)</f>
        <v>39.2526796454574</v>
      </c>
      <c r="S30" s="33" t="n">
        <f aca="false">Q30-R30</f>
        <v>1.95623690957162</v>
      </c>
      <c r="V30" s="32" t="str">
        <f aca="false">IF(M30="","",IF(M30&lt;Assumptions!$B$5,"BUY",IF(M30&gt;Assumptions!$B$4,"SELL","HOLD")))</f>
        <v>SELL</v>
      </c>
    </row>
    <row r="31" customFormat="false" ht="15" hidden="false" customHeight="false" outlineLevel="0" collapsed="false">
      <c r="A31" s="24" t="n">
        <v>45811</v>
      </c>
      <c r="B31" s="25" t="n">
        <v>43.21</v>
      </c>
      <c r="C31" s="25" t="n">
        <v>43.43</v>
      </c>
      <c r="D31" s="25" t="n">
        <v>43.21</v>
      </c>
      <c r="E31" s="25" t="n">
        <v>43.32</v>
      </c>
      <c r="F31" s="26" t="n">
        <v>58541865</v>
      </c>
      <c r="G31" s="27" t="n">
        <f aca="false">E31-E30</f>
        <v>1.06</v>
      </c>
      <c r="H31" s="28" t="n">
        <f aca="false">G31/E30</f>
        <v>0.0250828206341695</v>
      </c>
      <c r="I31" s="29" t="n">
        <f aca="false">MAX(G31,0)</f>
        <v>1.06</v>
      </c>
      <c r="J31" s="29" t="n">
        <f aca="false">MAX(-G31,0)</f>
        <v>0</v>
      </c>
      <c r="K31" s="29" t="n">
        <f aca="false">(K30*13+I31)/14</f>
        <v>0.317716041576655</v>
      </c>
      <c r="L31" s="29" t="n">
        <f aca="false">(L30*13+J31)/14</f>
        <v>0.0732903792522665</v>
      </c>
      <c r="M31" s="31" t="n">
        <f aca="false">IF(L31=0,100,100-100/(1+K31/MAX(L31,0.000001)))</f>
        <v>81.2559652864796</v>
      </c>
      <c r="N31" s="30" t="n">
        <f aca="false">AVERAGE(E12:E31)</f>
        <v>40.048</v>
      </c>
      <c r="Q31" s="30" t="n">
        <f aca="false">Q30+(2/13)*(E31-Q30)</f>
        <v>41.5336986234861</v>
      </c>
      <c r="R31" s="30" t="n">
        <f aca="false">R30+(2/27)*(E31-R30)</f>
        <v>39.5539626346828</v>
      </c>
      <c r="S31" s="33" t="n">
        <f aca="false">Q31-R31</f>
        <v>1.97973598880331</v>
      </c>
      <c r="V31" s="32" t="str">
        <f aca="false">IF(M31="","",IF(M31&lt;Assumptions!$B$5,"BUY",IF(M31&gt;Assumptions!$B$4,"SELL","HOLD")))</f>
        <v>SELL</v>
      </c>
    </row>
    <row r="32" customFormat="false" ht="15" hidden="false" customHeight="false" outlineLevel="0" collapsed="false">
      <c r="A32" s="24" t="n">
        <v>45812</v>
      </c>
      <c r="B32" s="25" t="n">
        <v>43.63</v>
      </c>
      <c r="C32" s="25" t="n">
        <v>43.63</v>
      </c>
      <c r="D32" s="25" t="n">
        <v>43.21</v>
      </c>
      <c r="E32" s="25" t="n">
        <v>43.42</v>
      </c>
      <c r="F32" s="26" t="n">
        <v>33532449</v>
      </c>
      <c r="G32" s="27" t="n">
        <f aca="false">E32-E31</f>
        <v>0.100000000000001</v>
      </c>
      <c r="H32" s="28" t="n">
        <f aca="false">G32/E31</f>
        <v>0.00230840258541093</v>
      </c>
      <c r="I32" s="29" t="n">
        <f aca="false">MAX(G32,0)</f>
        <v>0.100000000000001</v>
      </c>
      <c r="J32" s="29" t="n">
        <f aca="false">MAX(-G32,0)</f>
        <v>0</v>
      </c>
      <c r="K32" s="29" t="n">
        <f aca="false">(K31*13+I32)/14</f>
        <v>0.302164895749751</v>
      </c>
      <c r="L32" s="29" t="n">
        <f aca="false">(L31*13+J32)/14</f>
        <v>0.0680553521628189</v>
      </c>
      <c r="M32" s="31" t="n">
        <f aca="false">IF(L32=0,100,100-100/(1+K32/MAX(L32,0.000001)))</f>
        <v>81.6176039677628</v>
      </c>
      <c r="N32" s="30" t="n">
        <f aca="false">AVERAGE(E13:E32)</f>
        <v>40.41</v>
      </c>
      <c r="Q32" s="30" t="n">
        <f aca="false">Q31+(2/13)*(E32-Q31)</f>
        <v>41.8238988352575</v>
      </c>
      <c r="R32" s="30" t="n">
        <f aca="false">R31+(2/27)*(E32-R31)</f>
        <v>39.8403357728544</v>
      </c>
      <c r="S32" s="33" t="n">
        <f aca="false">Q32-R32</f>
        <v>1.98356306240303</v>
      </c>
      <c r="V32" s="32" t="str">
        <f aca="false">IF(M32="","",IF(M32&lt;Assumptions!$B$5,"BUY",IF(M32&gt;Assumptions!$B$4,"SELL","HOLD")))</f>
        <v>SELL</v>
      </c>
    </row>
    <row r="33" customFormat="false" ht="15" hidden="false" customHeight="false" outlineLevel="0" collapsed="false">
      <c r="A33" s="24" t="n">
        <v>45813</v>
      </c>
      <c r="B33" s="25" t="n">
        <v>43.5</v>
      </c>
      <c r="C33" s="25" t="n">
        <v>43.68</v>
      </c>
      <c r="D33" s="25" t="n">
        <v>43.26</v>
      </c>
      <c r="E33" s="25" t="n">
        <v>43.47</v>
      </c>
      <c r="F33" s="26" t="n">
        <v>34208333</v>
      </c>
      <c r="G33" s="27" t="n">
        <f aca="false">E33-E32</f>
        <v>0.0499999999999972</v>
      </c>
      <c r="H33" s="28" t="n">
        <f aca="false">G33/E32</f>
        <v>0.00115154306771067</v>
      </c>
      <c r="I33" s="29" t="n">
        <f aca="false">MAX(G33,0)</f>
        <v>0.0499999999999972</v>
      </c>
      <c r="J33" s="29" t="n">
        <f aca="false">MAX(-G33,0)</f>
        <v>0</v>
      </c>
      <c r="K33" s="29" t="n">
        <f aca="false">(K32*13+I33)/14</f>
        <v>0.284153117481911</v>
      </c>
      <c r="L33" s="29" t="n">
        <f aca="false">(L32*13+J33)/14</f>
        <v>0.0631942555797604</v>
      </c>
      <c r="M33" s="31" t="n">
        <f aca="false">IF(L33=0,100,100-100/(1+K33/MAX(L33,0.000001)))</f>
        <v>81.8066119162674</v>
      </c>
      <c r="N33" s="30" t="n">
        <f aca="false">AVERAGE(E14:E33)</f>
        <v>40.751</v>
      </c>
      <c r="Q33" s="30" t="n">
        <f aca="false">Q32+(2/13)*(E33-Q32)</f>
        <v>42.0771451682948</v>
      </c>
      <c r="R33" s="30" t="n">
        <f aca="false">R32+(2/27)*(E33-R32)</f>
        <v>40.10919978968</v>
      </c>
      <c r="S33" s="33" t="n">
        <f aca="false">Q33-R33</f>
        <v>1.96794537861474</v>
      </c>
      <c r="V33" s="32" t="str">
        <f aca="false">IF(M33="","",IF(M33&lt;Assumptions!$B$5,"BUY",IF(M33&gt;Assumptions!$B$4,"SELL","HOLD")))</f>
        <v>SELL</v>
      </c>
    </row>
    <row r="34" customFormat="false" ht="15" hidden="false" customHeight="false" outlineLevel="0" collapsed="false">
      <c r="A34" s="24" t="n">
        <v>45814</v>
      </c>
      <c r="B34" s="25" t="n">
        <v>44.23</v>
      </c>
      <c r="C34" s="25" t="n">
        <v>44.23</v>
      </c>
      <c r="D34" s="25" t="n">
        <v>43.79</v>
      </c>
      <c r="E34" s="25" t="n">
        <v>44.01</v>
      </c>
      <c r="F34" s="26" t="n">
        <v>43216653</v>
      </c>
      <c r="G34" s="27" t="n">
        <f aca="false">E34-E33</f>
        <v>0.539999999999999</v>
      </c>
      <c r="H34" s="28" t="n">
        <f aca="false">G34/E33</f>
        <v>0.0124223602484472</v>
      </c>
      <c r="I34" s="29" t="n">
        <f aca="false">MAX(G34,0)</f>
        <v>0.539999999999999</v>
      </c>
      <c r="J34" s="29" t="n">
        <f aca="false">MAX(-G34,0)</f>
        <v>0</v>
      </c>
      <c r="K34" s="29" t="n">
        <f aca="false">(K33*13+I34)/14</f>
        <v>0.302427894804632</v>
      </c>
      <c r="L34" s="29" t="n">
        <f aca="false">(L33*13+J34)/14</f>
        <v>0.0586803801812061</v>
      </c>
      <c r="M34" s="31" t="n">
        <f aca="false">IF(L34=0,100,100-100/(1+K34/MAX(L34,0.000001)))</f>
        <v>83.7499209389462</v>
      </c>
      <c r="N34" s="30" t="n">
        <f aca="false">AVERAGE(E15:E34)</f>
        <v>41.095</v>
      </c>
      <c r="Q34" s="30" t="n">
        <f aca="false">Q33+(2/13)*(E34-Q33)</f>
        <v>42.3745074500956</v>
      </c>
      <c r="R34" s="30" t="n">
        <f aca="false">R33+(2/27)*(E34-R33)</f>
        <v>40.3981479534074</v>
      </c>
      <c r="S34" s="33" t="n">
        <f aca="false">Q34-R34</f>
        <v>1.97635949668814</v>
      </c>
      <c r="V34" s="32" t="str">
        <f aca="false">IF(M34="","",IF(M34&lt;Assumptions!$B$5,"BUY",IF(M34&gt;Assumptions!$B$4,"SELL","HOLD")))</f>
        <v>SELL</v>
      </c>
    </row>
    <row r="35" customFormat="false" ht="15" hidden="false" customHeight="false" outlineLevel="0" collapsed="false">
      <c r="A35" s="24" t="n">
        <v>45817</v>
      </c>
      <c r="B35" s="25" t="n">
        <v>44.06</v>
      </c>
      <c r="C35" s="25" t="n">
        <v>44.16</v>
      </c>
      <c r="D35" s="25" t="n">
        <v>44.06</v>
      </c>
      <c r="E35" s="25" t="n">
        <v>44.11</v>
      </c>
      <c r="F35" s="26" t="n">
        <v>49999494</v>
      </c>
      <c r="G35" s="27" t="n">
        <f aca="false">E35-E34</f>
        <v>0.100000000000001</v>
      </c>
      <c r="H35" s="28" t="n">
        <f aca="false">G35/E34</f>
        <v>0.00227221086116795</v>
      </c>
      <c r="I35" s="29" t="n">
        <f aca="false">MAX(G35,0)</f>
        <v>0.100000000000001</v>
      </c>
      <c r="J35" s="29" t="n">
        <f aca="false">MAX(-G35,0)</f>
        <v>0</v>
      </c>
      <c r="K35" s="29" t="n">
        <f aca="false">(K34*13+I35)/14</f>
        <v>0.287968759461444</v>
      </c>
      <c r="L35" s="29" t="n">
        <f aca="false">(L34*13+J35)/14</f>
        <v>0.0544889244539771</v>
      </c>
      <c r="M35" s="31" t="n">
        <f aca="false">IF(L35=0,100,100-100/(1+K35/MAX(L35,0.000001)))</f>
        <v>84.0888591457523</v>
      </c>
      <c r="N35" s="30" t="n">
        <f aca="false">AVERAGE(E16:E35)</f>
        <v>41.403</v>
      </c>
      <c r="Q35" s="30" t="n">
        <f aca="false">Q34+(2/13)*(E35-Q34)</f>
        <v>42.641506303927</v>
      </c>
      <c r="R35" s="30" t="n">
        <f aca="false">R34+(2/27)*(E35-R34)</f>
        <v>40.6730999568587</v>
      </c>
      <c r="S35" s="33" t="n">
        <f aca="false">Q35-R35</f>
        <v>1.96840634706829</v>
      </c>
      <c r="V35" s="32" t="str">
        <f aca="false">IF(M35="","",IF(M35&lt;Assumptions!$B$5,"BUY",IF(M35&gt;Assumptions!$B$4,"SELL","HOLD")))</f>
        <v>SELL</v>
      </c>
    </row>
    <row r="36" customFormat="false" ht="15" hidden="false" customHeight="false" outlineLevel="0" collapsed="false">
      <c r="A36" s="24" t="n">
        <v>45818</v>
      </c>
      <c r="B36" s="25" t="n">
        <v>44.45</v>
      </c>
      <c r="C36" s="25" t="n">
        <v>44.67</v>
      </c>
      <c r="D36" s="25" t="n">
        <v>43.91</v>
      </c>
      <c r="E36" s="25" t="n">
        <v>44.29</v>
      </c>
      <c r="F36" s="26" t="n">
        <v>34176063</v>
      </c>
      <c r="G36" s="27" t="n">
        <f aca="false">E36-E35</f>
        <v>0.18</v>
      </c>
      <c r="H36" s="28" t="n">
        <f aca="false">G36/E35</f>
        <v>0.00408070732260258</v>
      </c>
      <c r="I36" s="29" t="n">
        <f aca="false">MAX(G36,0)</f>
        <v>0.18</v>
      </c>
      <c r="J36" s="29" t="n">
        <f aca="false">MAX(-G36,0)</f>
        <v>0</v>
      </c>
      <c r="K36" s="29" t="n">
        <f aca="false">(K35*13+I36)/14</f>
        <v>0.280256705214198</v>
      </c>
      <c r="L36" s="29" t="n">
        <f aca="false">(L35*13+J36)/14</f>
        <v>0.0505968584215501</v>
      </c>
      <c r="M36" s="31" t="n">
        <f aca="false">IF(L36=0,100,100-100/(1+K36/MAX(L36,0.000001)))</f>
        <v>84.7071744171223</v>
      </c>
      <c r="N36" s="30" t="n">
        <f aca="false">AVERAGE(E17:E36)</f>
        <v>41.701</v>
      </c>
      <c r="Q36" s="30" t="n">
        <f aca="false">Q35+(2/13)*(E36-Q35)</f>
        <v>42.8951207187075</v>
      </c>
      <c r="R36" s="30" t="n">
        <f aca="false">R35+(2/27)*(E36-R35)</f>
        <v>40.9410184785729</v>
      </c>
      <c r="S36" s="33" t="n">
        <f aca="false">Q36-R36</f>
        <v>1.95410224013458</v>
      </c>
      <c r="T36" s="33" t="n">
        <f aca="false">AVERAGE(S28:S36)</f>
        <v>1.98006246387894</v>
      </c>
      <c r="U36" s="33" t="n">
        <f aca="false">S36-T36</f>
        <v>-0.025960223744359</v>
      </c>
      <c r="V36" s="32" t="str">
        <f aca="false">IF(M36="","",IF(M36&lt;Assumptions!$B$5,"BUY",IF(M36&gt;Assumptions!$B$4,"SELL","HOLD")))</f>
        <v>SELL</v>
      </c>
      <c r="X36" s="32" t="str">
        <f aca="false">IF(T36="","",IF(S36&gt;T36,"BUY","SELL"))</f>
        <v>SELL</v>
      </c>
    </row>
    <row r="37" customFormat="false" ht="15" hidden="false" customHeight="false" outlineLevel="0" collapsed="false">
      <c r="A37" s="24" t="n">
        <v>45819</v>
      </c>
      <c r="B37" s="25" t="n">
        <v>44.47</v>
      </c>
      <c r="C37" s="25" t="n">
        <v>44.67</v>
      </c>
      <c r="D37" s="25" t="n">
        <v>43.85</v>
      </c>
      <c r="E37" s="25" t="n">
        <v>44.26</v>
      </c>
      <c r="F37" s="26" t="n">
        <v>58511445</v>
      </c>
      <c r="G37" s="27" t="n">
        <f aca="false">E37-E36</f>
        <v>-0.0300000000000011</v>
      </c>
      <c r="H37" s="28" t="n">
        <f aca="false">G37/E36</f>
        <v>-0.000677353804470561</v>
      </c>
      <c r="I37" s="29" t="n">
        <f aca="false">MAX(G37,0)</f>
        <v>0</v>
      </c>
      <c r="J37" s="29" t="n">
        <f aca="false">MAX(-G37,0)</f>
        <v>0.0300000000000011</v>
      </c>
      <c r="K37" s="29" t="n">
        <f aca="false">(K36*13+I37)/14</f>
        <v>0.260238369127469</v>
      </c>
      <c r="L37" s="29" t="n">
        <f aca="false">(L36*13+J37)/14</f>
        <v>0.0491256542485824</v>
      </c>
      <c r="M37" s="31" t="n">
        <f aca="false">IF(L37=0,100,100-100/(1+K37/MAX(L37,0.000001)))</f>
        <v>84.1204372400901</v>
      </c>
      <c r="N37" s="30" t="n">
        <f aca="false">AVERAGE(E18:E37)</f>
        <v>41.9925</v>
      </c>
      <c r="Q37" s="30" t="n">
        <f aca="false">Q36+(2/13)*(E37-Q36)</f>
        <v>43.1051021465987</v>
      </c>
      <c r="R37" s="30" t="n">
        <f aca="false">R36+(2/27)*(E37-R36)</f>
        <v>41.1868689616416</v>
      </c>
      <c r="S37" s="33" t="n">
        <f aca="false">Q37-R37</f>
        <v>1.91823318495707</v>
      </c>
      <c r="T37" s="33" t="n">
        <f aca="false">T36+(2/10)*(S37-T36)</f>
        <v>1.96769660809457</v>
      </c>
      <c r="U37" s="33" t="n">
        <f aca="false">S37-T37</f>
        <v>-0.0494634231374984</v>
      </c>
      <c r="V37" s="32" t="str">
        <f aca="false">IF(M37="","",IF(M37&lt;Assumptions!$B$5,"BUY",IF(M37&gt;Assumptions!$B$4,"SELL","HOLD")))</f>
        <v>SELL</v>
      </c>
      <c r="X37" s="32" t="str">
        <f aca="false">IF(T37="","",IF(S37&gt;T37,"BUY","SELL"))</f>
        <v>SELL</v>
      </c>
    </row>
    <row r="38" customFormat="false" ht="15" hidden="false" customHeight="false" outlineLevel="0" collapsed="false">
      <c r="A38" s="24" t="n">
        <v>45820</v>
      </c>
      <c r="B38" s="25" t="n">
        <v>43.52</v>
      </c>
      <c r="C38" s="25" t="n">
        <v>43.68</v>
      </c>
      <c r="D38" s="25" t="n">
        <v>43.34</v>
      </c>
      <c r="E38" s="25" t="n">
        <v>43.51</v>
      </c>
      <c r="F38" s="26" t="n">
        <v>36079346</v>
      </c>
      <c r="G38" s="27" t="n">
        <f aca="false">E38-E37</f>
        <v>-0.75</v>
      </c>
      <c r="H38" s="28" t="n">
        <f aca="false">G38/E37</f>
        <v>-0.0169453230908269</v>
      </c>
      <c r="I38" s="29" t="n">
        <f aca="false">MAX(G38,0)</f>
        <v>0</v>
      </c>
      <c r="J38" s="29" t="n">
        <f aca="false">MAX(-G38,0)</f>
        <v>0.75</v>
      </c>
      <c r="K38" s="29" t="n">
        <f aca="false">(K37*13+I38)/14</f>
        <v>0.241649914189793</v>
      </c>
      <c r="L38" s="29" t="n">
        <f aca="false">(L37*13+J38)/14</f>
        <v>0.0991881075165408</v>
      </c>
      <c r="M38" s="31" t="n">
        <f aca="false">IF(L38=0,100,100-100/(1+K38/MAX(L38,0.000001)))</f>
        <v>70.8987550684703</v>
      </c>
      <c r="N38" s="30" t="n">
        <f aca="false">AVERAGE(E19:E38)</f>
        <v>42.228</v>
      </c>
      <c r="Q38" s="30" t="n">
        <f aca="false">Q37+(2/13)*(E38-Q37)</f>
        <v>43.167394124045</v>
      </c>
      <c r="R38" s="30" t="n">
        <f aca="false">R37+(2/27)*(E38-R37)</f>
        <v>41.3589527422607</v>
      </c>
      <c r="S38" s="33" t="n">
        <f aca="false">Q38-R38</f>
        <v>1.80844138178429</v>
      </c>
      <c r="T38" s="33" t="n">
        <f aca="false">T37+(2/10)*(S38-T37)</f>
        <v>1.93584556283251</v>
      </c>
      <c r="U38" s="33" t="n">
        <f aca="false">S38-T38</f>
        <v>-0.127404181048219</v>
      </c>
      <c r="V38" s="32" t="str">
        <f aca="false">IF(M38="","",IF(M38&lt;Assumptions!$B$5,"BUY",IF(M38&gt;Assumptions!$B$4,"SELL","HOLD")))</f>
        <v>SELL</v>
      </c>
      <c r="X38" s="32" t="str">
        <f aca="false">IF(T38="","",IF(S38&gt;T38,"BUY","SELL"))</f>
        <v>SELL</v>
      </c>
    </row>
    <row r="39" customFormat="false" ht="15" hidden="false" customHeight="false" outlineLevel="0" collapsed="false">
      <c r="A39" s="24" t="n">
        <v>45821</v>
      </c>
      <c r="B39" s="25" t="n">
        <v>43.44</v>
      </c>
      <c r="C39" s="25" t="n">
        <v>43.62</v>
      </c>
      <c r="D39" s="25" t="n">
        <v>43.38</v>
      </c>
      <c r="E39" s="25" t="n">
        <v>43.5</v>
      </c>
      <c r="F39" s="26" t="n">
        <v>10888164</v>
      </c>
      <c r="G39" s="27" t="n">
        <f aca="false">E39-E38</f>
        <v>-0.00999999999999801</v>
      </c>
      <c r="H39" s="28" t="n">
        <f aca="false">G39/E38</f>
        <v>-0.000229832222477546</v>
      </c>
      <c r="I39" s="29" t="n">
        <f aca="false">MAX(G39,0)</f>
        <v>0</v>
      </c>
      <c r="J39" s="29" t="n">
        <f aca="false">MAX(-G39,0)</f>
        <v>0.00999999999999801</v>
      </c>
      <c r="K39" s="29" t="n">
        <f aca="false">(K38*13+I39)/14</f>
        <v>0.224389206033379</v>
      </c>
      <c r="L39" s="29" t="n">
        <f aca="false">(L38*13+J39)/14</f>
        <v>0.0928175284082163</v>
      </c>
      <c r="M39" s="31" t="n">
        <f aca="false">IF(L39=0,100,100-100/(1+K39/MAX(L39,0.000001)))</f>
        <v>70.7391053435198</v>
      </c>
      <c r="N39" s="30" t="n">
        <f aca="false">AVERAGE(E20:E39)</f>
        <v>42.446</v>
      </c>
      <c r="Q39" s="30" t="n">
        <f aca="false">Q38+(2/13)*(E39-Q38)</f>
        <v>43.2185642588073</v>
      </c>
      <c r="R39" s="30" t="n">
        <f aca="false">R38+(2/27)*(E39-R38)</f>
        <v>41.5175488354266</v>
      </c>
      <c r="S39" s="33" t="n">
        <f aca="false">Q39-R39</f>
        <v>1.70101542338072</v>
      </c>
      <c r="T39" s="33" t="n">
        <f aca="false">T38+(2/10)*(S39-T38)</f>
        <v>1.88887953494215</v>
      </c>
      <c r="U39" s="33" t="n">
        <f aca="false">S39-T39</f>
        <v>-0.187864111561429</v>
      </c>
      <c r="V39" s="32" t="str">
        <f aca="false">IF(M39="","",IF(M39&lt;Assumptions!$B$5,"BUY",IF(M39&gt;Assumptions!$B$4,"SELL","HOLD")))</f>
        <v>SELL</v>
      </c>
      <c r="X39" s="32" t="str">
        <f aca="false">IF(T39="","",IF(S39&gt;T39,"BUY","SELL"))</f>
        <v>SELL</v>
      </c>
    </row>
    <row r="40" customFormat="false" ht="15" hidden="false" customHeight="false" outlineLevel="0" collapsed="false">
      <c r="A40" s="24" t="n">
        <v>45824</v>
      </c>
      <c r="B40" s="25" t="n">
        <v>42.85</v>
      </c>
      <c r="C40" s="25" t="n">
        <v>43.06</v>
      </c>
      <c r="D40" s="25" t="n">
        <v>42.58</v>
      </c>
      <c r="E40" s="25" t="n">
        <v>42.82</v>
      </c>
      <c r="F40" s="26" t="n">
        <v>68873453</v>
      </c>
      <c r="G40" s="27" t="n">
        <f aca="false">E40-E39</f>
        <v>-0.68</v>
      </c>
      <c r="H40" s="28" t="n">
        <f aca="false">G40/E39</f>
        <v>-0.015632183908046</v>
      </c>
      <c r="I40" s="29" t="n">
        <f aca="false">MAX(G40,0)</f>
        <v>0</v>
      </c>
      <c r="J40" s="29" t="n">
        <f aca="false">MAX(-G40,0)</f>
        <v>0.68</v>
      </c>
      <c r="K40" s="29" t="n">
        <f aca="false">(K39*13+I40)/14</f>
        <v>0.208361405602424</v>
      </c>
      <c r="L40" s="29" t="n">
        <f aca="false">(L39*13+J40)/14</f>
        <v>0.134759133521915</v>
      </c>
      <c r="M40" s="31" t="n">
        <f aca="false">IF(L40=0,100,100-100/(1+K40/MAX(L40,0.000001)))</f>
        <v>60.7254249874323</v>
      </c>
      <c r="N40" s="30" t="n">
        <f aca="false">AVERAGE(E21:E40)</f>
        <v>42.6475</v>
      </c>
      <c r="Q40" s="30" t="n">
        <f aca="false">Q39+(2/13)*(E40-Q39)</f>
        <v>43.1572466805293</v>
      </c>
      <c r="R40" s="30" t="n">
        <f aca="false">R39+(2/27)*(E40-R39)</f>
        <v>41.6140266994691</v>
      </c>
      <c r="S40" s="33" t="n">
        <f aca="false">Q40-R40</f>
        <v>1.5432199810602</v>
      </c>
      <c r="T40" s="33" t="n">
        <f aca="false">T39+(2/10)*(S40-T39)</f>
        <v>1.81974762416576</v>
      </c>
      <c r="U40" s="33" t="n">
        <f aca="false">S40-T40</f>
        <v>-0.276527643105565</v>
      </c>
      <c r="V40" s="32" t="str">
        <f aca="false">IF(M40="","",IF(M40&lt;Assumptions!$B$5,"BUY",IF(M40&gt;Assumptions!$B$4,"SELL","HOLD")))</f>
        <v>HOLD</v>
      </c>
      <c r="X40" s="32" t="str">
        <f aca="false">IF(T40="","",IF(S40&gt;T40,"BUY","SELL"))</f>
        <v>SELL</v>
      </c>
    </row>
    <row r="41" customFormat="false" ht="15" hidden="false" customHeight="false" outlineLevel="0" collapsed="false">
      <c r="A41" s="24" t="n">
        <v>45825</v>
      </c>
      <c r="B41" s="25" t="n">
        <v>42.98</v>
      </c>
      <c r="C41" s="25" t="n">
        <v>42.99</v>
      </c>
      <c r="D41" s="25" t="n">
        <v>42.91</v>
      </c>
      <c r="E41" s="25" t="n">
        <v>42.95</v>
      </c>
      <c r="F41" s="26" t="n">
        <v>69518207</v>
      </c>
      <c r="G41" s="27" t="n">
        <f aca="false">E41-E40</f>
        <v>0.130000000000003</v>
      </c>
      <c r="H41" s="28" t="n">
        <f aca="false">G41/E40</f>
        <v>0.00303596450256895</v>
      </c>
      <c r="I41" s="29" t="n">
        <f aca="false">MAX(G41,0)</f>
        <v>0.130000000000003</v>
      </c>
      <c r="J41" s="29" t="n">
        <f aca="false">MAX(-G41,0)</f>
        <v>0</v>
      </c>
      <c r="K41" s="29" t="n">
        <f aca="false">(K40*13+I41)/14</f>
        <v>0.202764162345108</v>
      </c>
      <c r="L41" s="29" t="n">
        <f aca="false">(L40*13+J41)/14</f>
        <v>0.125133481127493</v>
      </c>
      <c r="M41" s="31" t="n">
        <f aca="false">IF(L41=0,100,100-100/(1+K41/MAX(L41,0.000001)))</f>
        <v>61.8376393918949</v>
      </c>
      <c r="N41" s="30" t="n">
        <f aca="false">AVERAGE(E22:E41)</f>
        <v>42.82</v>
      </c>
      <c r="Q41" s="30" t="n">
        <f aca="false">Q40+(2/13)*(E41-Q40)</f>
        <v>43.1253625758325</v>
      </c>
      <c r="R41" s="30" t="n">
        <f aca="false">R40+(2/27)*(E41-R40)</f>
        <v>41.7129876846936</v>
      </c>
      <c r="S41" s="33" t="n">
        <f aca="false">Q41-R41</f>
        <v>1.41237489113887</v>
      </c>
      <c r="T41" s="33" t="n">
        <f aca="false">T40+(2/10)*(S41-T40)</f>
        <v>1.73827307756038</v>
      </c>
      <c r="U41" s="33" t="n">
        <f aca="false">S41-T41</f>
        <v>-0.32589818642151</v>
      </c>
      <c r="V41" s="32" t="str">
        <f aca="false">IF(M41="","",IF(M41&lt;Assumptions!$B$5,"BUY",IF(M41&gt;Assumptions!$B$4,"SELL","HOLD")))</f>
        <v>HOLD</v>
      </c>
      <c r="X41" s="32" t="str">
        <f aca="false">IF(T41="","",IF(S41&gt;T41,"BUY","SELL"))</f>
        <v>SELL</v>
      </c>
    </row>
    <row r="42" customFormat="false" ht="15" hidden="false" customHeight="false" outlineLevel="0" collapsed="false">
      <c r="A42" s="24" t="n">
        <v>45826</v>
      </c>
      <c r="B42" s="25" t="n">
        <v>42.3</v>
      </c>
      <c r="C42" s="25" t="n">
        <v>42.35</v>
      </c>
      <c r="D42" s="25" t="n">
        <v>42.15</v>
      </c>
      <c r="E42" s="25" t="n">
        <v>42.25</v>
      </c>
      <c r="F42" s="26" t="n">
        <v>106251842</v>
      </c>
      <c r="G42" s="27" t="n">
        <f aca="false">E42-E41</f>
        <v>-0.700000000000003</v>
      </c>
      <c r="H42" s="28" t="n">
        <f aca="false">G42/E41</f>
        <v>-0.0162980209545984</v>
      </c>
      <c r="I42" s="29" t="n">
        <f aca="false">MAX(G42,0)</f>
        <v>0</v>
      </c>
      <c r="J42" s="29" t="n">
        <f aca="false">MAX(-G42,0)</f>
        <v>0.700000000000003</v>
      </c>
      <c r="K42" s="29" t="n">
        <f aca="false">(K41*13+I42)/14</f>
        <v>0.188281007891886</v>
      </c>
      <c r="L42" s="29" t="n">
        <f aca="false">(L41*13+J42)/14</f>
        <v>0.166195375332672</v>
      </c>
      <c r="M42" s="31" t="n">
        <f aca="false">IF(L42=0,100,100-100/(1+K42/MAX(L42,0.000001)))</f>
        <v>53.1152473908569</v>
      </c>
      <c r="N42" s="30" t="n">
        <f aca="false">AVERAGE(E23:E42)</f>
        <v>42.909</v>
      </c>
      <c r="Q42" s="30" t="n">
        <f aca="false">Q41+(2/13)*(E42-Q41)</f>
        <v>42.9906914103198</v>
      </c>
      <c r="R42" s="30" t="n">
        <f aca="false">R41+(2/27)*(E42-R41)</f>
        <v>41.7527663747163</v>
      </c>
      <c r="S42" s="33" t="n">
        <f aca="false">Q42-R42</f>
        <v>1.23792503560349</v>
      </c>
      <c r="T42" s="33" t="n">
        <f aca="false">T41+(2/10)*(S42-T41)</f>
        <v>1.63820346916901</v>
      </c>
      <c r="U42" s="33" t="n">
        <f aca="false">S42-T42</f>
        <v>-0.400278433565517</v>
      </c>
      <c r="V42" s="32" t="str">
        <f aca="false">IF(M42="","",IF(M42&lt;Assumptions!$B$5,"BUY",IF(M42&gt;Assumptions!$B$4,"SELL","HOLD")))</f>
        <v>HOLD</v>
      </c>
      <c r="X42" s="32" t="str">
        <f aca="false">IF(T42="","",IF(S42&gt;T42,"BUY","SELL"))</f>
        <v>SELL</v>
      </c>
    </row>
    <row r="43" customFormat="false" ht="15" hidden="false" customHeight="false" outlineLevel="0" collapsed="false">
      <c r="A43" s="24" t="n">
        <v>45827</v>
      </c>
      <c r="B43" s="25" t="n">
        <v>42.83</v>
      </c>
      <c r="C43" s="25" t="n">
        <v>42.84</v>
      </c>
      <c r="D43" s="25" t="n">
        <v>42.76</v>
      </c>
      <c r="E43" s="25" t="n">
        <v>42.8</v>
      </c>
      <c r="F43" s="26" t="n">
        <v>80345502</v>
      </c>
      <c r="G43" s="27" t="n">
        <f aca="false">E43-E42</f>
        <v>0.549999999999997</v>
      </c>
      <c r="H43" s="28" t="n">
        <f aca="false">G43/E42</f>
        <v>0.0130177514792899</v>
      </c>
      <c r="I43" s="29" t="n">
        <f aca="false">MAX(G43,0)</f>
        <v>0.549999999999997</v>
      </c>
      <c r="J43" s="29" t="n">
        <f aca="false">MAX(-G43,0)</f>
        <v>0</v>
      </c>
      <c r="K43" s="29" t="n">
        <f aca="false">(K42*13+I43)/14</f>
        <v>0.214118078756751</v>
      </c>
      <c r="L43" s="29" t="n">
        <f aca="false">(L42*13+J43)/14</f>
        <v>0.154324277094624</v>
      </c>
      <c r="M43" s="31" t="n">
        <f aca="false">IF(L43=0,100,100-100/(1+K43/MAX(L43,0.000001)))</f>
        <v>58.1144038833373</v>
      </c>
      <c r="N43" s="30" t="n">
        <f aca="false">AVERAGE(E24:E43)</f>
        <v>42.9685</v>
      </c>
      <c r="Q43" s="30" t="n">
        <f aca="false">Q42+(2/13)*(E43-Q42)</f>
        <v>42.9613542702706</v>
      </c>
      <c r="R43" s="30" t="n">
        <f aca="false">R42+(2/27)*(E43-R42)</f>
        <v>41.8303392358484</v>
      </c>
      <c r="S43" s="33" t="n">
        <f aca="false">Q43-R43</f>
        <v>1.13101503442217</v>
      </c>
      <c r="T43" s="33" t="n">
        <f aca="false">T42+(2/10)*(S43-T42)</f>
        <v>1.53676578221964</v>
      </c>
      <c r="U43" s="33" t="n">
        <f aca="false">S43-T43</f>
        <v>-0.405750747797469</v>
      </c>
      <c r="V43" s="32" t="str">
        <f aca="false">IF(M43="","",IF(M43&lt;Assumptions!$B$5,"BUY",IF(M43&gt;Assumptions!$B$4,"SELL","HOLD")))</f>
        <v>HOLD</v>
      </c>
      <c r="X43" s="32" t="str">
        <f aca="false">IF(T43="","",IF(S43&gt;T43,"BUY","SELL"))</f>
        <v>SELL</v>
      </c>
    </row>
    <row r="44" customFormat="false" ht="15" hidden="false" customHeight="false" outlineLevel="0" collapsed="false">
      <c r="A44" s="24" t="n">
        <v>45828</v>
      </c>
      <c r="B44" s="25" t="n">
        <v>43.08</v>
      </c>
      <c r="C44" s="25" t="n">
        <v>43.47</v>
      </c>
      <c r="D44" s="25" t="n">
        <v>43.05</v>
      </c>
      <c r="E44" s="25" t="n">
        <v>43.26</v>
      </c>
      <c r="F44" s="26" t="n">
        <v>24938848</v>
      </c>
      <c r="G44" s="27" t="n">
        <f aca="false">E44-E43</f>
        <v>0.460000000000001</v>
      </c>
      <c r="H44" s="28" t="n">
        <f aca="false">G44/E43</f>
        <v>0.0107476635514019</v>
      </c>
      <c r="I44" s="29" t="n">
        <f aca="false">MAX(G44,0)</f>
        <v>0.460000000000001</v>
      </c>
      <c r="J44" s="29" t="n">
        <f aca="false">MAX(-G44,0)</f>
        <v>0</v>
      </c>
      <c r="K44" s="29" t="n">
        <f aca="false">(K43*13+I44)/14</f>
        <v>0.231681073131269</v>
      </c>
      <c r="L44" s="29" t="n">
        <f aca="false">(L43*13+J44)/14</f>
        <v>0.143301114445008</v>
      </c>
      <c r="M44" s="31" t="n">
        <f aca="false">IF(L44=0,100,100-100/(1+K44/MAX(L44,0.000001)))</f>
        <v>61.7845542554316</v>
      </c>
      <c r="N44" s="30" t="n">
        <f aca="false">AVERAGE(E25:E44)</f>
        <v>43.05</v>
      </c>
      <c r="Q44" s="30" t="n">
        <f aca="false">Q43+(2/13)*(E44-Q43)</f>
        <v>43.007299767152</v>
      </c>
      <c r="R44" s="30" t="n">
        <f aca="false">R43+(2/27)*(E44-R43)</f>
        <v>41.936240033193</v>
      </c>
      <c r="S44" s="33" t="n">
        <f aca="false">Q44-R44</f>
        <v>1.07105973395906</v>
      </c>
      <c r="T44" s="33" t="n">
        <f aca="false">T43+(2/10)*(S44-T43)</f>
        <v>1.44362457256752</v>
      </c>
      <c r="U44" s="33" t="n">
        <f aca="false">S44-T44</f>
        <v>-0.372564838608462</v>
      </c>
      <c r="V44" s="32" t="str">
        <f aca="false">IF(M44="","",IF(M44&lt;Assumptions!$B$5,"BUY",IF(M44&gt;Assumptions!$B$4,"SELL","HOLD")))</f>
        <v>HOLD</v>
      </c>
      <c r="X44" s="32" t="str">
        <f aca="false">IF(T44="","",IF(S44&gt;T44,"BUY","SELL"))</f>
        <v>SELL</v>
      </c>
    </row>
    <row r="45" customFormat="false" ht="15" hidden="false" customHeight="false" outlineLevel="0" collapsed="false">
      <c r="A45" s="24" t="n">
        <v>45831</v>
      </c>
      <c r="B45" s="25" t="n">
        <v>43.54</v>
      </c>
      <c r="C45" s="25" t="n">
        <v>43.57</v>
      </c>
      <c r="D45" s="25" t="n">
        <v>43.29</v>
      </c>
      <c r="E45" s="25" t="n">
        <v>43.43</v>
      </c>
      <c r="F45" s="26" t="n">
        <v>62976033</v>
      </c>
      <c r="G45" s="27" t="n">
        <f aca="false">E45-E44</f>
        <v>0.170000000000002</v>
      </c>
      <c r="H45" s="28" t="n">
        <f aca="false">G45/E44</f>
        <v>0.00392972723069814</v>
      </c>
      <c r="I45" s="29" t="n">
        <f aca="false">MAX(G45,0)</f>
        <v>0.170000000000002</v>
      </c>
      <c r="J45" s="29" t="n">
        <f aca="false">MAX(-G45,0)</f>
        <v>0</v>
      </c>
      <c r="K45" s="29" t="n">
        <f aca="false">(K44*13+I45)/14</f>
        <v>0.227275282193321</v>
      </c>
      <c r="L45" s="29" t="n">
        <f aca="false">(L44*13+J45)/14</f>
        <v>0.133065320556079</v>
      </c>
      <c r="M45" s="31" t="n">
        <f aca="false">IF(L45=0,100,100-100/(1+K45/MAX(L45,0.000001)))</f>
        <v>63.0723488996827</v>
      </c>
      <c r="N45" s="30" t="n">
        <f aca="false">AVERAGE(E26:E45)</f>
        <v>43.1305</v>
      </c>
      <c r="Q45" s="30" t="n">
        <f aca="false">Q44+(2/13)*(E45-Q44)</f>
        <v>43.0723305722056</v>
      </c>
      <c r="R45" s="30" t="n">
        <f aca="false">R44+(2/27)*(E45-R44)</f>
        <v>42.0468889196231</v>
      </c>
      <c r="S45" s="33" t="n">
        <f aca="false">Q45-R45</f>
        <v>1.02544165258244</v>
      </c>
      <c r="T45" s="33" t="n">
        <f aca="false">T44+(2/10)*(S45-T44)</f>
        <v>1.35998798857051</v>
      </c>
      <c r="U45" s="33" t="n">
        <f aca="false">S45-T45</f>
        <v>-0.334546335988063</v>
      </c>
      <c r="V45" s="32" t="str">
        <f aca="false">IF(M45="","",IF(M45&lt;Assumptions!$B$5,"BUY",IF(M45&gt;Assumptions!$B$4,"SELL","HOLD")))</f>
        <v>HOLD</v>
      </c>
      <c r="X45" s="32" t="str">
        <f aca="false">IF(T45="","",IF(S45&gt;T45,"BUY","SELL"))</f>
        <v>SELL</v>
      </c>
    </row>
    <row r="46" customFormat="false" ht="15" hidden="false" customHeight="false" outlineLevel="0" collapsed="false">
      <c r="A46" s="24" t="n">
        <v>45832</v>
      </c>
      <c r="B46" s="25" t="n">
        <v>43.54</v>
      </c>
      <c r="C46" s="25" t="n">
        <v>43.72</v>
      </c>
      <c r="D46" s="25" t="n">
        <v>43.02</v>
      </c>
      <c r="E46" s="25" t="n">
        <v>43.37</v>
      </c>
      <c r="F46" s="26" t="n">
        <v>70952152</v>
      </c>
      <c r="G46" s="27" t="n">
        <f aca="false">E46-E45</f>
        <v>-0.0600000000000023</v>
      </c>
      <c r="H46" s="28" t="n">
        <f aca="false">G46/E45</f>
        <v>-0.00138153350218748</v>
      </c>
      <c r="I46" s="29" t="n">
        <f aca="false">MAX(G46,0)</f>
        <v>0</v>
      </c>
      <c r="J46" s="29" t="n">
        <f aca="false">MAX(-G46,0)</f>
        <v>0.0600000000000023</v>
      </c>
      <c r="K46" s="29" t="n">
        <f aca="false">(K45*13+I46)/14</f>
        <v>0.211041333465227</v>
      </c>
      <c r="L46" s="29" t="n">
        <f aca="false">(L45*13+J46)/14</f>
        <v>0.127846369087788</v>
      </c>
      <c r="M46" s="31" t="n">
        <f aca="false">IF(L46=0,100,100-100/(1+K46/MAX(L46,0.000001)))</f>
        <v>62.2747098449854</v>
      </c>
      <c r="N46" s="30" t="n">
        <f aca="false">AVERAGE(E27:E46)</f>
        <v>43.1955</v>
      </c>
      <c r="Q46" s="30" t="n">
        <f aca="false">Q45+(2/13)*(E46-Q45)</f>
        <v>43.1181258687893</v>
      </c>
      <c r="R46" s="30" t="n">
        <f aca="false">R45+(2/27)*(E46-R45)</f>
        <v>42.1448971477992</v>
      </c>
      <c r="S46" s="33" t="n">
        <f aca="false">Q46-R46</f>
        <v>0.973228720990143</v>
      </c>
      <c r="T46" s="33" t="n">
        <f aca="false">T45+(2/10)*(S46-T45)</f>
        <v>1.28263613505443</v>
      </c>
      <c r="U46" s="33" t="n">
        <f aca="false">S46-T46</f>
        <v>-0.309407414064291</v>
      </c>
      <c r="V46" s="32" t="str">
        <f aca="false">IF(M46="","",IF(M46&lt;Assumptions!$B$5,"BUY",IF(M46&gt;Assumptions!$B$4,"SELL","HOLD")))</f>
        <v>HOLD</v>
      </c>
      <c r="X46" s="32" t="str">
        <f aca="false">IF(T46="","",IF(S46&gt;T46,"BUY","SELL"))</f>
        <v>SELL</v>
      </c>
    </row>
    <row r="47" customFormat="false" ht="15" hidden="false" customHeight="false" outlineLevel="0" collapsed="false">
      <c r="A47" s="24" t="n">
        <v>45833</v>
      </c>
      <c r="B47" s="25" t="n">
        <v>43.64</v>
      </c>
      <c r="C47" s="25" t="n">
        <v>43.66</v>
      </c>
      <c r="D47" s="25" t="n">
        <v>43.6</v>
      </c>
      <c r="E47" s="25" t="n">
        <v>43.63</v>
      </c>
      <c r="F47" s="26" t="n">
        <v>61822926</v>
      </c>
      <c r="G47" s="27" t="n">
        <f aca="false">E47-E46</f>
        <v>0.260000000000005</v>
      </c>
      <c r="H47" s="28" t="n">
        <f aca="false">G47/E46</f>
        <v>0.0059949273691493</v>
      </c>
      <c r="I47" s="29" t="n">
        <f aca="false">MAX(G47,0)</f>
        <v>0.260000000000005</v>
      </c>
      <c r="J47" s="29" t="n">
        <f aca="false">MAX(-G47,0)</f>
        <v>0</v>
      </c>
      <c r="K47" s="29" t="n">
        <f aca="false">(K46*13+I47)/14</f>
        <v>0.214538381074854</v>
      </c>
      <c r="L47" s="29" t="n">
        <f aca="false">(L46*13+J47)/14</f>
        <v>0.118714485581517</v>
      </c>
      <c r="M47" s="31" t="n">
        <f aca="false">IF(L47=0,100,100-100/(1+K47/MAX(L47,0.000001)))</f>
        <v>64.3770549455084</v>
      </c>
      <c r="N47" s="30" t="n">
        <f aca="false">AVERAGE(E28:E47)</f>
        <v>43.2735</v>
      </c>
      <c r="Q47" s="30" t="n">
        <f aca="false">Q46+(2/13)*(E47-Q46)</f>
        <v>43.1968757351294</v>
      </c>
      <c r="R47" s="30" t="n">
        <f aca="false">R46+(2/27)*(E47-R46)</f>
        <v>42.2549047664807</v>
      </c>
      <c r="S47" s="33" t="n">
        <f aca="false">Q47-R47</f>
        <v>0.941970968648704</v>
      </c>
      <c r="T47" s="33" t="n">
        <f aca="false">T46+(2/10)*(S47-T46)</f>
        <v>1.21450310177329</v>
      </c>
      <c r="U47" s="33" t="n">
        <f aca="false">S47-T47</f>
        <v>-0.272532133124584</v>
      </c>
      <c r="V47" s="32" t="str">
        <f aca="false">IF(M47="","",IF(M47&lt;Assumptions!$B$5,"BUY",IF(M47&gt;Assumptions!$B$4,"SELL","HOLD")))</f>
        <v>HOLD</v>
      </c>
      <c r="X47" s="32" t="str">
        <f aca="false">IF(T47="","",IF(S47&gt;T47,"BUY","SELL"))</f>
        <v>SELL</v>
      </c>
    </row>
    <row r="48" customFormat="false" ht="15" hidden="false" customHeight="false" outlineLevel="0" collapsed="false">
      <c r="A48" s="24" t="n">
        <v>45834</v>
      </c>
      <c r="B48" s="25" t="n">
        <v>42.54</v>
      </c>
      <c r="C48" s="25" t="n">
        <v>42.54</v>
      </c>
      <c r="D48" s="25" t="n">
        <v>42.36</v>
      </c>
      <c r="E48" s="25" t="n">
        <v>42.45</v>
      </c>
      <c r="F48" s="26" t="n">
        <v>30993493</v>
      </c>
      <c r="G48" s="27" t="n">
        <f aca="false">E48-E47</f>
        <v>-1.18</v>
      </c>
      <c r="H48" s="28" t="n">
        <f aca="false">G48/E47</f>
        <v>-0.0270456108182443</v>
      </c>
      <c r="I48" s="29" t="n">
        <f aca="false">MAX(G48,0)</f>
        <v>0</v>
      </c>
      <c r="J48" s="29" t="n">
        <f aca="false">MAX(-G48,0)</f>
        <v>1.18</v>
      </c>
      <c r="K48" s="29" t="n">
        <f aca="false">(K47*13+I48)/14</f>
        <v>0.199214210998079</v>
      </c>
      <c r="L48" s="29" t="n">
        <f aca="false">(L47*13+J48)/14</f>
        <v>0.194520593754266</v>
      </c>
      <c r="M48" s="31" t="n">
        <f aca="false">IF(L48=0,100,100-100/(1+K48/MAX(L48,0.000001)))</f>
        <v>50.5960378898641</v>
      </c>
      <c r="N48" s="30" t="n">
        <f aca="false">AVERAGE(E29:E48)</f>
        <v>43.274</v>
      </c>
      <c r="Q48" s="30" t="n">
        <f aca="false">Q47+(2/13)*(E48-Q47)</f>
        <v>43.0819717758788</v>
      </c>
      <c r="R48" s="30" t="n">
        <f aca="false">R47+(2/27)*(E48-R47)</f>
        <v>42.2693562652599</v>
      </c>
      <c r="S48" s="33" t="n">
        <f aca="false">Q48-R48</f>
        <v>0.812615510618819</v>
      </c>
      <c r="T48" s="33" t="n">
        <f aca="false">T47+(2/10)*(S48-T47)</f>
        <v>1.13412558354239</v>
      </c>
      <c r="U48" s="33" t="n">
        <f aca="false">S48-T48</f>
        <v>-0.321510072923575</v>
      </c>
      <c r="V48" s="32" t="str">
        <f aca="false">IF(M48="","",IF(M48&lt;Assumptions!$B$5,"BUY",IF(M48&gt;Assumptions!$B$4,"SELL","HOLD")))</f>
        <v>HOLD</v>
      </c>
      <c r="X48" s="32" t="str">
        <f aca="false">IF(T48="","",IF(S48&gt;T48,"BUY","SELL"))</f>
        <v>SELL</v>
      </c>
    </row>
    <row r="49" customFormat="false" ht="15" hidden="false" customHeight="false" outlineLevel="0" collapsed="false">
      <c r="A49" s="24" t="n">
        <v>45835</v>
      </c>
      <c r="B49" s="25" t="n">
        <v>41.77</v>
      </c>
      <c r="C49" s="25" t="n">
        <v>41.85</v>
      </c>
      <c r="D49" s="25" t="n">
        <v>41.77</v>
      </c>
      <c r="E49" s="25" t="n">
        <v>41.81</v>
      </c>
      <c r="F49" s="26" t="n">
        <v>61047346</v>
      </c>
      <c r="G49" s="27" t="n">
        <f aca="false">E49-E48</f>
        <v>-0.640000000000001</v>
      </c>
      <c r="H49" s="28" t="n">
        <f aca="false">G49/E48</f>
        <v>-0.0150765606595995</v>
      </c>
      <c r="I49" s="29" t="n">
        <f aca="false">MAX(G49,0)</f>
        <v>0</v>
      </c>
      <c r="J49" s="29" t="n">
        <f aca="false">MAX(-G49,0)</f>
        <v>0.640000000000001</v>
      </c>
      <c r="K49" s="29" t="n">
        <f aca="false">(K48*13+I49)/14</f>
        <v>0.184984624498216</v>
      </c>
      <c r="L49" s="29" t="n">
        <f aca="false">(L48*13+J49)/14</f>
        <v>0.226340551343247</v>
      </c>
      <c r="M49" s="31" t="n">
        <f aca="false">IF(L49=0,100,100-100/(1+K49/MAX(L49,0.000001)))</f>
        <v>44.9728427441345</v>
      </c>
      <c r="N49" s="30" t="n">
        <f aca="false">AVERAGE(E30:E49)</f>
        <v>43.246</v>
      </c>
      <c r="Q49" s="30" t="n">
        <f aca="false">Q48+(2/13)*(E49-Q48)</f>
        <v>42.8862838103589</v>
      </c>
      <c r="R49" s="30" t="n">
        <f aca="false">R48+(2/27)*(E49-R48)</f>
        <v>42.2353298752407</v>
      </c>
      <c r="S49" s="33" t="n">
        <f aca="false">Q49-R49</f>
        <v>0.650953935118267</v>
      </c>
      <c r="T49" s="33" t="n">
        <f aca="false">T48+(2/10)*(S49-T48)</f>
        <v>1.03749125385757</v>
      </c>
      <c r="U49" s="33" t="n">
        <f aca="false">S49-T49</f>
        <v>-0.386537318739302</v>
      </c>
      <c r="V49" s="32" t="str">
        <f aca="false">IF(M49="","",IF(M49&lt;Assumptions!$B$5,"BUY",IF(M49&gt;Assumptions!$B$4,"SELL","HOLD")))</f>
        <v>HOLD</v>
      </c>
      <c r="X49" s="32" t="str">
        <f aca="false">IF(T49="","",IF(S49&gt;T49,"BUY","SELL"))</f>
        <v>SELL</v>
      </c>
    </row>
    <row r="50" customFormat="false" ht="15" hidden="false" customHeight="false" outlineLevel="0" collapsed="false">
      <c r="A50" s="24" t="n">
        <v>45838</v>
      </c>
      <c r="B50" s="25" t="n">
        <v>41.71</v>
      </c>
      <c r="C50" s="25" t="n">
        <v>41.86</v>
      </c>
      <c r="D50" s="25" t="n">
        <v>41.6</v>
      </c>
      <c r="E50" s="25" t="n">
        <v>41.73</v>
      </c>
      <c r="F50" s="26" t="n">
        <v>55193986</v>
      </c>
      <c r="G50" s="27" t="n">
        <f aca="false">E50-E49</f>
        <v>-0.0800000000000054</v>
      </c>
      <c r="H50" s="28" t="n">
        <f aca="false">G50/E49</f>
        <v>-0.00191341784262151</v>
      </c>
      <c r="I50" s="29" t="n">
        <f aca="false">MAX(G50,0)</f>
        <v>0</v>
      </c>
      <c r="J50" s="29" t="n">
        <f aca="false">MAX(-G50,0)</f>
        <v>0.0800000000000054</v>
      </c>
      <c r="K50" s="29" t="n">
        <f aca="false">(K49*13+I50)/14</f>
        <v>0.171771437034058</v>
      </c>
      <c r="L50" s="29" t="n">
        <f aca="false">(L49*13+J50)/14</f>
        <v>0.21588765481873</v>
      </c>
      <c r="M50" s="31" t="n">
        <f aca="false">IF(L50=0,100,100-100/(1+K50/MAX(L50,0.000001)))</f>
        <v>44.3099209186837</v>
      </c>
      <c r="N50" s="30" t="n">
        <f aca="false">AVERAGE(E31:E50)</f>
        <v>43.2195</v>
      </c>
      <c r="Q50" s="30" t="n">
        <f aca="false">Q49+(2/13)*(E50-Q49)</f>
        <v>42.7083939933806</v>
      </c>
      <c r="R50" s="30" t="n">
        <f aca="false">R49+(2/27)*(E50-R49)</f>
        <v>42.1978980326303</v>
      </c>
      <c r="S50" s="33" t="n">
        <f aca="false">Q50-R50</f>
        <v>0.51049596075039</v>
      </c>
      <c r="T50" s="33" t="n">
        <f aca="false">T49+(2/10)*(S50-T49)</f>
        <v>0.932092195236133</v>
      </c>
      <c r="U50" s="33" t="n">
        <f aca="false">S50-T50</f>
        <v>-0.421596234485743</v>
      </c>
      <c r="V50" s="32" t="str">
        <f aca="false">IF(M50="","",IF(M50&lt;Assumptions!$B$5,"BUY",IF(M50&gt;Assumptions!$B$4,"SELL","HOLD")))</f>
        <v>HOLD</v>
      </c>
      <c r="X50" s="32" t="str">
        <f aca="false">IF(T50="","",IF(S50&gt;T50,"BUY","SELL"))</f>
        <v>SELL</v>
      </c>
    </row>
    <row r="51" customFormat="false" ht="15" hidden="false" customHeight="false" outlineLevel="0" collapsed="false">
      <c r="A51" s="24" t="n">
        <v>45839</v>
      </c>
      <c r="B51" s="25" t="n">
        <v>42.08</v>
      </c>
      <c r="C51" s="25" t="n">
        <v>42.33</v>
      </c>
      <c r="D51" s="25" t="n">
        <v>41.55</v>
      </c>
      <c r="E51" s="25" t="n">
        <v>41.94</v>
      </c>
      <c r="F51" s="26" t="n">
        <v>41822756</v>
      </c>
      <c r="G51" s="27" t="n">
        <f aca="false">E51-E50</f>
        <v>0.210000000000001</v>
      </c>
      <c r="H51" s="28" t="n">
        <f aca="false">G51/E50</f>
        <v>0.00503235082674337</v>
      </c>
      <c r="I51" s="29" t="n">
        <f aca="false">MAX(G51,0)</f>
        <v>0.210000000000001</v>
      </c>
      <c r="J51" s="29" t="n">
        <f aca="false">MAX(-G51,0)</f>
        <v>0</v>
      </c>
      <c r="K51" s="29" t="n">
        <f aca="false">(K50*13+I51)/14</f>
        <v>0.174502048674482</v>
      </c>
      <c r="L51" s="29" t="n">
        <f aca="false">(L50*13+J51)/14</f>
        <v>0.200467108045963</v>
      </c>
      <c r="M51" s="31" t="n">
        <f aca="false">IF(L51=0,100,100-100/(1+K51/MAX(L51,0.000001)))</f>
        <v>46.5377073145726</v>
      </c>
      <c r="N51" s="30" t="n">
        <f aca="false">AVERAGE(E32:E51)</f>
        <v>43.1505</v>
      </c>
      <c r="Q51" s="30" t="n">
        <f aca="false">Q50+(2/13)*(E51-Q50)</f>
        <v>42.5901795328605</v>
      </c>
      <c r="R51" s="30" t="n">
        <f aca="false">R50+(2/27)*(E51-R50)</f>
        <v>42.1787944746576</v>
      </c>
      <c r="S51" s="33" t="n">
        <f aca="false">Q51-R51</f>
        <v>0.411385058202903</v>
      </c>
      <c r="T51" s="33" t="n">
        <f aca="false">T50+(2/10)*(S51-T50)</f>
        <v>0.827950767829487</v>
      </c>
      <c r="U51" s="33" t="n">
        <f aca="false">S51-T51</f>
        <v>-0.416565709626584</v>
      </c>
      <c r="V51" s="32" t="str">
        <f aca="false">IF(M51="","",IF(M51&lt;Assumptions!$B$5,"BUY",IF(M51&gt;Assumptions!$B$4,"SELL","HOLD")))</f>
        <v>HOLD</v>
      </c>
      <c r="X51" s="32" t="str">
        <f aca="false">IF(T51="","",IF(S51&gt;T51,"BUY","SELL"))</f>
        <v>SELL</v>
      </c>
    </row>
    <row r="52" customFormat="false" ht="15" hidden="false" customHeight="false" outlineLevel="0" collapsed="false">
      <c r="A52" s="24" t="n">
        <v>45840</v>
      </c>
      <c r="B52" s="25" t="n">
        <v>41.93</v>
      </c>
      <c r="C52" s="25" t="n">
        <v>41.93</v>
      </c>
      <c r="D52" s="25" t="n">
        <v>41.87</v>
      </c>
      <c r="E52" s="25" t="n">
        <v>41.9</v>
      </c>
      <c r="F52" s="26" t="n">
        <v>36761239</v>
      </c>
      <c r="G52" s="27" t="n">
        <f aca="false">E52-E51</f>
        <v>-0.0399999999999992</v>
      </c>
      <c r="H52" s="28" t="n">
        <f aca="false">G52/E51</f>
        <v>-0.000953743443013809</v>
      </c>
      <c r="I52" s="29" t="n">
        <f aca="false">MAX(G52,0)</f>
        <v>0</v>
      </c>
      <c r="J52" s="29" t="n">
        <f aca="false">MAX(-G52,0)</f>
        <v>0.0399999999999992</v>
      </c>
      <c r="K52" s="29" t="n">
        <f aca="false">(K51*13+I52)/14</f>
        <v>0.162037616626305</v>
      </c>
      <c r="L52" s="29" t="n">
        <f aca="false">(L51*13+J52)/14</f>
        <v>0.189005171756966</v>
      </c>
      <c r="M52" s="31" t="n">
        <f aca="false">IF(L52=0,100,100-100/(1+K52/MAX(L52,0.000001)))</f>
        <v>46.1589361720176</v>
      </c>
      <c r="N52" s="30" t="n">
        <f aca="false">AVERAGE(E33:E52)</f>
        <v>43.0745</v>
      </c>
      <c r="O52" s="30" t="n">
        <f aca="false">AVERAGE(E3:E52)</f>
        <v>40.8038</v>
      </c>
      <c r="Q52" s="30" t="n">
        <f aca="false">Q51+(2/13)*(E52-Q51)</f>
        <v>42.4839980662666</v>
      </c>
      <c r="R52" s="30" t="n">
        <f aca="false">R51+(2/27)*(E52-R51)</f>
        <v>42.1581430320904</v>
      </c>
      <c r="S52" s="33" t="n">
        <f aca="false">Q52-R52</f>
        <v>0.325855034176207</v>
      </c>
      <c r="T52" s="33" t="n">
        <f aca="false">T51+(2/10)*(S52-T51)</f>
        <v>0.727531621098831</v>
      </c>
      <c r="U52" s="33" t="n">
        <f aca="false">S52-T52</f>
        <v>-0.401676586922624</v>
      </c>
      <c r="V52" s="32" t="str">
        <f aca="false">IF(M52="","",IF(M52&lt;Assumptions!$B$5,"BUY",IF(M52&gt;Assumptions!$B$4,"SELL","HOLD")))</f>
        <v>HOLD</v>
      </c>
      <c r="W52" s="32" t="str">
        <f aca="false">IF(O52="","",IF(E52&gt;O52,"BUY","SELL"))</f>
        <v>BUY</v>
      </c>
      <c r="X52" s="32" t="str">
        <f aca="false">IF(T52="","",IF(S52&gt;T52,"BUY","SELL"))</f>
        <v>SELL</v>
      </c>
      <c r="Y52" s="34" t="n">
        <f aca="false">IF(OR(V52="",W52="",X52=""),"",IFERROR(IF(V52="BUY",1,IF(V52="SELL",-1,0))+IF(W52="BUY",1,IF(W52="SELL",-1,0))+IF(X52="BUY",1,IF(X52="SELL",-1,0)),0))</f>
        <v>0</v>
      </c>
      <c r="Z52" s="32" t="str">
        <f aca="false">IF(Y52="","",IF(Y52&gt;=2,"STRONG BUY",IF(Y52=1,"BUY",IF(Y52=0,"HOLD",IF(Y52=-1,"SELL","STRONG SELL")))))</f>
        <v>HOLD</v>
      </c>
    </row>
    <row r="53" customFormat="false" ht="15" hidden="false" customHeight="false" outlineLevel="0" collapsed="false">
      <c r="A53" s="24" t="n">
        <v>45841</v>
      </c>
      <c r="B53" s="25" t="n">
        <v>41.34</v>
      </c>
      <c r="C53" s="25" t="n">
        <v>41.62</v>
      </c>
      <c r="D53" s="25" t="n">
        <v>41.02</v>
      </c>
      <c r="E53" s="25" t="n">
        <v>41.32</v>
      </c>
      <c r="F53" s="26" t="n">
        <v>50493327</v>
      </c>
      <c r="G53" s="27" t="n">
        <f aca="false">E53-E52</f>
        <v>-0.579999999999998</v>
      </c>
      <c r="H53" s="28" t="n">
        <f aca="false">G53/E52</f>
        <v>-0.0138424821002386</v>
      </c>
      <c r="I53" s="29" t="n">
        <f aca="false">MAX(G53,0)</f>
        <v>0</v>
      </c>
      <c r="J53" s="29" t="n">
        <f aca="false">MAX(-G53,0)</f>
        <v>0.579999999999998</v>
      </c>
      <c r="K53" s="29" t="n">
        <f aca="false">(K52*13+I53)/14</f>
        <v>0.150463501152997</v>
      </c>
      <c r="L53" s="29" t="n">
        <f aca="false">(L52*13+J53)/14</f>
        <v>0.216933373774325</v>
      </c>
      <c r="M53" s="31" t="n">
        <f aca="false">IF(L53=0,100,100-100/(1+K53/MAX(L53,0.000001)))</f>
        <v>40.9539414788875</v>
      </c>
      <c r="N53" s="30" t="n">
        <f aca="false">AVERAGE(E34:E53)</f>
        <v>42.967</v>
      </c>
      <c r="O53" s="30" t="n">
        <f aca="false">AVERAGE(E4:E53)</f>
        <v>40.8802</v>
      </c>
      <c r="Q53" s="30" t="n">
        <f aca="false">Q52+(2/13)*(E53-Q52)</f>
        <v>42.3049214406871</v>
      </c>
      <c r="R53" s="30" t="n">
        <f aca="false">R52+(2/27)*(E53-R52)</f>
        <v>42.0960583630467</v>
      </c>
      <c r="S53" s="33" t="n">
        <f aca="false">Q53-R53</f>
        <v>0.208863077640466</v>
      </c>
      <c r="T53" s="33" t="n">
        <f aca="false">T52+(2/10)*(S53-T52)</f>
        <v>0.623797912407158</v>
      </c>
      <c r="U53" s="33" t="n">
        <f aca="false">S53-T53</f>
        <v>-0.414934834766692</v>
      </c>
      <c r="V53" s="32" t="str">
        <f aca="false">IF(M53="","",IF(M53&lt;Assumptions!$B$5,"BUY",IF(M53&gt;Assumptions!$B$4,"SELL","HOLD")))</f>
        <v>HOLD</v>
      </c>
      <c r="W53" s="32" t="str">
        <f aca="false">IF(O53="","",IF(E53&gt;O53,"BUY","SELL"))</f>
        <v>BUY</v>
      </c>
      <c r="X53" s="32" t="str">
        <f aca="false">IF(T53="","",IF(S53&gt;T53,"BUY","SELL"))</f>
        <v>SELL</v>
      </c>
      <c r="Y53" s="34" t="n">
        <f aca="false">IF(OR(V53="",W53="",X53=""),"",IFERROR(IF(V53="BUY",1,IF(V53="SELL",-1,0))+IF(W53="BUY",1,IF(W53="SELL",-1,0))+IF(X53="BUY",1,IF(X53="SELL",-1,0)),0))</f>
        <v>0</v>
      </c>
      <c r="Z53" s="32" t="str">
        <f aca="false">IF(Y53="","",IF(Y53&gt;=2,"STRONG BUY",IF(Y53=1,"BUY",IF(Y53=0,"HOLD",IF(Y53=-1,"SELL","STRONG SELL")))))</f>
        <v>HOLD</v>
      </c>
    </row>
    <row r="54" customFormat="false" ht="15" hidden="false" customHeight="false" outlineLevel="0" collapsed="false">
      <c r="A54" s="24" t="n">
        <v>45842</v>
      </c>
      <c r="B54" s="25" t="n">
        <v>41.26</v>
      </c>
      <c r="C54" s="25" t="n">
        <v>41.54</v>
      </c>
      <c r="D54" s="25" t="n">
        <v>41.26</v>
      </c>
      <c r="E54" s="25" t="n">
        <v>41.4</v>
      </c>
      <c r="F54" s="26" t="n">
        <v>60396858</v>
      </c>
      <c r="G54" s="27" t="n">
        <f aca="false">E54-E53</f>
        <v>0.0799999999999983</v>
      </c>
      <c r="H54" s="28" t="n">
        <f aca="false">G54/E53</f>
        <v>0.00193610842207159</v>
      </c>
      <c r="I54" s="29" t="n">
        <f aca="false">MAX(G54,0)</f>
        <v>0.0799999999999983</v>
      </c>
      <c r="J54" s="29" t="n">
        <f aca="false">MAX(-G54,0)</f>
        <v>0</v>
      </c>
      <c r="K54" s="29" t="n">
        <f aca="false">(K53*13+I54)/14</f>
        <v>0.145430393927783</v>
      </c>
      <c r="L54" s="29" t="n">
        <f aca="false">(L53*13+J54)/14</f>
        <v>0.201438132790445</v>
      </c>
      <c r="M54" s="31" t="n">
        <f aca="false">IF(L54=0,100,100-100/(1+K54/MAX(L54,0.000001)))</f>
        <v>41.9266617538698</v>
      </c>
      <c r="N54" s="30" t="n">
        <f aca="false">AVERAGE(E35:E54)</f>
        <v>42.8365</v>
      </c>
      <c r="O54" s="30" t="n">
        <f aca="false">AVERAGE(E5:E54)</f>
        <v>40.9532</v>
      </c>
      <c r="Q54" s="30" t="n">
        <f aca="false">Q53+(2/13)*(E54-Q53)</f>
        <v>42.1657027575045</v>
      </c>
      <c r="R54" s="30" t="n">
        <f aca="false">R53+(2/27)*(E54-R53)</f>
        <v>42.0444984843025</v>
      </c>
      <c r="S54" s="33" t="n">
        <f aca="false">Q54-R54</f>
        <v>0.121204273202032</v>
      </c>
      <c r="T54" s="33" t="n">
        <f aca="false">T53+(2/10)*(S54-T53)</f>
        <v>0.523279184566133</v>
      </c>
      <c r="U54" s="33" t="n">
        <f aca="false">S54-T54</f>
        <v>-0.402074911364101</v>
      </c>
      <c r="V54" s="32" t="str">
        <f aca="false">IF(M54="","",IF(M54&lt;Assumptions!$B$5,"BUY",IF(M54&gt;Assumptions!$B$4,"SELL","HOLD")))</f>
        <v>HOLD</v>
      </c>
      <c r="W54" s="32" t="str">
        <f aca="false">IF(O54="","",IF(E54&gt;O54,"BUY","SELL"))</f>
        <v>BUY</v>
      </c>
      <c r="X54" s="32" t="str">
        <f aca="false">IF(T54="","",IF(S54&gt;T54,"BUY","SELL"))</f>
        <v>SELL</v>
      </c>
      <c r="Y54" s="34" t="n">
        <f aca="false">IF(OR(V54="",W54="",X54=""),"",IFERROR(IF(V54="BUY",1,IF(V54="SELL",-1,0))+IF(W54="BUY",1,IF(W54="SELL",-1,0))+IF(X54="BUY",1,IF(X54="SELL",-1,0)),0))</f>
        <v>0</v>
      </c>
      <c r="Z54" s="32" t="str">
        <f aca="false">IF(Y54="","",IF(Y54&gt;=2,"STRONG BUY",IF(Y54=1,"BUY",IF(Y54=0,"HOLD",IF(Y54=-1,"SELL","STRONG SELL")))))</f>
        <v>HOLD</v>
      </c>
    </row>
    <row r="55" customFormat="false" ht="15" hidden="false" customHeight="false" outlineLevel="0" collapsed="false">
      <c r="A55" s="24" t="n">
        <v>45845</v>
      </c>
      <c r="B55" s="25" t="n">
        <v>41.16</v>
      </c>
      <c r="C55" s="25" t="n">
        <v>41.16</v>
      </c>
      <c r="D55" s="25" t="n">
        <v>41.12</v>
      </c>
      <c r="E55" s="25" t="n">
        <v>41.14</v>
      </c>
      <c r="F55" s="26" t="n">
        <v>46205876</v>
      </c>
      <c r="G55" s="27" t="n">
        <f aca="false">E55-E54</f>
        <v>-0.259999999999998</v>
      </c>
      <c r="H55" s="28" t="n">
        <f aca="false">G55/E54</f>
        <v>-0.00628019323671493</v>
      </c>
      <c r="I55" s="29" t="n">
        <f aca="false">MAX(G55,0)</f>
        <v>0</v>
      </c>
      <c r="J55" s="29" t="n">
        <f aca="false">MAX(-G55,0)</f>
        <v>0.259999999999998</v>
      </c>
      <c r="K55" s="29" t="n">
        <f aca="false">(K54*13+I55)/14</f>
        <v>0.135042508647227</v>
      </c>
      <c r="L55" s="29" t="n">
        <f aca="false">(L54*13+J55)/14</f>
        <v>0.205621123305413</v>
      </c>
      <c r="M55" s="31" t="n">
        <f aca="false">IF(L55=0,100,100-100/(1+K55/MAX(L55,0.000001)))</f>
        <v>39.6410112441944</v>
      </c>
      <c r="N55" s="30" t="n">
        <f aca="false">AVERAGE(E36:E55)</f>
        <v>42.688</v>
      </c>
      <c r="O55" s="30" t="n">
        <f aca="false">AVERAGE(E6:E55)</f>
        <v>41.0142</v>
      </c>
      <c r="Q55" s="30" t="n">
        <f aca="false">Q54+(2/13)*(E55-Q54)</f>
        <v>42.007902333273</v>
      </c>
      <c r="R55" s="30" t="n">
        <f aca="false">R54+(2/27)*(E55-R54)</f>
        <v>41.9774985965764</v>
      </c>
      <c r="S55" s="33" t="n">
        <f aca="false">Q55-R55</f>
        <v>0.0304037366966767</v>
      </c>
      <c r="T55" s="33" t="n">
        <f aca="false">T54+(2/10)*(S55-T54)</f>
        <v>0.424704094992242</v>
      </c>
      <c r="U55" s="33" t="n">
        <f aca="false">S55-T55</f>
        <v>-0.394300358295565</v>
      </c>
      <c r="V55" s="32" t="str">
        <f aca="false">IF(M55="","",IF(M55&lt;Assumptions!$B$5,"BUY",IF(M55&gt;Assumptions!$B$4,"SELL","HOLD")))</f>
        <v>HOLD</v>
      </c>
      <c r="W55" s="32" t="str">
        <f aca="false">IF(O55="","",IF(E55&gt;O55,"BUY","SELL"))</f>
        <v>BUY</v>
      </c>
      <c r="X55" s="32" t="str">
        <f aca="false">IF(T55="","",IF(S55&gt;T55,"BUY","SELL"))</f>
        <v>SELL</v>
      </c>
      <c r="Y55" s="34" t="n">
        <f aca="false">IF(OR(V55="",W55="",X55=""),"",IFERROR(IF(V55="BUY",1,IF(V55="SELL",-1,0))+IF(W55="BUY",1,IF(W55="SELL",-1,0))+IF(X55="BUY",1,IF(X55="SELL",-1,0)),0))</f>
        <v>0</v>
      </c>
      <c r="Z55" s="32" t="str">
        <f aca="false">IF(Y55="","",IF(Y55&gt;=2,"STRONG BUY",IF(Y55=1,"BUY",IF(Y55=0,"HOLD",IF(Y55=-1,"SELL","STRONG SELL")))))</f>
        <v>HOLD</v>
      </c>
    </row>
    <row r="56" customFormat="false" ht="15" hidden="false" customHeight="false" outlineLevel="0" collapsed="false">
      <c r="A56" s="24" t="n">
        <v>45846</v>
      </c>
      <c r="B56" s="25" t="n">
        <v>40.59</v>
      </c>
      <c r="C56" s="25" t="n">
        <v>40.62</v>
      </c>
      <c r="D56" s="25" t="n">
        <v>40.44</v>
      </c>
      <c r="E56" s="25" t="n">
        <v>40.53</v>
      </c>
      <c r="F56" s="26" t="n">
        <v>48961063</v>
      </c>
      <c r="G56" s="27" t="n">
        <f aca="false">E56-E55</f>
        <v>-0.609999999999999</v>
      </c>
      <c r="H56" s="28" t="n">
        <f aca="false">G56/E55</f>
        <v>-0.0148274185707341</v>
      </c>
      <c r="I56" s="29" t="n">
        <f aca="false">MAX(G56,0)</f>
        <v>0</v>
      </c>
      <c r="J56" s="29" t="n">
        <f aca="false">MAX(-G56,0)</f>
        <v>0.609999999999999</v>
      </c>
      <c r="K56" s="29" t="n">
        <f aca="false">(K55*13+I56)/14</f>
        <v>0.125396615172425</v>
      </c>
      <c r="L56" s="29" t="n">
        <f aca="false">(L55*13+J56)/14</f>
        <v>0.234505328783598</v>
      </c>
      <c r="M56" s="31" t="n">
        <f aca="false">IF(L56=0,100,100-100/(1+K56/MAX(L56,0.000001)))</f>
        <v>34.8418832624443</v>
      </c>
      <c r="N56" s="30" t="n">
        <f aca="false">AVERAGE(E37:E56)</f>
        <v>42.5</v>
      </c>
      <c r="O56" s="30" t="n">
        <f aca="false">AVERAGE(E7:E56)</f>
        <v>41.0724</v>
      </c>
      <c r="Q56" s="30" t="n">
        <f aca="false">Q55+(2/13)*(E56-Q55)</f>
        <v>41.7805327435387</v>
      </c>
      <c r="R56" s="30" t="n">
        <f aca="false">R55+(2/27)*(E56-R55)</f>
        <v>41.8702764783114</v>
      </c>
      <c r="S56" s="33" t="n">
        <f aca="false">Q56-R56</f>
        <v>-0.0897437347727248</v>
      </c>
      <c r="T56" s="33" t="n">
        <f aca="false">T55+(2/10)*(S56-T55)</f>
        <v>0.321814529039248</v>
      </c>
      <c r="U56" s="33" t="n">
        <f aca="false">S56-T56</f>
        <v>-0.411558263811973</v>
      </c>
      <c r="V56" s="32" t="str">
        <f aca="false">IF(M56="","",IF(M56&lt;Assumptions!$B$5,"BUY",IF(M56&gt;Assumptions!$B$4,"SELL","HOLD")))</f>
        <v>HOLD</v>
      </c>
      <c r="W56" s="32" t="str">
        <f aca="false">IF(O56="","",IF(E56&gt;O56,"BUY","SELL"))</f>
        <v>SELL</v>
      </c>
      <c r="X56" s="32" t="str">
        <f aca="false">IF(T56="","",IF(S56&gt;T56,"BUY","SELL"))</f>
        <v>SELL</v>
      </c>
      <c r="Y56" s="34" t="n">
        <f aca="false">IF(OR(V56="",W56="",X56=""),"",IFERROR(IF(V56="BUY",1,IF(V56="SELL",-1,0))+IF(W56="BUY",1,IF(W56="SELL",-1,0))+IF(X56="BUY",1,IF(X56="SELL",-1,0)),0))</f>
        <v>-2</v>
      </c>
      <c r="Z56" s="32" t="str">
        <f aca="false">IF(Y56="","",IF(Y56&gt;=2,"STRONG BUY",IF(Y56=1,"BUY",IF(Y56=0,"HOLD",IF(Y56=-1,"SELL","STRONG SELL")))))</f>
        <v>STRONG SELL</v>
      </c>
    </row>
    <row r="57" customFormat="false" ht="15" hidden="false" customHeight="false" outlineLevel="0" collapsed="false">
      <c r="A57" s="24" t="n">
        <v>45847</v>
      </c>
      <c r="B57" s="25" t="n">
        <v>40.69</v>
      </c>
      <c r="C57" s="25" t="n">
        <v>41.01</v>
      </c>
      <c r="D57" s="25" t="n">
        <v>40.43</v>
      </c>
      <c r="E57" s="25" t="n">
        <v>40.72</v>
      </c>
      <c r="F57" s="26" t="n">
        <v>72183525</v>
      </c>
      <c r="G57" s="27" t="n">
        <f aca="false">E57-E56</f>
        <v>0.189999999999998</v>
      </c>
      <c r="H57" s="28" t="n">
        <f aca="false">G57/E56</f>
        <v>0.00468788551690101</v>
      </c>
      <c r="I57" s="29" t="n">
        <f aca="false">MAX(G57,0)</f>
        <v>0.189999999999998</v>
      </c>
      <c r="J57" s="29" t="n">
        <f aca="false">MAX(-G57,0)</f>
        <v>0</v>
      </c>
      <c r="K57" s="29" t="n">
        <f aca="false">(K56*13+I57)/14</f>
        <v>0.130011142660109</v>
      </c>
      <c r="L57" s="29" t="n">
        <f aca="false">(L56*13+J57)/14</f>
        <v>0.217754948156198</v>
      </c>
      <c r="M57" s="31" t="n">
        <f aca="false">IF(L57=0,100,100-100/(1+K57/MAX(L57,0.000001)))</f>
        <v>37.38465195239</v>
      </c>
      <c r="N57" s="30" t="n">
        <f aca="false">AVERAGE(E38:E57)</f>
        <v>42.323</v>
      </c>
      <c r="O57" s="30" t="n">
        <f aca="false">AVERAGE(E8:E57)</f>
        <v>41.1422</v>
      </c>
      <c r="Q57" s="30" t="n">
        <f aca="false">Q56+(2/13)*(E57-Q56)</f>
        <v>41.6173738599174</v>
      </c>
      <c r="R57" s="30" t="n">
        <f aca="false">R56+(2/27)*(E57-R56)</f>
        <v>41.7850708132513</v>
      </c>
      <c r="S57" s="33" t="n">
        <f aca="false">Q57-R57</f>
        <v>-0.167696953333959</v>
      </c>
      <c r="T57" s="33" t="n">
        <f aca="false">T56+(2/10)*(S57-T56)</f>
        <v>0.223912232564607</v>
      </c>
      <c r="U57" s="33" t="n">
        <f aca="false">S57-T57</f>
        <v>-0.391609185898566</v>
      </c>
      <c r="V57" s="32" t="str">
        <f aca="false">IF(M57="","",IF(M57&lt;Assumptions!$B$5,"BUY",IF(M57&gt;Assumptions!$B$4,"SELL","HOLD")))</f>
        <v>HOLD</v>
      </c>
      <c r="W57" s="32" t="str">
        <f aca="false">IF(O57="","",IF(E57&gt;O57,"BUY","SELL"))</f>
        <v>SELL</v>
      </c>
      <c r="X57" s="32" t="str">
        <f aca="false">IF(T57="","",IF(S57&gt;T57,"BUY","SELL"))</f>
        <v>SELL</v>
      </c>
      <c r="Y57" s="34" t="n">
        <f aca="false">IF(OR(V57="",W57="",X57=""),"",IFERROR(IF(V57="BUY",1,IF(V57="SELL",-1,0))+IF(W57="BUY",1,IF(W57="SELL",-1,0))+IF(X57="BUY",1,IF(X57="SELL",-1,0)),0))</f>
        <v>-2</v>
      </c>
      <c r="Z57" s="32" t="str">
        <f aca="false">IF(Y57="","",IF(Y57&gt;=2,"STRONG BUY",IF(Y57=1,"BUY",IF(Y57=0,"HOLD",IF(Y57=-1,"SELL","STRONG SELL")))))</f>
        <v>STRONG SELL</v>
      </c>
    </row>
    <row r="58" customFormat="false" ht="15" hidden="false" customHeight="false" outlineLevel="0" collapsed="false">
      <c r="A58" s="24" t="n">
        <v>45848</v>
      </c>
      <c r="B58" s="25" t="n">
        <v>40.58</v>
      </c>
      <c r="C58" s="25" t="n">
        <v>40.62</v>
      </c>
      <c r="D58" s="25" t="n">
        <v>40.58</v>
      </c>
      <c r="E58" s="25" t="n">
        <v>40.6</v>
      </c>
      <c r="F58" s="26" t="n">
        <v>62528897</v>
      </c>
      <c r="G58" s="27" t="n">
        <f aca="false">E58-E57</f>
        <v>-0.119999999999997</v>
      </c>
      <c r="H58" s="28" t="n">
        <f aca="false">G58/E57</f>
        <v>-0.00294695481335947</v>
      </c>
      <c r="I58" s="29" t="n">
        <f aca="false">MAX(G58,0)</f>
        <v>0</v>
      </c>
      <c r="J58" s="29" t="n">
        <f aca="false">MAX(-G58,0)</f>
        <v>0.119999999999997</v>
      </c>
      <c r="K58" s="29" t="n">
        <f aca="false">(K57*13+I58)/14</f>
        <v>0.120724632470101</v>
      </c>
      <c r="L58" s="29" t="n">
        <f aca="false">(L57*13+J58)/14</f>
        <v>0.210772451859326</v>
      </c>
      <c r="M58" s="31" t="n">
        <f aca="false">IF(L58=0,100,100-100/(1+K58/MAX(L58,0.000001)))</f>
        <v>36.4180073300826</v>
      </c>
      <c r="N58" s="30" t="n">
        <f aca="false">AVERAGE(E39:E58)</f>
        <v>42.1775</v>
      </c>
      <c r="O58" s="30" t="n">
        <f aca="false">AVERAGE(E9:E58)</f>
        <v>41.2222</v>
      </c>
      <c r="Q58" s="30" t="n">
        <f aca="false">Q57+(2/13)*(E58-Q57)</f>
        <v>41.4608548045455</v>
      </c>
      <c r="R58" s="30" t="n">
        <f aca="false">R57+(2/27)*(E58-R57)</f>
        <v>41.6972877900475</v>
      </c>
      <c r="S58" s="33" t="n">
        <f aca="false">Q58-R58</f>
        <v>-0.236432985502056</v>
      </c>
      <c r="T58" s="33" t="n">
        <f aca="false">T57+(2/10)*(S58-T57)</f>
        <v>0.131843188951274</v>
      </c>
      <c r="U58" s="33" t="n">
        <f aca="false">S58-T58</f>
        <v>-0.36827617445333</v>
      </c>
      <c r="V58" s="32" t="str">
        <f aca="false">IF(M58="","",IF(M58&lt;Assumptions!$B$5,"BUY",IF(M58&gt;Assumptions!$B$4,"SELL","HOLD")))</f>
        <v>HOLD</v>
      </c>
      <c r="W58" s="32" t="str">
        <f aca="false">IF(O58="","",IF(E58&gt;O58,"BUY","SELL"))</f>
        <v>SELL</v>
      </c>
      <c r="X58" s="32" t="str">
        <f aca="false">IF(T58="","",IF(S58&gt;T58,"BUY","SELL"))</f>
        <v>SELL</v>
      </c>
      <c r="Y58" s="34" t="n">
        <f aca="false">IF(OR(V58="",W58="",X58=""),"",IFERROR(IF(V58="BUY",1,IF(V58="SELL",-1,0))+IF(W58="BUY",1,IF(W58="SELL",-1,0))+IF(X58="BUY",1,IF(X58="SELL",-1,0)),0))</f>
        <v>-2</v>
      </c>
      <c r="Z58" s="32" t="str">
        <f aca="false">IF(Y58="","",IF(Y58&gt;=2,"STRONG BUY",IF(Y58=1,"BUY",IF(Y58=0,"HOLD",IF(Y58=-1,"SELL","STRONG SELL")))))</f>
        <v>STRONG SELL</v>
      </c>
    </row>
    <row r="59" customFormat="false" ht="15" hidden="false" customHeight="false" outlineLevel="0" collapsed="false">
      <c r="A59" s="24" t="n">
        <v>45849</v>
      </c>
      <c r="B59" s="25" t="n">
        <v>40.94</v>
      </c>
      <c r="C59" s="25" t="n">
        <v>41.75</v>
      </c>
      <c r="D59" s="25" t="n">
        <v>40.83</v>
      </c>
      <c r="E59" s="25" t="n">
        <v>41.29</v>
      </c>
      <c r="F59" s="26" t="n">
        <v>49927369</v>
      </c>
      <c r="G59" s="27" t="n">
        <f aca="false">E59-E58</f>
        <v>0.689999999999998</v>
      </c>
      <c r="H59" s="28" t="n">
        <f aca="false">G59/E58</f>
        <v>0.0169950738916256</v>
      </c>
      <c r="I59" s="29" t="n">
        <f aca="false">MAX(G59,0)</f>
        <v>0.689999999999998</v>
      </c>
      <c r="J59" s="29" t="n">
        <f aca="false">MAX(-G59,0)</f>
        <v>0</v>
      </c>
      <c r="K59" s="29" t="n">
        <f aca="false">(K58*13+I59)/14</f>
        <v>0.161387158722237</v>
      </c>
      <c r="L59" s="29" t="n">
        <f aca="false">(L58*13+J59)/14</f>
        <v>0.195717276726517</v>
      </c>
      <c r="M59" s="31" t="n">
        <f aca="false">IF(L59=0,100,100-100/(1+K59/MAX(L59,0.000001)))</f>
        <v>45.1932663674228</v>
      </c>
      <c r="N59" s="30" t="n">
        <f aca="false">AVERAGE(E40:E59)</f>
        <v>42.067</v>
      </c>
      <c r="O59" s="30" t="n">
        <f aca="false">AVERAGE(E10:E59)</f>
        <v>41.3176</v>
      </c>
      <c r="Q59" s="30" t="n">
        <f aca="false">Q58+(2/13)*(E59-Q58)</f>
        <v>41.43456945</v>
      </c>
      <c r="R59" s="30" t="n">
        <f aca="false">R58+(2/27)*(E59-R58)</f>
        <v>41.6671183241181</v>
      </c>
      <c r="S59" s="33" t="n">
        <f aca="false">Q59-R59</f>
        <v>-0.232548874118066</v>
      </c>
      <c r="T59" s="33" t="n">
        <f aca="false">T58+(2/10)*(S59-T58)</f>
        <v>0.0589647763374062</v>
      </c>
      <c r="U59" s="33" t="n">
        <f aca="false">S59-T59</f>
        <v>-0.291513650455473</v>
      </c>
      <c r="V59" s="32" t="str">
        <f aca="false">IF(M59="","",IF(M59&lt;Assumptions!$B$5,"BUY",IF(M59&gt;Assumptions!$B$4,"SELL","HOLD")))</f>
        <v>HOLD</v>
      </c>
      <c r="W59" s="32" t="str">
        <f aca="false">IF(O59="","",IF(E59&gt;O59,"BUY","SELL"))</f>
        <v>SELL</v>
      </c>
      <c r="X59" s="32" t="str">
        <f aca="false">IF(T59="","",IF(S59&gt;T59,"BUY","SELL"))</f>
        <v>SELL</v>
      </c>
      <c r="Y59" s="34" t="n">
        <f aca="false">IF(OR(V59="",W59="",X59=""),"",IFERROR(IF(V59="BUY",1,IF(V59="SELL",-1,0))+IF(W59="BUY",1,IF(W59="SELL",-1,0))+IF(X59="BUY",1,IF(X59="SELL",-1,0)),0))</f>
        <v>-2</v>
      </c>
      <c r="Z59" s="32" t="str">
        <f aca="false">IF(Y59="","",IF(Y59&gt;=2,"STRONG BUY",IF(Y59=1,"BUY",IF(Y59=0,"HOLD",IF(Y59=-1,"SELL","STRONG SELL")))))</f>
        <v>STRONG SELL</v>
      </c>
    </row>
    <row r="60" customFormat="false" ht="15" hidden="false" customHeight="false" outlineLevel="0" collapsed="false">
      <c r="A60" s="24" t="n">
        <v>45852</v>
      </c>
      <c r="B60" s="25" t="n">
        <v>41.72</v>
      </c>
      <c r="C60" s="25" t="n">
        <v>41.73</v>
      </c>
      <c r="D60" s="25" t="n">
        <v>41.63</v>
      </c>
      <c r="E60" s="25" t="n">
        <v>41.68</v>
      </c>
      <c r="F60" s="26" t="n">
        <v>34376299</v>
      </c>
      <c r="G60" s="27" t="n">
        <f aca="false">E60-E59</f>
        <v>0.390000000000001</v>
      </c>
      <c r="H60" s="28" t="n">
        <f aca="false">G60/E59</f>
        <v>0.00944538629208042</v>
      </c>
      <c r="I60" s="29" t="n">
        <f aca="false">MAX(G60,0)</f>
        <v>0.390000000000001</v>
      </c>
      <c r="J60" s="29" t="n">
        <f aca="false">MAX(-G60,0)</f>
        <v>0</v>
      </c>
      <c r="K60" s="29" t="n">
        <f aca="false">(K59*13+I60)/14</f>
        <v>0.177716647384934</v>
      </c>
      <c r="L60" s="29" t="n">
        <f aca="false">(L59*13+J60)/14</f>
        <v>0.181737471246052</v>
      </c>
      <c r="M60" s="31" t="n">
        <f aca="false">IF(L60=0,100,100-100/(1+K60/MAX(L60,0.000001)))</f>
        <v>49.4407041604598</v>
      </c>
      <c r="N60" s="30" t="n">
        <f aca="false">AVERAGE(E41:E60)</f>
        <v>42.01</v>
      </c>
      <c r="O60" s="30" t="n">
        <f aca="false">AVERAGE(E11:E60)</f>
        <v>41.422</v>
      </c>
      <c r="Q60" s="30" t="n">
        <f aca="false">Q59+(2/13)*(E60-Q59)</f>
        <v>41.4723279961539</v>
      </c>
      <c r="R60" s="30" t="n">
        <f aca="false">R59+(2/27)*(E60-R59)</f>
        <v>41.6680725223316</v>
      </c>
      <c r="S60" s="33" t="n">
        <f aca="false">Q60-R60</f>
        <v>-0.195744526177698</v>
      </c>
      <c r="T60" s="33" t="n">
        <f aca="false">T59+(2/10)*(S60-T59)</f>
        <v>0.00802291583438534</v>
      </c>
      <c r="U60" s="33" t="n">
        <f aca="false">S60-T60</f>
        <v>-0.203767442012084</v>
      </c>
      <c r="V60" s="32" t="str">
        <f aca="false">IF(M60="","",IF(M60&lt;Assumptions!$B$5,"BUY",IF(M60&gt;Assumptions!$B$4,"SELL","HOLD")))</f>
        <v>HOLD</v>
      </c>
      <c r="W60" s="32" t="str">
        <f aca="false">IF(O60="","",IF(E60&gt;O60,"BUY","SELL"))</f>
        <v>BUY</v>
      </c>
      <c r="X60" s="32" t="str">
        <f aca="false">IF(T60="","",IF(S60&gt;T60,"BUY","SELL"))</f>
        <v>SELL</v>
      </c>
      <c r="Y60" s="34" t="n">
        <f aca="false">IF(OR(V60="",W60="",X60=""),"",IFERROR(IF(V60="BUY",1,IF(V60="SELL",-1,0))+IF(W60="BUY",1,IF(W60="SELL",-1,0))+IF(X60="BUY",1,IF(X60="SELL",-1,0)),0))</f>
        <v>0</v>
      </c>
      <c r="Z60" s="32" t="str">
        <f aca="false">IF(Y60="","",IF(Y60&gt;=2,"STRONG BUY",IF(Y60=1,"BUY",IF(Y60=0,"HOLD",IF(Y60=-1,"SELL","STRONG SELL")))))</f>
        <v>HOLD</v>
      </c>
    </row>
    <row r="61" customFormat="false" ht="15" hidden="false" customHeight="false" outlineLevel="0" collapsed="false">
      <c r="A61" s="24" t="n">
        <v>45853</v>
      </c>
      <c r="B61" s="25" t="n">
        <v>42.08</v>
      </c>
      <c r="C61" s="25" t="n">
        <v>42.16</v>
      </c>
      <c r="D61" s="25" t="n">
        <v>42.08</v>
      </c>
      <c r="E61" s="25" t="n">
        <v>42.12</v>
      </c>
      <c r="F61" s="26" t="n">
        <v>53842340</v>
      </c>
      <c r="G61" s="27" t="n">
        <f aca="false">E61-E60</f>
        <v>0.439999999999998</v>
      </c>
      <c r="H61" s="28" t="n">
        <f aca="false">G61/E60</f>
        <v>0.010556621880998</v>
      </c>
      <c r="I61" s="29" t="n">
        <f aca="false">MAX(G61,0)</f>
        <v>0.439999999999998</v>
      </c>
      <c r="J61" s="29" t="n">
        <f aca="false">MAX(-G61,0)</f>
        <v>0</v>
      </c>
      <c r="K61" s="29" t="n">
        <f aca="false">(K60*13+I61)/14</f>
        <v>0.196451172571724</v>
      </c>
      <c r="L61" s="29" t="n">
        <f aca="false">(L60*13+J61)/14</f>
        <v>0.168756223299905</v>
      </c>
      <c r="M61" s="31" t="n">
        <f aca="false">IF(L61=0,100,100-100/(1+K61/MAX(L61,0.000001)))</f>
        <v>53.7916742082564</v>
      </c>
      <c r="N61" s="30" t="n">
        <f aca="false">AVERAGE(E42:E61)</f>
        <v>41.9685</v>
      </c>
      <c r="O61" s="30" t="n">
        <f aca="false">AVERAGE(E12:E61)</f>
        <v>41.5334</v>
      </c>
      <c r="Q61" s="30" t="n">
        <f aca="false">Q60+(2/13)*(E61-Q60)</f>
        <v>41.5719698428994</v>
      </c>
      <c r="R61" s="30" t="n">
        <f aca="false">R60+(2/27)*(E61-R60)</f>
        <v>41.7015486317885</v>
      </c>
      <c r="S61" s="33" t="n">
        <f aca="false">Q61-R61</f>
        <v>-0.129578788889063</v>
      </c>
      <c r="T61" s="33" t="n">
        <f aca="false">T60+(2/10)*(S61-T60)</f>
        <v>-0.0194974251103043</v>
      </c>
      <c r="U61" s="33" t="n">
        <f aca="false">S61-T61</f>
        <v>-0.110081363778759</v>
      </c>
      <c r="V61" s="32" t="str">
        <f aca="false">IF(M61="","",IF(M61&lt;Assumptions!$B$5,"BUY",IF(M61&gt;Assumptions!$B$4,"SELL","HOLD")))</f>
        <v>HOLD</v>
      </c>
      <c r="W61" s="32" t="str">
        <f aca="false">IF(O61="","",IF(E61&gt;O61,"BUY","SELL"))</f>
        <v>BUY</v>
      </c>
      <c r="X61" s="32" t="str">
        <f aca="false">IF(T61="","",IF(S61&gt;T61,"BUY","SELL"))</f>
        <v>SELL</v>
      </c>
      <c r="Y61" s="34" t="n">
        <f aca="false">IF(OR(V61="",W61="",X61=""),"",IFERROR(IF(V61="BUY",1,IF(V61="SELL",-1,0))+IF(W61="BUY",1,IF(W61="SELL",-1,0))+IF(X61="BUY",1,IF(X61="SELL",-1,0)),0))</f>
        <v>0</v>
      </c>
      <c r="Z61" s="32" t="str">
        <f aca="false">IF(Y61="","",IF(Y61&gt;=2,"STRONG BUY",IF(Y61=1,"BUY",IF(Y61=0,"HOLD",IF(Y61=-1,"SELL","STRONG SELL")))))</f>
        <v>HOLD</v>
      </c>
    </row>
    <row r="62" customFormat="false" ht="15" hidden="false" customHeight="false" outlineLevel="0" collapsed="false">
      <c r="A62" s="24" t="n">
        <v>45854</v>
      </c>
      <c r="B62" s="25" t="n">
        <v>42.28</v>
      </c>
      <c r="C62" s="25" t="n">
        <v>42.72</v>
      </c>
      <c r="D62" s="25" t="n">
        <v>41.9</v>
      </c>
      <c r="E62" s="25" t="n">
        <v>42.31</v>
      </c>
      <c r="F62" s="26" t="n">
        <v>54577637</v>
      </c>
      <c r="G62" s="27" t="n">
        <f aca="false">E62-E61</f>
        <v>0.190000000000005</v>
      </c>
      <c r="H62" s="28" t="n">
        <f aca="false">G62/E61</f>
        <v>0.00451092117758796</v>
      </c>
      <c r="I62" s="29" t="n">
        <f aca="false">MAX(G62,0)</f>
        <v>0.190000000000005</v>
      </c>
      <c r="J62" s="29" t="n">
        <f aca="false">MAX(-G62,0)</f>
        <v>0</v>
      </c>
      <c r="K62" s="29" t="n">
        <f aca="false">(K61*13+I62)/14</f>
        <v>0.195990374530887</v>
      </c>
      <c r="L62" s="29" t="n">
        <f aca="false">(L61*13+J62)/14</f>
        <v>0.156702207349912</v>
      </c>
      <c r="M62" s="31" t="n">
        <f aca="false">IF(L62=0,100,100-100/(1+K62/MAX(L62,0.000001)))</f>
        <v>55.5697467425404</v>
      </c>
      <c r="N62" s="30" t="n">
        <f aca="false">AVERAGE(E43:E62)</f>
        <v>41.9715</v>
      </c>
      <c r="O62" s="30" t="n">
        <f aca="false">AVERAGE(E13:E62)</f>
        <v>41.656</v>
      </c>
      <c r="Q62" s="30" t="n">
        <f aca="false">Q61+(2/13)*(E62-Q61)</f>
        <v>41.6855129439918</v>
      </c>
      <c r="R62" s="30" t="n">
        <f aca="false">R61+(2/27)*(E62-R61)</f>
        <v>41.7466191035079</v>
      </c>
      <c r="S62" s="33" t="n">
        <f aca="false">Q62-R62</f>
        <v>-0.0611061595160365</v>
      </c>
      <c r="T62" s="33" t="n">
        <f aca="false">T61+(2/10)*(S62-T61)</f>
        <v>-0.0278191719914508</v>
      </c>
      <c r="U62" s="33" t="n">
        <f aca="false">S62-T62</f>
        <v>-0.0332869875245857</v>
      </c>
      <c r="V62" s="32" t="str">
        <f aca="false">IF(M62="","",IF(M62&lt;Assumptions!$B$5,"BUY",IF(M62&gt;Assumptions!$B$4,"SELL","HOLD")))</f>
        <v>HOLD</v>
      </c>
      <c r="W62" s="32" t="str">
        <f aca="false">IF(O62="","",IF(E62&gt;O62,"BUY","SELL"))</f>
        <v>BUY</v>
      </c>
      <c r="X62" s="32" t="str">
        <f aca="false">IF(T62="","",IF(S62&gt;T62,"BUY","SELL"))</f>
        <v>SELL</v>
      </c>
      <c r="Y62" s="34" t="n">
        <f aca="false">IF(OR(V62="",W62="",X62=""),"",IFERROR(IF(V62="BUY",1,IF(V62="SELL",-1,0))+IF(W62="BUY",1,IF(W62="SELL",-1,0))+IF(X62="BUY",1,IF(X62="SELL",-1,0)),0))</f>
        <v>0</v>
      </c>
      <c r="Z62" s="32" t="str">
        <f aca="false">IF(Y62="","",IF(Y62&gt;=2,"STRONG BUY",IF(Y62=1,"BUY",IF(Y62=0,"HOLD",IF(Y62=-1,"SELL","STRONG SELL")))))</f>
        <v>HOLD</v>
      </c>
    </row>
    <row r="63" customFormat="false" ht="15" hidden="false" customHeight="false" outlineLevel="0" collapsed="false">
      <c r="A63" s="24" t="n">
        <v>45855</v>
      </c>
      <c r="B63" s="25" t="n">
        <v>41.73</v>
      </c>
      <c r="C63" s="25" t="n">
        <v>42.26</v>
      </c>
      <c r="D63" s="25" t="n">
        <v>41.38</v>
      </c>
      <c r="E63" s="25" t="n">
        <v>41.82</v>
      </c>
      <c r="F63" s="26" t="n">
        <v>63792559</v>
      </c>
      <c r="G63" s="27" t="n">
        <f aca="false">E63-E62</f>
        <v>-0.490000000000002</v>
      </c>
      <c r="H63" s="28" t="n">
        <f aca="false">G63/E62</f>
        <v>-0.0115811864807375</v>
      </c>
      <c r="I63" s="29" t="n">
        <f aca="false">MAX(G63,0)</f>
        <v>0</v>
      </c>
      <c r="J63" s="29" t="n">
        <f aca="false">MAX(-G63,0)</f>
        <v>0.490000000000002</v>
      </c>
      <c r="K63" s="29" t="n">
        <f aca="false">(K62*13+I63)/14</f>
        <v>0.181991062064395</v>
      </c>
      <c r="L63" s="29" t="n">
        <f aca="false">(L62*13+J63)/14</f>
        <v>0.180509192539204</v>
      </c>
      <c r="M63" s="31" t="n">
        <f aca="false">IF(L63=0,100,100-100/(1+K63/MAX(L63,0.000001)))</f>
        <v>50.2043956530198</v>
      </c>
      <c r="N63" s="30" t="n">
        <f aca="false">AVERAGE(E44:E63)</f>
        <v>41.9225</v>
      </c>
      <c r="O63" s="30" t="n">
        <f aca="false">AVERAGE(E14:E63)</f>
        <v>41.7594</v>
      </c>
      <c r="Q63" s="30" t="n">
        <f aca="false">Q62+(2/13)*(E63-Q62)</f>
        <v>41.7062032603008</v>
      </c>
      <c r="R63" s="30" t="n">
        <f aca="false">R62+(2/27)*(E63-R62)</f>
        <v>41.7520547254702</v>
      </c>
      <c r="S63" s="33" t="n">
        <f aca="false">Q63-R63</f>
        <v>-0.0458514651694699</v>
      </c>
      <c r="T63" s="33" t="n">
        <f aca="false">T62+(2/10)*(S63-T62)</f>
        <v>-0.0314256306270546</v>
      </c>
      <c r="U63" s="33" t="n">
        <f aca="false">S63-T63</f>
        <v>-0.0144258345424153</v>
      </c>
      <c r="V63" s="32" t="str">
        <f aca="false">IF(M63="","",IF(M63&lt;Assumptions!$B$5,"BUY",IF(M63&gt;Assumptions!$B$4,"SELL","HOLD")))</f>
        <v>HOLD</v>
      </c>
      <c r="W63" s="32" t="str">
        <f aca="false">IF(O63="","",IF(E63&gt;O63,"BUY","SELL"))</f>
        <v>BUY</v>
      </c>
      <c r="X63" s="32" t="str">
        <f aca="false">IF(T63="","",IF(S63&gt;T63,"BUY","SELL"))</f>
        <v>SELL</v>
      </c>
      <c r="Y63" s="34" t="n">
        <f aca="false">IF(OR(V63="",W63="",X63=""),"",IFERROR(IF(V63="BUY",1,IF(V63="SELL",-1,0))+IF(W63="BUY",1,IF(W63="SELL",-1,0))+IF(X63="BUY",1,IF(X63="SELL",-1,0)),0))</f>
        <v>0</v>
      </c>
      <c r="Z63" s="32" t="str">
        <f aca="false">IF(Y63="","",IF(Y63&gt;=2,"STRONG BUY",IF(Y63=1,"BUY",IF(Y63=0,"HOLD",IF(Y63=-1,"SELL","STRONG SELL")))))</f>
        <v>HOLD</v>
      </c>
    </row>
    <row r="64" customFormat="false" ht="15" hidden="false" customHeight="false" outlineLevel="0" collapsed="false">
      <c r="A64" s="24" t="n">
        <v>45856</v>
      </c>
      <c r="B64" s="25" t="n">
        <v>41.03</v>
      </c>
      <c r="C64" s="25" t="n">
        <v>41.66</v>
      </c>
      <c r="D64" s="25" t="n">
        <v>40.9</v>
      </c>
      <c r="E64" s="25" t="n">
        <v>41.28</v>
      </c>
      <c r="F64" s="26" t="n">
        <v>55948573</v>
      </c>
      <c r="G64" s="27" t="n">
        <f aca="false">E64-E63</f>
        <v>-0.539999999999999</v>
      </c>
      <c r="H64" s="28" t="n">
        <f aca="false">G64/E63</f>
        <v>-0.0129124820659971</v>
      </c>
      <c r="I64" s="29" t="n">
        <f aca="false">MAX(G64,0)</f>
        <v>0</v>
      </c>
      <c r="J64" s="29" t="n">
        <f aca="false">MAX(-G64,0)</f>
        <v>0.539999999999999</v>
      </c>
      <c r="K64" s="29" t="n">
        <f aca="false">(K63*13+I64)/14</f>
        <v>0.168991700488367</v>
      </c>
      <c r="L64" s="29" t="n">
        <f aca="false">(L63*13+J64)/14</f>
        <v>0.206187107357832</v>
      </c>
      <c r="M64" s="31" t="n">
        <f aca="false">IF(L64=0,100,100-100/(1+K64/MAX(L64,0.000001)))</f>
        <v>45.0429760301502</v>
      </c>
      <c r="N64" s="30" t="n">
        <f aca="false">AVERAGE(E45:E64)</f>
        <v>41.8235</v>
      </c>
      <c r="O64" s="30" t="n">
        <f aca="false">AVERAGE(E15:E64)</f>
        <v>41.8424</v>
      </c>
      <c r="Q64" s="30" t="n">
        <f aca="false">Q63+(2/13)*(E64-Q63)</f>
        <v>41.6406335279468</v>
      </c>
      <c r="R64" s="30" t="n">
        <f aca="false">R63+(2/27)*(E64-R63)</f>
        <v>41.7170877087687</v>
      </c>
      <c r="S64" s="33" t="n">
        <f aca="false">Q64-R64</f>
        <v>-0.0764541808219335</v>
      </c>
      <c r="T64" s="33" t="n">
        <f aca="false">T63+(2/10)*(S64-T63)</f>
        <v>-0.0404313406660304</v>
      </c>
      <c r="U64" s="33" t="n">
        <f aca="false">S64-T64</f>
        <v>-0.0360228401559031</v>
      </c>
      <c r="V64" s="32" t="str">
        <f aca="false">IF(M64="","",IF(M64&lt;Assumptions!$B$5,"BUY",IF(M64&gt;Assumptions!$B$4,"SELL","HOLD")))</f>
        <v>HOLD</v>
      </c>
      <c r="W64" s="32" t="str">
        <f aca="false">IF(O64="","",IF(E64&gt;O64,"BUY","SELL"))</f>
        <v>SELL</v>
      </c>
      <c r="X64" s="32" t="str">
        <f aca="false">IF(T64="","",IF(S64&gt;T64,"BUY","SELL"))</f>
        <v>SELL</v>
      </c>
      <c r="Y64" s="34" t="n">
        <f aca="false">IF(OR(V64="",W64="",X64=""),"",IFERROR(IF(V64="BUY",1,IF(V64="SELL",-1,0))+IF(W64="BUY",1,IF(W64="SELL",-1,0))+IF(X64="BUY",1,IF(X64="SELL",-1,0)),0))</f>
        <v>-2</v>
      </c>
      <c r="Z64" s="32" t="str">
        <f aca="false">IF(Y64="","",IF(Y64&gt;=2,"STRONG BUY",IF(Y64=1,"BUY",IF(Y64=0,"HOLD",IF(Y64=-1,"SELL","STRONG SELL")))))</f>
        <v>STRONG SELL</v>
      </c>
    </row>
    <row r="65" customFormat="false" ht="15" hidden="false" customHeight="false" outlineLevel="0" collapsed="false">
      <c r="A65" s="24" t="n">
        <v>45859</v>
      </c>
      <c r="B65" s="25" t="n">
        <v>40.22</v>
      </c>
      <c r="C65" s="25" t="n">
        <v>40.74</v>
      </c>
      <c r="D65" s="25" t="n">
        <v>40.14</v>
      </c>
      <c r="E65" s="25" t="n">
        <v>40.44</v>
      </c>
      <c r="F65" s="26" t="n">
        <v>77931292</v>
      </c>
      <c r="G65" s="27" t="n">
        <f aca="false">E65-E64</f>
        <v>-0.840000000000003</v>
      </c>
      <c r="H65" s="28" t="n">
        <f aca="false">G65/E64</f>
        <v>-0.0203488372093024</v>
      </c>
      <c r="I65" s="29" t="n">
        <f aca="false">MAX(G65,0)</f>
        <v>0</v>
      </c>
      <c r="J65" s="29" t="n">
        <f aca="false">MAX(-G65,0)</f>
        <v>0.840000000000003</v>
      </c>
      <c r="K65" s="29" t="n">
        <f aca="false">(K64*13+I65)/14</f>
        <v>0.156920864739198</v>
      </c>
      <c r="L65" s="29" t="n">
        <f aca="false">(L64*13+J65)/14</f>
        <v>0.251459456832273</v>
      </c>
      <c r="M65" s="31" t="n">
        <f aca="false">IF(L65=0,100,100-100/(1+K65/MAX(L65,0.000001)))</f>
        <v>38.4251778184016</v>
      </c>
      <c r="N65" s="30" t="n">
        <f aca="false">AVERAGE(E46:E65)</f>
        <v>41.674</v>
      </c>
      <c r="O65" s="30" t="n">
        <f aca="false">AVERAGE(E16:E65)</f>
        <v>41.8922</v>
      </c>
      <c r="Q65" s="30" t="n">
        <f aca="false">Q64+(2/13)*(E65-Q64)</f>
        <v>41.4559206774935</v>
      </c>
      <c r="R65" s="30" t="n">
        <f aca="false">R64+(2/27)*(E65-R64)</f>
        <v>41.6224886192303</v>
      </c>
      <c r="S65" s="33" t="n">
        <f aca="false">Q65-R65</f>
        <v>-0.166567941736858</v>
      </c>
      <c r="T65" s="33" t="n">
        <f aca="false">T64+(2/10)*(S65-T64)</f>
        <v>-0.0656586608801959</v>
      </c>
      <c r="U65" s="33" t="n">
        <f aca="false">S65-T65</f>
        <v>-0.100909280856662</v>
      </c>
      <c r="V65" s="32" t="str">
        <f aca="false">IF(M65="","",IF(M65&lt;Assumptions!$B$5,"BUY",IF(M65&gt;Assumptions!$B$4,"SELL","HOLD")))</f>
        <v>HOLD</v>
      </c>
      <c r="W65" s="32" t="str">
        <f aca="false">IF(O65="","",IF(E65&gt;O65,"BUY","SELL"))</f>
        <v>SELL</v>
      </c>
      <c r="X65" s="32" t="str">
        <f aca="false">IF(T65="","",IF(S65&gt;T65,"BUY","SELL"))</f>
        <v>SELL</v>
      </c>
      <c r="Y65" s="34" t="n">
        <f aca="false">IF(OR(V65="",W65="",X65=""),"",IFERROR(IF(V65="BUY",1,IF(V65="SELL",-1,0))+IF(W65="BUY",1,IF(W65="SELL",-1,0))+IF(X65="BUY",1,IF(X65="SELL",-1,0)),0))</f>
        <v>-2</v>
      </c>
      <c r="Z65" s="32" t="str">
        <f aca="false">IF(Y65="","",IF(Y65&gt;=2,"STRONG BUY",IF(Y65=1,"BUY",IF(Y65=0,"HOLD",IF(Y65=-1,"SELL","STRONG SELL")))))</f>
        <v>STRONG SELL</v>
      </c>
    </row>
    <row r="66" customFormat="false" ht="15" hidden="false" customHeight="false" outlineLevel="0" collapsed="false">
      <c r="A66" s="24" t="n">
        <v>45860</v>
      </c>
      <c r="B66" s="25" t="n">
        <v>41.97</v>
      </c>
      <c r="C66" s="25" t="n">
        <v>42.28</v>
      </c>
      <c r="D66" s="25" t="n">
        <v>41.94</v>
      </c>
      <c r="E66" s="25" t="n">
        <v>42.11</v>
      </c>
      <c r="F66" s="26" t="n">
        <v>53832984</v>
      </c>
      <c r="G66" s="27" t="n">
        <f aca="false">E66-E65</f>
        <v>1.67</v>
      </c>
      <c r="H66" s="28" t="n">
        <f aca="false">G66/E65</f>
        <v>0.0412957467853611</v>
      </c>
      <c r="I66" s="29" t="n">
        <f aca="false">MAX(G66,0)</f>
        <v>1.67</v>
      </c>
      <c r="J66" s="29" t="n">
        <f aca="false">MAX(-G66,0)</f>
        <v>0</v>
      </c>
      <c r="K66" s="29" t="n">
        <f aca="false">(K65*13+I66)/14</f>
        <v>0.264997945829255</v>
      </c>
      <c r="L66" s="29" t="n">
        <f aca="false">(L65*13+J66)/14</f>
        <v>0.233498067058539</v>
      </c>
      <c r="M66" s="31" t="n">
        <f aca="false">IF(L66=0,100,100-100/(1+K66/MAX(L66,0.000001)))</f>
        <v>53.1594915462048</v>
      </c>
      <c r="N66" s="30" t="n">
        <f aca="false">AVERAGE(E47:E66)</f>
        <v>41.611</v>
      </c>
      <c r="O66" s="30" t="n">
        <f aca="false">AVERAGE(E17:E66)</f>
        <v>41.9678</v>
      </c>
      <c r="Q66" s="30" t="n">
        <f aca="false">Q65+(2/13)*(E66-Q65)</f>
        <v>41.5565482655714</v>
      </c>
      <c r="R66" s="30" t="n">
        <f aca="false">R65+(2/27)*(E66-R65)</f>
        <v>41.6586005733614</v>
      </c>
      <c r="S66" s="33" t="n">
        <f aca="false">Q66-R66</f>
        <v>-0.102052307790018</v>
      </c>
      <c r="T66" s="33" t="n">
        <f aca="false">T65+(2/10)*(S66-T65)</f>
        <v>-0.0729373902621603</v>
      </c>
      <c r="U66" s="33" t="n">
        <f aca="false">S66-T66</f>
        <v>-0.0291149175278577</v>
      </c>
      <c r="V66" s="32" t="str">
        <f aca="false">IF(M66="","",IF(M66&lt;Assumptions!$B$5,"BUY",IF(M66&gt;Assumptions!$B$4,"SELL","HOLD")))</f>
        <v>HOLD</v>
      </c>
      <c r="W66" s="32" t="str">
        <f aca="false">IF(O66="","",IF(E66&gt;O66,"BUY","SELL"))</f>
        <v>BUY</v>
      </c>
      <c r="X66" s="32" t="str">
        <f aca="false">IF(T66="","",IF(S66&gt;T66,"BUY","SELL"))</f>
        <v>SELL</v>
      </c>
      <c r="Y66" s="34" t="n">
        <f aca="false">IF(OR(V66="",W66="",X66=""),"",IFERROR(IF(V66="BUY",1,IF(V66="SELL",-1,0))+IF(W66="BUY",1,IF(W66="SELL",-1,0))+IF(X66="BUY",1,IF(X66="SELL",-1,0)),0))</f>
        <v>0</v>
      </c>
      <c r="Z66" s="32" t="str">
        <f aca="false">IF(Y66="","",IF(Y66&gt;=2,"STRONG BUY",IF(Y66=1,"BUY",IF(Y66=0,"HOLD",IF(Y66=-1,"SELL","STRONG SELL")))))</f>
        <v>HOLD</v>
      </c>
    </row>
    <row r="67" customFormat="false" ht="15" hidden="false" customHeight="false" outlineLevel="0" collapsed="false">
      <c r="A67" s="24" t="n">
        <v>45861</v>
      </c>
      <c r="B67" s="25" t="n">
        <v>41.51</v>
      </c>
      <c r="C67" s="25" t="n">
        <v>41.64</v>
      </c>
      <c r="D67" s="25" t="n">
        <v>41.32</v>
      </c>
      <c r="E67" s="25" t="n">
        <v>41.48</v>
      </c>
      <c r="F67" s="26" t="n">
        <v>89327378</v>
      </c>
      <c r="G67" s="27" t="n">
        <f aca="false">E67-E66</f>
        <v>-0.630000000000003</v>
      </c>
      <c r="H67" s="28" t="n">
        <f aca="false">G67/E66</f>
        <v>-0.0149608169080979</v>
      </c>
      <c r="I67" s="29" t="n">
        <f aca="false">MAX(G67,0)</f>
        <v>0</v>
      </c>
      <c r="J67" s="29" t="n">
        <f aca="false">MAX(-G67,0)</f>
        <v>0.630000000000003</v>
      </c>
      <c r="K67" s="29" t="n">
        <f aca="false">(K66*13+I67)/14</f>
        <v>0.246069521127166</v>
      </c>
      <c r="L67" s="29" t="n">
        <f aca="false">(L66*13+J67)/14</f>
        <v>0.261819633697215</v>
      </c>
      <c r="M67" s="31" t="n">
        <f aca="false">IF(L67=0,100,100-100/(1+K67/MAX(L67,0.000001)))</f>
        <v>48.4494537419788</v>
      </c>
      <c r="N67" s="30" t="n">
        <f aca="false">AVERAGE(E48:E67)</f>
        <v>41.5035</v>
      </c>
      <c r="O67" s="30" t="n">
        <f aca="false">AVERAGE(E18:E67)</f>
        <v>42.0288</v>
      </c>
      <c r="Q67" s="30" t="n">
        <f aca="false">Q66+(2/13)*(E67-Q66)</f>
        <v>41.5447716093296</v>
      </c>
      <c r="R67" s="30" t="n">
        <f aca="false">R66+(2/27)*(E67-R66)</f>
        <v>41.6453709012606</v>
      </c>
      <c r="S67" s="33" t="n">
        <f aca="false">Q67-R67</f>
        <v>-0.100599291930926</v>
      </c>
      <c r="T67" s="33" t="n">
        <f aca="false">T66+(2/10)*(S67-T66)</f>
        <v>-0.0784697705959135</v>
      </c>
      <c r="U67" s="33" t="n">
        <f aca="false">S67-T67</f>
        <v>-0.0221295213350129</v>
      </c>
      <c r="V67" s="32" t="str">
        <f aca="false">IF(M67="","",IF(M67&lt;Assumptions!$B$5,"BUY",IF(M67&gt;Assumptions!$B$4,"SELL","HOLD")))</f>
        <v>HOLD</v>
      </c>
      <c r="W67" s="32" t="str">
        <f aca="false">IF(O67="","",IF(E67&gt;O67,"BUY","SELL"))</f>
        <v>SELL</v>
      </c>
      <c r="X67" s="32" t="str">
        <f aca="false">IF(T67="","",IF(S67&gt;T67,"BUY","SELL"))</f>
        <v>SELL</v>
      </c>
      <c r="Y67" s="34" t="n">
        <f aca="false">IF(OR(V67="",W67="",X67=""),"",IFERROR(IF(V67="BUY",1,IF(V67="SELL",-1,0))+IF(W67="BUY",1,IF(W67="SELL",-1,0))+IF(X67="BUY",1,IF(X67="SELL",-1,0)),0))</f>
        <v>-2</v>
      </c>
      <c r="Z67" s="32" t="str">
        <f aca="false">IF(Y67="","",IF(Y67&gt;=2,"STRONG BUY",IF(Y67=1,"BUY",IF(Y67=0,"HOLD",IF(Y67=-1,"SELL","STRONG SELL")))))</f>
        <v>STRONG SELL</v>
      </c>
    </row>
    <row r="68" customFormat="false" ht="15" hidden="false" customHeight="false" outlineLevel="0" collapsed="false">
      <c r="A68" s="24" t="n">
        <v>45862</v>
      </c>
      <c r="B68" s="25" t="n">
        <v>41.21</v>
      </c>
      <c r="C68" s="25" t="n">
        <v>41.51</v>
      </c>
      <c r="D68" s="25" t="n">
        <v>41.21</v>
      </c>
      <c r="E68" s="25" t="n">
        <v>41.36</v>
      </c>
      <c r="F68" s="26" t="n">
        <v>44921504</v>
      </c>
      <c r="G68" s="27" t="n">
        <f aca="false">E68-E67</f>
        <v>-0.119999999999997</v>
      </c>
      <c r="H68" s="28" t="n">
        <f aca="false">G68/E67</f>
        <v>-0.00289296046287361</v>
      </c>
      <c r="I68" s="29" t="n">
        <f aca="false">MAX(G68,0)</f>
        <v>0</v>
      </c>
      <c r="J68" s="29" t="n">
        <f aca="false">MAX(-G68,0)</f>
        <v>0.119999999999997</v>
      </c>
      <c r="K68" s="29" t="n">
        <f aca="false">(K67*13+I68)/14</f>
        <v>0.22849312676094</v>
      </c>
      <c r="L68" s="29" t="n">
        <f aca="false">(L67*13+J68)/14</f>
        <v>0.2516896598617</v>
      </c>
      <c r="M68" s="31" t="n">
        <f aca="false">IF(L68=0,100,100-100/(1+K68/MAX(L68,0.000001)))</f>
        <v>47.5846142607576</v>
      </c>
      <c r="N68" s="30" t="n">
        <f aca="false">AVERAGE(E49:E68)</f>
        <v>41.449</v>
      </c>
      <c r="O68" s="30" t="n">
        <f aca="false">AVERAGE(E19:E68)</f>
        <v>42.08</v>
      </c>
      <c r="Q68" s="30" t="n">
        <f aca="false">Q67+(2/13)*(E68-Q67)</f>
        <v>41.5163452078943</v>
      </c>
      <c r="R68" s="30" t="n">
        <f aca="false">R67+(2/27)*(E68-R67)</f>
        <v>41.624232315982</v>
      </c>
      <c r="S68" s="33" t="n">
        <f aca="false">Q68-R68</f>
        <v>-0.107887108087695</v>
      </c>
      <c r="T68" s="33" t="n">
        <f aca="false">T67+(2/10)*(S68-T67)</f>
        <v>-0.0843532380942698</v>
      </c>
      <c r="U68" s="33" t="n">
        <f aca="false">S68-T68</f>
        <v>-0.0235338699934252</v>
      </c>
      <c r="V68" s="32" t="str">
        <f aca="false">IF(M68="","",IF(M68&lt;Assumptions!$B$5,"BUY",IF(M68&gt;Assumptions!$B$4,"SELL","HOLD")))</f>
        <v>HOLD</v>
      </c>
      <c r="W68" s="32" t="str">
        <f aca="false">IF(O68="","",IF(E68&gt;O68,"BUY","SELL"))</f>
        <v>SELL</v>
      </c>
      <c r="X68" s="32" t="str">
        <f aca="false">IF(T68="","",IF(S68&gt;T68,"BUY","SELL"))</f>
        <v>SELL</v>
      </c>
      <c r="Y68" s="34" t="n">
        <f aca="false">IF(OR(V68="",W68="",X68=""),"",IFERROR(IF(V68="BUY",1,IF(V68="SELL",-1,0))+IF(W68="BUY",1,IF(W68="SELL",-1,0))+IF(X68="BUY",1,IF(X68="SELL",-1,0)),0))</f>
        <v>-2</v>
      </c>
      <c r="Z68" s="32" t="str">
        <f aca="false">IF(Y68="","",IF(Y68&gt;=2,"STRONG BUY",IF(Y68=1,"BUY",IF(Y68=0,"HOLD",IF(Y68=-1,"SELL","STRONG SELL")))))</f>
        <v>STRONG SELL</v>
      </c>
    </row>
    <row r="69" customFormat="false" ht="15" hidden="false" customHeight="false" outlineLevel="0" collapsed="false">
      <c r="A69" s="24" t="n">
        <v>45863</v>
      </c>
      <c r="B69" s="25" t="n">
        <v>41.13</v>
      </c>
      <c r="C69" s="25" t="n">
        <v>41.34</v>
      </c>
      <c r="D69" s="25" t="n">
        <v>40.98</v>
      </c>
      <c r="E69" s="25" t="n">
        <v>41.16</v>
      </c>
      <c r="F69" s="26" t="n">
        <v>50235653</v>
      </c>
      <c r="G69" s="27" t="n">
        <f aca="false">E69-E68</f>
        <v>-0.200000000000003</v>
      </c>
      <c r="H69" s="28" t="n">
        <f aca="false">G69/E68</f>
        <v>-0.00483558994197299</v>
      </c>
      <c r="I69" s="29" t="n">
        <f aca="false">MAX(G69,0)</f>
        <v>0</v>
      </c>
      <c r="J69" s="29" t="n">
        <f aca="false">MAX(-G69,0)</f>
        <v>0.200000000000003</v>
      </c>
      <c r="K69" s="29" t="n">
        <f aca="false">(K68*13+I69)/14</f>
        <v>0.212172189135158</v>
      </c>
      <c r="L69" s="29" t="n">
        <f aca="false">(L68*13+J69)/14</f>
        <v>0.24799754130015</v>
      </c>
      <c r="M69" s="31" t="n">
        <f aca="false">IF(L69=0,100,100-100/(1+K69/MAX(L69,0.000001)))</f>
        <v>46.1073762792805</v>
      </c>
      <c r="N69" s="30" t="n">
        <f aca="false">AVERAGE(E50:E69)</f>
        <v>41.4165</v>
      </c>
      <c r="O69" s="30" t="n">
        <f aca="false">AVERAGE(E20:E69)</f>
        <v>42.1204</v>
      </c>
      <c r="Q69" s="30" t="n">
        <f aca="false">Q68+(2/13)*(E69-Q68)</f>
        <v>41.4615228682183</v>
      </c>
      <c r="R69" s="30" t="n">
        <f aca="false">R68+(2/27)*(E69-R68)</f>
        <v>41.5898447370204</v>
      </c>
      <c r="S69" s="33" t="n">
        <f aca="false">Q69-R69</f>
        <v>-0.128321868802118</v>
      </c>
      <c r="T69" s="33" t="n">
        <f aca="false">T68+(2/10)*(S69-T68)</f>
        <v>-0.0931469642358395</v>
      </c>
      <c r="U69" s="33" t="n">
        <f aca="false">S69-T69</f>
        <v>-0.0351749045662785</v>
      </c>
      <c r="V69" s="32" t="str">
        <f aca="false">IF(M69="","",IF(M69&lt;Assumptions!$B$5,"BUY",IF(M69&gt;Assumptions!$B$4,"SELL","HOLD")))</f>
        <v>HOLD</v>
      </c>
      <c r="W69" s="32" t="str">
        <f aca="false">IF(O69="","",IF(E69&gt;O69,"BUY","SELL"))</f>
        <v>SELL</v>
      </c>
      <c r="X69" s="32" t="str">
        <f aca="false">IF(T69="","",IF(S69&gt;T69,"BUY","SELL"))</f>
        <v>SELL</v>
      </c>
      <c r="Y69" s="34" t="n">
        <f aca="false">IF(OR(V69="",W69="",X69=""),"",IFERROR(IF(V69="BUY",1,IF(V69="SELL",-1,0))+IF(W69="BUY",1,IF(W69="SELL",-1,0))+IF(X69="BUY",1,IF(X69="SELL",-1,0)),0))</f>
        <v>-2</v>
      </c>
      <c r="Z69" s="32" t="str">
        <f aca="false">IF(Y69="","",IF(Y69&gt;=2,"STRONG BUY",IF(Y69=1,"BUY",IF(Y69=0,"HOLD",IF(Y69=-1,"SELL","STRONG SELL")))))</f>
        <v>STRONG SELL</v>
      </c>
    </row>
    <row r="70" customFormat="false" ht="15" hidden="false" customHeight="false" outlineLevel="0" collapsed="false">
      <c r="A70" s="24" t="n">
        <v>45866</v>
      </c>
      <c r="B70" s="25" t="n">
        <v>40.84</v>
      </c>
      <c r="C70" s="25" t="n">
        <v>41.16</v>
      </c>
      <c r="D70" s="25" t="n">
        <v>40.84</v>
      </c>
      <c r="E70" s="25" t="n">
        <v>41</v>
      </c>
      <c r="F70" s="26" t="n">
        <v>73859596</v>
      </c>
      <c r="G70" s="27" t="n">
        <f aca="false">E70-E69</f>
        <v>-0.159999999999997</v>
      </c>
      <c r="H70" s="28" t="n">
        <f aca="false">G70/E69</f>
        <v>-0.00388726919339156</v>
      </c>
      <c r="I70" s="29" t="n">
        <f aca="false">MAX(G70,0)</f>
        <v>0</v>
      </c>
      <c r="J70" s="29" t="n">
        <f aca="false">MAX(-G70,0)</f>
        <v>0.159999999999997</v>
      </c>
      <c r="K70" s="29" t="n">
        <f aca="false">(K69*13+I70)/14</f>
        <v>0.197017032768361</v>
      </c>
      <c r="L70" s="29" t="n">
        <f aca="false">(L69*13+J70)/14</f>
        <v>0.241712002635853</v>
      </c>
      <c r="M70" s="31" t="n">
        <f aca="false">IF(L70=0,100,100-100/(1+K70/MAX(L70,0.000001)))</f>
        <v>44.9063127510682</v>
      </c>
      <c r="N70" s="30" t="n">
        <f aca="false">AVERAGE(E51:E70)</f>
        <v>41.38</v>
      </c>
      <c r="O70" s="30" t="n">
        <f aca="false">AVERAGE(E21:E70)</f>
        <v>42.1646</v>
      </c>
      <c r="Q70" s="30" t="n">
        <f aca="false">Q69+(2/13)*(E70-Q69)</f>
        <v>41.3905193500308</v>
      </c>
      <c r="R70" s="30" t="n">
        <f aca="false">R69+(2/27)*(E70-R69)</f>
        <v>41.5461525342781</v>
      </c>
      <c r="S70" s="33" t="n">
        <f aca="false">Q70-R70</f>
        <v>-0.155633184247293</v>
      </c>
      <c r="T70" s="33" t="n">
        <f aca="false">T69+(2/10)*(S70-T69)</f>
        <v>-0.10564420823813</v>
      </c>
      <c r="U70" s="33" t="n">
        <f aca="false">S70-T70</f>
        <v>-0.0499889760091627</v>
      </c>
      <c r="V70" s="32" t="str">
        <f aca="false">IF(M70="","",IF(M70&lt;Assumptions!$B$5,"BUY",IF(M70&gt;Assumptions!$B$4,"SELL","HOLD")))</f>
        <v>HOLD</v>
      </c>
      <c r="W70" s="32" t="str">
        <f aca="false">IF(O70="","",IF(E70&gt;O70,"BUY","SELL"))</f>
        <v>SELL</v>
      </c>
      <c r="X70" s="32" t="str">
        <f aca="false">IF(T70="","",IF(S70&gt;T70,"BUY","SELL"))</f>
        <v>SELL</v>
      </c>
      <c r="Y70" s="34" t="n">
        <f aca="false">IF(OR(V70="",W70="",X70=""),"",IFERROR(IF(V70="BUY",1,IF(V70="SELL",-1,0))+IF(W70="BUY",1,IF(W70="SELL",-1,0))+IF(X70="BUY",1,IF(X70="SELL",-1,0)),0))</f>
        <v>-2</v>
      </c>
      <c r="Z70" s="32" t="str">
        <f aca="false">IF(Y70="","",IF(Y70&gt;=2,"STRONG BUY",IF(Y70=1,"BUY",IF(Y70=0,"HOLD",IF(Y70=-1,"SELL","STRONG SELL")))))</f>
        <v>STRONG SELL</v>
      </c>
    </row>
    <row r="71" customFormat="false" ht="15" hidden="false" customHeight="false" outlineLevel="0" collapsed="false">
      <c r="A71" s="24" t="n">
        <v>45867</v>
      </c>
      <c r="B71" s="25" t="n">
        <v>40.56</v>
      </c>
      <c r="C71" s="25" t="n">
        <v>40.82</v>
      </c>
      <c r="D71" s="25" t="n">
        <v>40.52</v>
      </c>
      <c r="E71" s="25" t="n">
        <v>40.67</v>
      </c>
      <c r="F71" s="26" t="n">
        <v>61893868</v>
      </c>
      <c r="G71" s="27" t="n">
        <f aca="false">E71-E70</f>
        <v>-0.329999999999998</v>
      </c>
      <c r="H71" s="28" t="n">
        <f aca="false">G71/E70</f>
        <v>-0.00804878048780484</v>
      </c>
      <c r="I71" s="29" t="n">
        <f aca="false">MAX(G71,0)</f>
        <v>0</v>
      </c>
      <c r="J71" s="29" t="n">
        <f aca="false">MAX(-G71,0)</f>
        <v>0.329999999999998</v>
      </c>
      <c r="K71" s="29" t="n">
        <f aca="false">(K70*13+I71)/14</f>
        <v>0.182944387570621</v>
      </c>
      <c r="L71" s="29" t="n">
        <f aca="false">(L70*13+J71)/14</f>
        <v>0.248018288161864</v>
      </c>
      <c r="M71" s="31" t="n">
        <f aca="false">IF(L71=0,100,100-100/(1+K71/MAX(L71,0.000001)))</f>
        <v>42.4501697878314</v>
      </c>
      <c r="N71" s="30" t="n">
        <f aca="false">AVERAGE(E52:E71)</f>
        <v>41.3165</v>
      </c>
      <c r="O71" s="30" t="n">
        <f aca="false">AVERAGE(E22:E71)</f>
        <v>42.188</v>
      </c>
      <c r="Q71" s="30" t="n">
        <f aca="false">Q70+(2/13)*(E71-Q70)</f>
        <v>41.2796702192569</v>
      </c>
      <c r="R71" s="30" t="n">
        <f aca="false">R70+(2/27)*(E71-R70)</f>
        <v>41.4812523465538</v>
      </c>
      <c r="S71" s="33" t="n">
        <f aca="false">Q71-R71</f>
        <v>-0.201582127296959</v>
      </c>
      <c r="T71" s="33" t="n">
        <f aca="false">T70+(2/10)*(S71-T70)</f>
        <v>-0.124831792049896</v>
      </c>
      <c r="U71" s="33" t="n">
        <f aca="false">S71-T71</f>
        <v>-0.076750335247063</v>
      </c>
      <c r="V71" s="32" t="str">
        <f aca="false">IF(M71="","",IF(M71&lt;Assumptions!$B$5,"BUY",IF(M71&gt;Assumptions!$B$4,"SELL","HOLD")))</f>
        <v>HOLD</v>
      </c>
      <c r="W71" s="32" t="str">
        <f aca="false">IF(O71="","",IF(E71&gt;O71,"BUY","SELL"))</f>
        <v>SELL</v>
      </c>
      <c r="X71" s="32" t="str">
        <f aca="false">IF(T71="","",IF(S71&gt;T71,"BUY","SELL"))</f>
        <v>SELL</v>
      </c>
      <c r="Y71" s="34" t="n">
        <f aca="false">IF(OR(V71="",W71="",X71=""),"",IFERROR(IF(V71="BUY",1,IF(V71="SELL",-1,0))+IF(W71="BUY",1,IF(W71="SELL",-1,0))+IF(X71="BUY",1,IF(X71="SELL",-1,0)),0))</f>
        <v>-2</v>
      </c>
      <c r="Z71" s="32" t="str">
        <f aca="false">IF(Y71="","",IF(Y71&gt;=2,"STRONG BUY",IF(Y71=1,"BUY",IF(Y71=0,"HOLD",IF(Y71=-1,"SELL","STRONG SELL")))))</f>
        <v>STRONG SELL</v>
      </c>
    </row>
    <row r="72" customFormat="false" ht="15" hidden="false" customHeight="false" outlineLevel="0" collapsed="false">
      <c r="A72" s="24" t="n">
        <v>45868</v>
      </c>
      <c r="B72" s="25" t="n">
        <v>39.78</v>
      </c>
      <c r="C72" s="25" t="n">
        <v>39.78</v>
      </c>
      <c r="D72" s="25" t="n">
        <v>39.46</v>
      </c>
      <c r="E72" s="25" t="n">
        <v>39.62</v>
      </c>
      <c r="F72" s="26" t="n">
        <v>31532016</v>
      </c>
      <c r="G72" s="27" t="n">
        <f aca="false">E72-E71</f>
        <v>-1.05</v>
      </c>
      <c r="H72" s="28" t="n">
        <f aca="false">G72/E71</f>
        <v>-0.025817555938038</v>
      </c>
      <c r="I72" s="29" t="n">
        <f aca="false">MAX(G72,0)</f>
        <v>0</v>
      </c>
      <c r="J72" s="29" t="n">
        <f aca="false">MAX(-G72,0)</f>
        <v>1.05</v>
      </c>
      <c r="K72" s="29" t="n">
        <f aca="false">(K71*13+I72)/14</f>
        <v>0.169876931315577</v>
      </c>
      <c r="L72" s="29" t="n">
        <f aca="false">(L71*13+J72)/14</f>
        <v>0.305302696150302</v>
      </c>
      <c r="M72" s="31" t="n">
        <f aca="false">IF(L72=0,100,100-100/(1+K72/MAX(L72,0.000001)))</f>
        <v>35.7500451400929</v>
      </c>
      <c r="N72" s="30" t="n">
        <f aca="false">AVERAGE(E53:E72)</f>
        <v>41.2025</v>
      </c>
      <c r="O72" s="30" t="n">
        <f aca="false">AVERAGE(E23:E72)</f>
        <v>42.171</v>
      </c>
      <c r="Q72" s="30" t="n">
        <f aca="false">Q71+(2/13)*(E72-Q71)</f>
        <v>41.0243363393712</v>
      </c>
      <c r="R72" s="30" t="n">
        <f aca="false">R71+(2/27)*(E72-R71)</f>
        <v>41.3433818023647</v>
      </c>
      <c r="S72" s="33" t="n">
        <f aca="false">Q72-R72</f>
        <v>-0.319045462993458</v>
      </c>
      <c r="T72" s="33" t="n">
        <f aca="false">T71+(2/10)*(S72-T71)</f>
        <v>-0.163674526238608</v>
      </c>
      <c r="U72" s="33" t="n">
        <f aca="false">S72-T72</f>
        <v>-0.15537093675485</v>
      </c>
      <c r="V72" s="32" t="str">
        <f aca="false">IF(M72="","",IF(M72&lt;Assumptions!$B$5,"BUY",IF(M72&gt;Assumptions!$B$4,"SELL","HOLD")))</f>
        <v>HOLD</v>
      </c>
      <c r="W72" s="32" t="str">
        <f aca="false">IF(O72="","",IF(E72&gt;O72,"BUY","SELL"))</f>
        <v>SELL</v>
      </c>
      <c r="X72" s="32" t="str">
        <f aca="false">IF(T72="","",IF(S72&gt;T72,"BUY","SELL"))</f>
        <v>SELL</v>
      </c>
      <c r="Y72" s="34" t="n">
        <f aca="false">IF(OR(V72="",W72="",X72=""),"",IFERROR(IF(V72="BUY",1,IF(V72="SELL",-1,0))+IF(W72="BUY",1,IF(W72="SELL",-1,0))+IF(X72="BUY",1,IF(X72="SELL",-1,0)),0))</f>
        <v>-2</v>
      </c>
      <c r="Z72" s="32" t="str">
        <f aca="false">IF(Y72="","",IF(Y72&gt;=2,"STRONG BUY",IF(Y72=1,"BUY",IF(Y72=0,"HOLD",IF(Y72=-1,"SELL","STRONG SELL")))))</f>
        <v>STRONG SELL</v>
      </c>
    </row>
    <row r="73" customFormat="false" ht="15" hidden="false" customHeight="false" outlineLevel="0" collapsed="false">
      <c r="A73" s="24" t="n">
        <v>45869</v>
      </c>
      <c r="B73" s="25" t="n">
        <v>38.98</v>
      </c>
      <c r="C73" s="25" t="n">
        <v>39.25</v>
      </c>
      <c r="D73" s="25" t="n">
        <v>38.89</v>
      </c>
      <c r="E73" s="25" t="n">
        <v>39.07</v>
      </c>
      <c r="F73" s="26" t="n">
        <v>70213279</v>
      </c>
      <c r="G73" s="27" t="n">
        <f aca="false">E73-E72</f>
        <v>-0.549999999999997</v>
      </c>
      <c r="H73" s="28" t="n">
        <f aca="false">G73/E72</f>
        <v>-0.0138818778394749</v>
      </c>
      <c r="I73" s="29" t="n">
        <f aca="false">MAX(G73,0)</f>
        <v>0</v>
      </c>
      <c r="J73" s="29" t="n">
        <f aca="false">MAX(-G73,0)</f>
        <v>0.549999999999997</v>
      </c>
      <c r="K73" s="29" t="n">
        <f aca="false">(K72*13+I73)/14</f>
        <v>0.157742864793036</v>
      </c>
      <c r="L73" s="29" t="n">
        <f aca="false">(L72*13+J73)/14</f>
        <v>0.322781074996709</v>
      </c>
      <c r="M73" s="31" t="n">
        <f aca="false">IF(L73=0,100,100-100/(1+K73/MAX(L73,0.000001)))</f>
        <v>32.8272645192364</v>
      </c>
      <c r="N73" s="30" t="n">
        <f aca="false">AVERAGE(E54:E73)</f>
        <v>41.09</v>
      </c>
      <c r="O73" s="30" t="n">
        <f aca="false">AVERAGE(E24:E73)</f>
        <v>42.1202</v>
      </c>
      <c r="Q73" s="30" t="n">
        <f aca="false">Q72+(2/13)*(E73-Q72)</f>
        <v>40.7236692102372</v>
      </c>
      <c r="R73" s="30" t="n">
        <f aca="false">R72+(2/27)*(E73-R72)</f>
        <v>41.1749831503376</v>
      </c>
      <c r="S73" s="33" t="n">
        <f aca="false">Q73-R73</f>
        <v>-0.451313940100476</v>
      </c>
      <c r="T73" s="33" t="n">
        <f aca="false">T72+(2/10)*(S73-T72)</f>
        <v>-0.221202409010982</v>
      </c>
      <c r="U73" s="33" t="n">
        <f aca="false">S73-T73</f>
        <v>-0.230111531089495</v>
      </c>
      <c r="V73" s="32" t="str">
        <f aca="false">IF(M73="","",IF(M73&lt;Assumptions!$B$5,"BUY",IF(M73&gt;Assumptions!$B$4,"SELL","HOLD")))</f>
        <v>HOLD</v>
      </c>
      <c r="W73" s="32" t="str">
        <f aca="false">IF(O73="","",IF(E73&gt;O73,"BUY","SELL"))</f>
        <v>SELL</v>
      </c>
      <c r="X73" s="32" t="str">
        <f aca="false">IF(T73="","",IF(S73&gt;T73,"BUY","SELL"))</f>
        <v>SELL</v>
      </c>
      <c r="Y73" s="34" t="n">
        <f aca="false">IF(OR(V73="",W73="",X73=""),"",IFERROR(IF(V73="BUY",1,IF(V73="SELL",-1,0))+IF(W73="BUY",1,IF(W73="SELL",-1,0))+IF(X73="BUY",1,IF(X73="SELL",-1,0)),0))</f>
        <v>-2</v>
      </c>
      <c r="Z73" s="32" t="str">
        <f aca="false">IF(Y73="","",IF(Y73&gt;=2,"STRONG BUY",IF(Y73=1,"BUY",IF(Y73=0,"HOLD",IF(Y73=-1,"SELL","STRONG SELL")))))</f>
        <v>STRONG SELL</v>
      </c>
    </row>
    <row r="74" customFormat="false" ht="15" hidden="false" customHeight="false" outlineLevel="0" collapsed="false">
      <c r="A74" s="24" t="n">
        <v>45870</v>
      </c>
      <c r="B74" s="25" t="n">
        <v>38.28</v>
      </c>
      <c r="C74" s="25" t="n">
        <v>38.36</v>
      </c>
      <c r="D74" s="25" t="n">
        <v>38.28</v>
      </c>
      <c r="E74" s="25" t="n">
        <v>38.32</v>
      </c>
      <c r="F74" s="26" t="n">
        <v>50618694</v>
      </c>
      <c r="G74" s="27" t="n">
        <f aca="false">E74-E73</f>
        <v>-0.75</v>
      </c>
      <c r="H74" s="28" t="n">
        <f aca="false">G74/E73</f>
        <v>-0.0191963143076529</v>
      </c>
      <c r="I74" s="29" t="n">
        <f aca="false">MAX(G74,0)</f>
        <v>0</v>
      </c>
      <c r="J74" s="29" t="n">
        <f aca="false">MAX(-G74,0)</f>
        <v>0.75</v>
      </c>
      <c r="K74" s="29" t="n">
        <f aca="false">(K73*13+I74)/14</f>
        <v>0.146475517307819</v>
      </c>
      <c r="L74" s="29" t="n">
        <f aca="false">(L73*13+J74)/14</f>
        <v>0.353296712496944</v>
      </c>
      <c r="M74" s="31" t="n">
        <f aca="false">IF(L74=0,100,100-100/(1+K74/MAX(L74,0.000001)))</f>
        <v>29.3084546464376</v>
      </c>
      <c r="N74" s="30" t="n">
        <f aca="false">AVERAGE(E55:E74)</f>
        <v>40.936</v>
      </c>
      <c r="O74" s="30" t="n">
        <f aca="false">AVERAGE(E25:E74)</f>
        <v>42.054</v>
      </c>
      <c r="Q74" s="30" t="n">
        <f aca="false">Q73+(2/13)*(E74-Q73)</f>
        <v>40.3538739471238</v>
      </c>
      <c r="R74" s="30" t="n">
        <f aca="false">R73+(2/27)*(E74-R73)</f>
        <v>40.9635029169793</v>
      </c>
      <c r="S74" s="33" t="n">
        <f aca="false">Q74-R74</f>
        <v>-0.609628969855542</v>
      </c>
      <c r="T74" s="33" t="n">
        <f aca="false">T73+(2/10)*(S74-T73)</f>
        <v>-0.298887721179894</v>
      </c>
      <c r="U74" s="33" t="n">
        <f aca="false">S74-T74</f>
        <v>-0.310741248675648</v>
      </c>
      <c r="V74" s="32" t="str">
        <f aca="false">IF(M74="","",IF(M74&lt;Assumptions!$B$5,"BUY",IF(M74&gt;Assumptions!$B$4,"SELL","HOLD")))</f>
        <v>BUY</v>
      </c>
      <c r="W74" s="32" t="str">
        <f aca="false">IF(O74="","",IF(E74&gt;O74,"BUY","SELL"))</f>
        <v>SELL</v>
      </c>
      <c r="X74" s="32" t="str">
        <f aca="false">IF(T74="","",IF(S74&gt;T74,"BUY","SELL"))</f>
        <v>SELL</v>
      </c>
      <c r="Y74" s="34" t="n">
        <f aca="false">IF(OR(V74="",W74="",X74=""),"",IFERROR(IF(V74="BUY",1,IF(V74="SELL",-1,0))+IF(W74="BUY",1,IF(W74="SELL",-1,0))+IF(X74="BUY",1,IF(X74="SELL",-1,0)),0))</f>
        <v>-1</v>
      </c>
      <c r="Z74" s="32" t="str">
        <f aca="false">IF(Y74="","",IF(Y74&gt;=2,"STRONG BUY",IF(Y74=1,"BUY",IF(Y74=0,"HOLD",IF(Y74=-1,"SELL","STRONG SELL")))))</f>
        <v>SELL</v>
      </c>
    </row>
    <row r="75" customFormat="false" ht="15" hidden="false" customHeight="false" outlineLevel="0" collapsed="false">
      <c r="A75" s="24" t="n">
        <v>45873</v>
      </c>
      <c r="B75" s="25" t="n">
        <v>38.23</v>
      </c>
      <c r="C75" s="25" t="n">
        <v>38.67</v>
      </c>
      <c r="D75" s="25" t="n">
        <v>37.85</v>
      </c>
      <c r="E75" s="25" t="n">
        <v>38.26</v>
      </c>
      <c r="F75" s="26" t="n">
        <v>48981646</v>
      </c>
      <c r="G75" s="27" t="n">
        <f aca="false">E75-E74</f>
        <v>-0.0600000000000023</v>
      </c>
      <c r="H75" s="28" t="n">
        <f aca="false">G75/E74</f>
        <v>-0.00156576200417542</v>
      </c>
      <c r="I75" s="29" t="n">
        <f aca="false">MAX(G75,0)</f>
        <v>0</v>
      </c>
      <c r="J75" s="29" t="n">
        <f aca="false">MAX(-G75,0)</f>
        <v>0.0600000000000023</v>
      </c>
      <c r="K75" s="29" t="n">
        <f aca="false">(K74*13+I75)/14</f>
        <v>0.13601298035726</v>
      </c>
      <c r="L75" s="29" t="n">
        <f aca="false">(L74*13+J75)/14</f>
        <v>0.332346947318591</v>
      </c>
      <c r="M75" s="31" t="n">
        <f aca="false">IF(L75=0,100,100-100/(1+K75/MAX(L75,0.000001)))</f>
        <v>29.0402684602415</v>
      </c>
      <c r="N75" s="30" t="n">
        <f aca="false">AVERAGE(E56:E75)</f>
        <v>40.792</v>
      </c>
      <c r="O75" s="30" t="n">
        <f aca="false">AVERAGE(E26:E75)</f>
        <v>41.9828</v>
      </c>
      <c r="Q75" s="30" t="n">
        <f aca="false">Q74+(2/13)*(E75-Q74)</f>
        <v>40.0317394937201</v>
      </c>
      <c r="R75" s="30" t="n">
        <f aca="false">R74+(2/27)*(E75-R74)</f>
        <v>40.7632434416475</v>
      </c>
      <c r="S75" s="33" t="n">
        <f aca="false">Q75-R75</f>
        <v>-0.731503947927401</v>
      </c>
      <c r="T75" s="33" t="n">
        <f aca="false">T74+(2/10)*(S75-T74)</f>
        <v>-0.385410966529395</v>
      </c>
      <c r="U75" s="33" t="n">
        <f aca="false">S75-T75</f>
        <v>-0.346092981398005</v>
      </c>
      <c r="V75" s="32" t="str">
        <f aca="false">IF(M75="","",IF(M75&lt;Assumptions!$B$5,"BUY",IF(M75&gt;Assumptions!$B$4,"SELL","HOLD")))</f>
        <v>BUY</v>
      </c>
      <c r="W75" s="32" t="str">
        <f aca="false">IF(O75="","",IF(E75&gt;O75,"BUY","SELL"))</f>
        <v>SELL</v>
      </c>
      <c r="X75" s="32" t="str">
        <f aca="false">IF(T75="","",IF(S75&gt;T75,"BUY","SELL"))</f>
        <v>SELL</v>
      </c>
      <c r="Y75" s="34" t="n">
        <f aca="false">IF(OR(V75="",W75="",X75=""),"",IFERROR(IF(V75="BUY",1,IF(V75="SELL",-1,0))+IF(W75="BUY",1,IF(W75="SELL",-1,0))+IF(X75="BUY",1,IF(X75="SELL",-1,0)),0))</f>
        <v>-1</v>
      </c>
      <c r="Z75" s="32" t="str">
        <f aca="false">IF(Y75="","",IF(Y75&gt;=2,"STRONG BUY",IF(Y75=1,"BUY",IF(Y75=0,"HOLD",IF(Y75=-1,"SELL","STRONG SELL")))))</f>
        <v>SELL</v>
      </c>
    </row>
    <row r="76" customFormat="false" ht="15" hidden="false" customHeight="false" outlineLevel="0" collapsed="false">
      <c r="A76" s="24" t="n">
        <v>45874</v>
      </c>
      <c r="B76" s="25" t="n">
        <v>37.81</v>
      </c>
      <c r="C76" s="25" t="n">
        <v>37.99</v>
      </c>
      <c r="D76" s="25" t="n">
        <v>37.81</v>
      </c>
      <c r="E76" s="25" t="n">
        <v>37.9</v>
      </c>
      <c r="F76" s="26" t="n">
        <v>30474744</v>
      </c>
      <c r="G76" s="27" t="n">
        <f aca="false">E76-E75</f>
        <v>-0.359999999999999</v>
      </c>
      <c r="H76" s="28" t="n">
        <f aca="false">G76/E75</f>
        <v>-0.00940930475692628</v>
      </c>
      <c r="I76" s="29" t="n">
        <f aca="false">MAX(G76,0)</f>
        <v>0</v>
      </c>
      <c r="J76" s="29" t="n">
        <f aca="false">MAX(-G76,0)</f>
        <v>0.359999999999999</v>
      </c>
      <c r="K76" s="29" t="n">
        <f aca="false">(K75*13+I76)/14</f>
        <v>0.126297767474599</v>
      </c>
      <c r="L76" s="29" t="n">
        <f aca="false">(L75*13+J76)/14</f>
        <v>0.334322165367263</v>
      </c>
      <c r="M76" s="31" t="n">
        <f aca="false">IF(L76=0,100,100-100/(1+K76/MAX(L76,0.000001)))</f>
        <v>27.4190842535594</v>
      </c>
      <c r="N76" s="30" t="n">
        <f aca="false">AVERAGE(E57:E76)</f>
        <v>40.6605</v>
      </c>
      <c r="O76" s="30" t="n">
        <f aca="false">AVERAGE(E27:E76)</f>
        <v>41.8994</v>
      </c>
      <c r="Q76" s="30" t="n">
        <f aca="false">Q75+(2/13)*(E76-Q75)</f>
        <v>39.7037795716093</v>
      </c>
      <c r="R76" s="30" t="n">
        <f aca="false">R75+(2/27)*(E76-R75)</f>
        <v>40.5511513348588</v>
      </c>
      <c r="S76" s="33" t="n">
        <f aca="false">Q76-R76</f>
        <v>-0.847371763249484</v>
      </c>
      <c r="T76" s="33" t="n">
        <f aca="false">T75+(2/10)*(S76-T75)</f>
        <v>-0.477803125873413</v>
      </c>
      <c r="U76" s="33" t="n">
        <f aca="false">S76-T76</f>
        <v>-0.369568637376071</v>
      </c>
      <c r="V76" s="32" t="str">
        <f aca="false">IF(M76="","",IF(M76&lt;Assumptions!$B$5,"BUY",IF(M76&gt;Assumptions!$B$4,"SELL","HOLD")))</f>
        <v>BUY</v>
      </c>
      <c r="W76" s="32" t="str">
        <f aca="false">IF(O76="","",IF(E76&gt;O76,"BUY","SELL"))</f>
        <v>SELL</v>
      </c>
      <c r="X76" s="32" t="str">
        <f aca="false">IF(T76="","",IF(S76&gt;T76,"BUY","SELL"))</f>
        <v>SELL</v>
      </c>
      <c r="Y76" s="34" t="n">
        <f aca="false">IF(OR(V76="",W76="",X76=""),"",IFERROR(IF(V76="BUY",1,IF(V76="SELL",-1,0))+IF(W76="BUY",1,IF(W76="SELL",-1,0))+IF(X76="BUY",1,IF(X76="SELL",-1,0)),0))</f>
        <v>-1</v>
      </c>
      <c r="Z76" s="32" t="str">
        <f aca="false">IF(Y76="","",IF(Y76&gt;=2,"STRONG BUY",IF(Y76=1,"BUY",IF(Y76=0,"HOLD",IF(Y76=-1,"SELL","STRONG SELL")))))</f>
        <v>SELL</v>
      </c>
    </row>
    <row r="77" customFormat="false" ht="15" hidden="false" customHeight="false" outlineLevel="0" collapsed="false">
      <c r="A77" s="24" t="n">
        <v>45875</v>
      </c>
      <c r="B77" s="25" t="n">
        <v>37.5</v>
      </c>
      <c r="C77" s="25" t="n">
        <v>37.73</v>
      </c>
      <c r="D77" s="25" t="n">
        <v>37.35</v>
      </c>
      <c r="E77" s="25" t="n">
        <v>37.54</v>
      </c>
      <c r="F77" s="26" t="n">
        <v>72548746</v>
      </c>
      <c r="G77" s="27" t="n">
        <f aca="false">E77-E76</f>
        <v>-0.359999999999999</v>
      </c>
      <c r="H77" s="28" t="n">
        <f aca="false">G77/E76</f>
        <v>-0.00949868073878627</v>
      </c>
      <c r="I77" s="29" t="n">
        <f aca="false">MAX(G77,0)</f>
        <v>0</v>
      </c>
      <c r="J77" s="29" t="n">
        <f aca="false">MAX(-G77,0)</f>
        <v>0.359999999999999</v>
      </c>
      <c r="K77" s="29" t="n">
        <f aca="false">(K76*13+I77)/14</f>
        <v>0.11727649836927</v>
      </c>
      <c r="L77" s="29" t="n">
        <f aca="false">(L76*13+J77)/14</f>
        <v>0.336156296412458</v>
      </c>
      <c r="M77" s="31" t="n">
        <f aca="false">IF(L77=0,100,100-100/(1+K77/MAX(L77,0.000001)))</f>
        <v>25.864141217603</v>
      </c>
      <c r="N77" s="30" t="n">
        <f aca="false">AVERAGE(E58:E77)</f>
        <v>40.5015</v>
      </c>
      <c r="O77" s="30" t="n">
        <f aca="false">AVERAGE(E28:E77)</f>
        <v>41.8088</v>
      </c>
      <c r="Q77" s="30" t="n">
        <f aca="false">Q76+(2/13)*(E77-Q76)</f>
        <v>39.3708904067463</v>
      </c>
      <c r="R77" s="30" t="n">
        <f aca="false">R76+(2/27)*(E77-R76)</f>
        <v>40.3281030878322</v>
      </c>
      <c r="S77" s="33" t="n">
        <f aca="false">Q77-R77</f>
        <v>-0.957212681085878</v>
      </c>
      <c r="T77" s="33" t="n">
        <f aca="false">T76+(2/10)*(S77-T76)</f>
        <v>-0.573685036915906</v>
      </c>
      <c r="U77" s="33" t="n">
        <f aca="false">S77-T77</f>
        <v>-0.383527644169972</v>
      </c>
      <c r="V77" s="32" t="str">
        <f aca="false">IF(M77="","",IF(M77&lt;Assumptions!$B$5,"BUY",IF(M77&gt;Assumptions!$B$4,"SELL","HOLD")))</f>
        <v>BUY</v>
      </c>
      <c r="W77" s="32" t="str">
        <f aca="false">IF(O77="","",IF(E77&gt;O77,"BUY","SELL"))</f>
        <v>SELL</v>
      </c>
      <c r="X77" s="32" t="str">
        <f aca="false">IF(T77="","",IF(S77&gt;T77,"BUY","SELL"))</f>
        <v>SELL</v>
      </c>
      <c r="Y77" s="34" t="n">
        <f aca="false">IF(OR(V77="",W77="",X77=""),"",IFERROR(IF(V77="BUY",1,IF(V77="SELL",-1,0))+IF(W77="BUY",1,IF(W77="SELL",-1,0))+IF(X77="BUY",1,IF(X77="SELL",-1,0)),0))</f>
        <v>-1</v>
      </c>
      <c r="Z77" s="32" t="str">
        <f aca="false">IF(Y77="","",IF(Y77&gt;=2,"STRONG BUY",IF(Y77=1,"BUY",IF(Y77=0,"HOLD",IF(Y77=-1,"SELL","STRONG SELL")))))</f>
        <v>SELL</v>
      </c>
    </row>
    <row r="78" customFormat="false" ht="15" hidden="false" customHeight="false" outlineLevel="0" collapsed="false">
      <c r="A78" s="24" t="n">
        <v>45876</v>
      </c>
      <c r="B78" s="25" t="n">
        <v>37.59</v>
      </c>
      <c r="C78" s="25" t="n">
        <v>37.82</v>
      </c>
      <c r="D78" s="25" t="n">
        <v>37.5</v>
      </c>
      <c r="E78" s="25" t="n">
        <v>37.66</v>
      </c>
      <c r="F78" s="26" t="n">
        <v>72292859</v>
      </c>
      <c r="G78" s="27" t="n">
        <f aca="false">E78-E77</f>
        <v>0.119999999999997</v>
      </c>
      <c r="H78" s="28" t="n">
        <f aca="false">G78/E77</f>
        <v>0.00319659030367601</v>
      </c>
      <c r="I78" s="29" t="n">
        <f aca="false">MAX(G78,0)</f>
        <v>0.119999999999997</v>
      </c>
      <c r="J78" s="29" t="n">
        <f aca="false">MAX(-G78,0)</f>
        <v>0</v>
      </c>
      <c r="K78" s="29" t="n">
        <f aca="false">(K77*13+I78)/14</f>
        <v>0.117471034200037</v>
      </c>
      <c r="L78" s="29" t="n">
        <f aca="false">(L77*13+J78)/14</f>
        <v>0.312145132382997</v>
      </c>
      <c r="M78" s="31" t="n">
        <f aca="false">IF(L78=0,100,100-100/(1+K78/MAX(L78,0.000001)))</f>
        <v>27.3432527305353</v>
      </c>
      <c r="N78" s="30" t="n">
        <f aca="false">AVERAGE(E59:E78)</f>
        <v>40.3545</v>
      </c>
      <c r="O78" s="30" t="n">
        <f aca="false">AVERAGE(E29:E78)</f>
        <v>41.7132</v>
      </c>
      <c r="Q78" s="30" t="n">
        <f aca="false">Q77+(2/13)*(E78-Q77)</f>
        <v>39.1076764980161</v>
      </c>
      <c r="R78" s="30" t="n">
        <f aca="false">R77+(2/27)*(E78-R77)</f>
        <v>40.1304658220669</v>
      </c>
      <c r="S78" s="33" t="n">
        <f aca="false">Q78-R78</f>
        <v>-1.02278932405073</v>
      </c>
      <c r="T78" s="33" t="n">
        <f aca="false">T77+(2/10)*(S78-T77)</f>
        <v>-0.663505894342872</v>
      </c>
      <c r="U78" s="33" t="n">
        <f aca="false">S78-T78</f>
        <v>-0.359283429707863</v>
      </c>
      <c r="V78" s="32" t="str">
        <f aca="false">IF(M78="","",IF(M78&lt;Assumptions!$B$5,"BUY",IF(M78&gt;Assumptions!$B$4,"SELL","HOLD")))</f>
        <v>BUY</v>
      </c>
      <c r="W78" s="32" t="str">
        <f aca="false">IF(O78="","",IF(E78&gt;O78,"BUY","SELL"))</f>
        <v>SELL</v>
      </c>
      <c r="X78" s="32" t="str">
        <f aca="false">IF(T78="","",IF(S78&gt;T78,"BUY","SELL"))</f>
        <v>SELL</v>
      </c>
      <c r="Y78" s="34" t="n">
        <f aca="false">IF(OR(V78="",W78="",X78=""),"",IFERROR(IF(V78="BUY",1,IF(V78="SELL",-1,0))+IF(W78="BUY",1,IF(W78="SELL",-1,0))+IF(X78="BUY",1,IF(X78="SELL",-1,0)),0))</f>
        <v>-1</v>
      </c>
      <c r="Z78" s="32" t="str">
        <f aca="false">IF(Y78="","",IF(Y78&gt;=2,"STRONG BUY",IF(Y78=1,"BUY",IF(Y78=0,"HOLD",IF(Y78=-1,"SELL","STRONG SELL")))))</f>
        <v>SELL</v>
      </c>
    </row>
    <row r="79" customFormat="false" ht="15" hidden="false" customHeight="false" outlineLevel="0" collapsed="false">
      <c r="A79" s="24" t="n">
        <v>45877</v>
      </c>
      <c r="B79" s="25" t="n">
        <v>37.46</v>
      </c>
      <c r="C79" s="25" t="n">
        <v>37.67</v>
      </c>
      <c r="D79" s="25" t="n">
        <v>37.05</v>
      </c>
      <c r="E79" s="25" t="n">
        <v>37.36</v>
      </c>
      <c r="F79" s="26" t="n">
        <v>46933392</v>
      </c>
      <c r="G79" s="27" t="n">
        <f aca="false">E79-E78</f>
        <v>-0.299999999999997</v>
      </c>
      <c r="H79" s="28" t="n">
        <f aca="false">G79/E78</f>
        <v>-0.00796601168348373</v>
      </c>
      <c r="I79" s="29" t="n">
        <f aca="false">MAX(G79,0)</f>
        <v>0</v>
      </c>
      <c r="J79" s="29" t="n">
        <f aca="false">MAX(-G79,0)</f>
        <v>0.299999999999997</v>
      </c>
      <c r="K79" s="29" t="n">
        <f aca="false">(K78*13+I79)/14</f>
        <v>0.109080246042891</v>
      </c>
      <c r="L79" s="29" t="n">
        <f aca="false">(L78*13+J79)/14</f>
        <v>0.311277622927069</v>
      </c>
      <c r="M79" s="31" t="n">
        <f aca="false">IF(L79=0,100,100-100/(1+K79/MAX(L79,0.000001)))</f>
        <v>25.9493764944094</v>
      </c>
      <c r="N79" s="30" t="n">
        <f aca="false">AVERAGE(E60:E79)</f>
        <v>40.158</v>
      </c>
      <c r="O79" s="30" t="n">
        <f aca="false">AVERAGE(E30:E79)</f>
        <v>41.613</v>
      </c>
      <c r="Q79" s="30" t="n">
        <f aca="false">Q78+(2/13)*(E79-Q78)</f>
        <v>38.838803190629</v>
      </c>
      <c r="R79" s="30" t="n">
        <f aca="false">R78+(2/27)*(E79-R78)</f>
        <v>39.9252461315434</v>
      </c>
      <c r="S79" s="33" t="n">
        <f aca="false">Q79-R79</f>
        <v>-1.08644294091436</v>
      </c>
      <c r="T79" s="33" t="n">
        <f aca="false">T78+(2/10)*(S79-T78)</f>
        <v>-0.748093303657169</v>
      </c>
      <c r="U79" s="33" t="n">
        <f aca="false">S79-T79</f>
        <v>-0.33834963725719</v>
      </c>
      <c r="V79" s="32" t="str">
        <f aca="false">IF(M79="","",IF(M79&lt;Assumptions!$B$5,"BUY",IF(M79&gt;Assumptions!$B$4,"SELL","HOLD")))</f>
        <v>BUY</v>
      </c>
      <c r="W79" s="32" t="str">
        <f aca="false">IF(O79="","",IF(E79&gt;O79,"BUY","SELL"))</f>
        <v>SELL</v>
      </c>
      <c r="X79" s="32" t="str">
        <f aca="false">IF(T79="","",IF(S79&gt;T79,"BUY","SELL"))</f>
        <v>SELL</v>
      </c>
      <c r="Y79" s="34" t="n">
        <f aca="false">IF(OR(V79="",W79="",X79=""),"",IFERROR(IF(V79="BUY",1,IF(V79="SELL",-1,0))+IF(W79="BUY",1,IF(W79="SELL",-1,0))+IF(X79="BUY",1,IF(X79="SELL",-1,0)),0))</f>
        <v>-1</v>
      </c>
      <c r="Z79" s="32" t="str">
        <f aca="false">IF(Y79="","",IF(Y79&gt;=2,"STRONG BUY",IF(Y79=1,"BUY",IF(Y79=0,"HOLD",IF(Y79=-1,"SELL","STRONG SELL")))))</f>
        <v>SELL</v>
      </c>
    </row>
    <row r="80" customFormat="false" ht="15" hidden="false" customHeight="false" outlineLevel="0" collapsed="false">
      <c r="A80" s="24" t="n">
        <v>45880</v>
      </c>
      <c r="B80" s="25" t="n">
        <v>37.9</v>
      </c>
      <c r="C80" s="25" t="n">
        <v>37.9</v>
      </c>
      <c r="D80" s="25" t="n">
        <v>37.8</v>
      </c>
      <c r="E80" s="25" t="n">
        <v>37.85</v>
      </c>
      <c r="F80" s="26" t="n">
        <v>38107437</v>
      </c>
      <c r="G80" s="27" t="n">
        <f aca="false">E80-E79</f>
        <v>0.490000000000002</v>
      </c>
      <c r="H80" s="28" t="n">
        <f aca="false">G80/E79</f>
        <v>0.0131156316916489</v>
      </c>
      <c r="I80" s="29" t="n">
        <f aca="false">MAX(G80,0)</f>
        <v>0.490000000000002</v>
      </c>
      <c r="J80" s="29" t="n">
        <f aca="false">MAX(-G80,0)</f>
        <v>0</v>
      </c>
      <c r="K80" s="29" t="n">
        <f aca="false">(K79*13+I80)/14</f>
        <v>0.13628879989697</v>
      </c>
      <c r="L80" s="29" t="n">
        <f aca="false">(L79*13+J80)/14</f>
        <v>0.289043507003707</v>
      </c>
      <c r="M80" s="31" t="n">
        <f aca="false">IF(L80=0,100,100-100/(1+K80/MAX(L80,0.000001)))</f>
        <v>32.0428986196895</v>
      </c>
      <c r="N80" s="30" t="n">
        <f aca="false">AVERAGE(E61:E80)</f>
        <v>39.9665</v>
      </c>
      <c r="O80" s="30" t="n">
        <f aca="false">AVERAGE(E31:E80)</f>
        <v>41.5248</v>
      </c>
      <c r="Q80" s="30" t="n">
        <f aca="false">Q79+(2/13)*(E80-Q79)</f>
        <v>38.68667962284</v>
      </c>
      <c r="R80" s="30" t="n">
        <f aca="false">R79+(2/27)*(E80-R79)</f>
        <v>39.7715241958735</v>
      </c>
      <c r="S80" s="33" t="n">
        <f aca="false">Q80-R80</f>
        <v>-1.08484457303356</v>
      </c>
      <c r="T80" s="33" t="n">
        <f aca="false">T79+(2/10)*(S80-T79)</f>
        <v>-0.815443557532448</v>
      </c>
      <c r="U80" s="33" t="n">
        <f aca="false">S80-T80</f>
        <v>-0.269401015501116</v>
      </c>
      <c r="V80" s="32" t="str">
        <f aca="false">IF(M80="","",IF(M80&lt;Assumptions!$B$5,"BUY",IF(M80&gt;Assumptions!$B$4,"SELL","HOLD")))</f>
        <v>HOLD</v>
      </c>
      <c r="W80" s="32" t="str">
        <f aca="false">IF(O80="","",IF(E80&gt;O80,"BUY","SELL"))</f>
        <v>SELL</v>
      </c>
      <c r="X80" s="32" t="str">
        <f aca="false">IF(T80="","",IF(S80&gt;T80,"BUY","SELL"))</f>
        <v>SELL</v>
      </c>
      <c r="Y80" s="34" t="n">
        <f aca="false">IF(OR(V80="",W80="",X80=""),"",IFERROR(IF(V80="BUY",1,IF(V80="SELL",-1,0))+IF(W80="BUY",1,IF(W80="SELL",-1,0))+IF(X80="BUY",1,IF(X80="SELL",-1,0)),0))</f>
        <v>-2</v>
      </c>
      <c r="Z80" s="32" t="str">
        <f aca="false">IF(Y80="","",IF(Y80&gt;=2,"STRONG BUY",IF(Y80=1,"BUY",IF(Y80=0,"HOLD",IF(Y80=-1,"SELL","STRONG SELL")))))</f>
        <v>STRONG SELL</v>
      </c>
    </row>
    <row r="81" customFormat="false" ht="15" hidden="false" customHeight="false" outlineLevel="0" collapsed="false">
      <c r="A81" s="24" t="n">
        <v>45881</v>
      </c>
      <c r="B81" s="25" t="n">
        <v>37.65</v>
      </c>
      <c r="C81" s="25" t="n">
        <v>37.83</v>
      </c>
      <c r="D81" s="25" t="n">
        <v>37.47</v>
      </c>
      <c r="E81" s="25" t="n">
        <v>37.65</v>
      </c>
      <c r="F81" s="26" t="n">
        <v>92206480</v>
      </c>
      <c r="G81" s="27" t="n">
        <f aca="false">E81-E80</f>
        <v>-0.200000000000003</v>
      </c>
      <c r="H81" s="28" t="n">
        <f aca="false">G81/E80</f>
        <v>-0.00528401585204763</v>
      </c>
      <c r="I81" s="29" t="n">
        <f aca="false">MAX(G81,0)</f>
        <v>0</v>
      </c>
      <c r="J81" s="29" t="n">
        <f aca="false">MAX(-G81,0)</f>
        <v>0.200000000000003</v>
      </c>
      <c r="K81" s="29" t="n">
        <f aca="false">(K80*13+I81)/14</f>
        <v>0.126553885618615</v>
      </c>
      <c r="L81" s="29" t="n">
        <f aca="false">(L80*13+J81)/14</f>
        <v>0.282683256503442</v>
      </c>
      <c r="M81" s="31" t="n">
        <f aca="false">IF(L81=0,100,100-100/(1+K81/MAX(L81,0.000001)))</f>
        <v>30.9243400934683</v>
      </c>
      <c r="N81" s="30" t="n">
        <f aca="false">AVERAGE(E62:E81)</f>
        <v>39.743</v>
      </c>
      <c r="O81" s="30" t="n">
        <f aca="false">AVERAGE(E32:E81)</f>
        <v>41.4114</v>
      </c>
      <c r="Q81" s="30" t="n">
        <f aca="false">Q80+(2/13)*(E81-Q80)</f>
        <v>38.5271904500954</v>
      </c>
      <c r="R81" s="30" t="n">
        <f aca="false">R80+(2/27)*(E81-R80)</f>
        <v>39.6143742554384</v>
      </c>
      <c r="S81" s="33" t="n">
        <f aca="false">Q81-R81</f>
        <v>-1.08718380534309</v>
      </c>
      <c r="T81" s="33" t="n">
        <f aca="false">T80+(2/10)*(S81-T80)</f>
        <v>-0.869791607094578</v>
      </c>
      <c r="U81" s="33" t="n">
        <f aca="false">S81-T81</f>
        <v>-0.217392198248517</v>
      </c>
      <c r="V81" s="32" t="str">
        <f aca="false">IF(M81="","",IF(M81&lt;Assumptions!$B$5,"BUY",IF(M81&gt;Assumptions!$B$4,"SELL","HOLD")))</f>
        <v>HOLD</v>
      </c>
      <c r="W81" s="32" t="str">
        <f aca="false">IF(O81="","",IF(E81&gt;O81,"BUY","SELL"))</f>
        <v>SELL</v>
      </c>
      <c r="X81" s="32" t="str">
        <f aca="false">IF(T81="","",IF(S81&gt;T81,"BUY","SELL"))</f>
        <v>SELL</v>
      </c>
      <c r="Y81" s="34" t="n">
        <f aca="false">IF(OR(V81="",W81="",X81=""),"",IFERROR(IF(V81="BUY",1,IF(V81="SELL",-1,0))+IF(W81="BUY",1,IF(W81="SELL",-1,0))+IF(X81="BUY",1,IF(X81="SELL",-1,0)),0))</f>
        <v>-2</v>
      </c>
      <c r="Z81" s="32" t="str">
        <f aca="false">IF(Y81="","",IF(Y81&gt;=2,"STRONG BUY",IF(Y81=1,"BUY",IF(Y81=0,"HOLD",IF(Y81=-1,"SELL","STRONG SELL")))))</f>
        <v>STRONG SELL</v>
      </c>
    </row>
    <row r="82" customFormat="false" ht="15" hidden="false" customHeight="false" outlineLevel="0" collapsed="false">
      <c r="A82" s="24" t="n">
        <v>45882</v>
      </c>
      <c r="B82" s="25" t="n">
        <v>37.84</v>
      </c>
      <c r="C82" s="25" t="n">
        <v>37.84</v>
      </c>
      <c r="D82" s="25" t="n">
        <v>37.7</v>
      </c>
      <c r="E82" s="25" t="n">
        <v>37.77</v>
      </c>
      <c r="F82" s="26" t="n">
        <v>61324082</v>
      </c>
      <c r="G82" s="27" t="n">
        <f aca="false">E82-E81</f>
        <v>0.120000000000005</v>
      </c>
      <c r="H82" s="28" t="n">
        <f aca="false">G82/E81</f>
        <v>0.00318725099601606</v>
      </c>
      <c r="I82" s="29" t="n">
        <f aca="false">MAX(G82,0)</f>
        <v>0.120000000000005</v>
      </c>
      <c r="J82" s="29" t="n">
        <f aca="false">MAX(-G82,0)</f>
        <v>0</v>
      </c>
      <c r="K82" s="29" t="n">
        <f aca="false">(K81*13+I82)/14</f>
        <v>0.126085750931572</v>
      </c>
      <c r="L82" s="29" t="n">
        <f aca="false">(L81*13+J82)/14</f>
        <v>0.262491595324625</v>
      </c>
      <c r="M82" s="31" t="n">
        <f aca="false">IF(L82=0,100,100-100/(1+K82/MAX(L82,0.000001)))</f>
        <v>32.4480446805154</v>
      </c>
      <c r="N82" s="30" t="n">
        <f aca="false">AVERAGE(E63:E82)</f>
        <v>39.516</v>
      </c>
      <c r="O82" s="30" t="n">
        <f aca="false">AVERAGE(E33:E82)</f>
        <v>41.2984</v>
      </c>
      <c r="Q82" s="30" t="n">
        <f aca="false">Q81+(2/13)*(E82-Q81)</f>
        <v>38.4106996116191</v>
      </c>
      <c r="R82" s="30" t="n">
        <f aca="false">R81+(2/27)*(E82-R81)</f>
        <v>39.4777539402208</v>
      </c>
      <c r="S82" s="33" t="n">
        <f aca="false">Q82-R82</f>
        <v>-1.06705432860164</v>
      </c>
      <c r="T82" s="33" t="n">
        <f aca="false">T81+(2/10)*(S82-T81)</f>
        <v>-0.909244151395991</v>
      </c>
      <c r="U82" s="33" t="n">
        <f aca="false">S82-T82</f>
        <v>-0.157810177205652</v>
      </c>
      <c r="V82" s="32" t="str">
        <f aca="false">IF(M82="","",IF(M82&lt;Assumptions!$B$5,"BUY",IF(M82&gt;Assumptions!$B$4,"SELL","HOLD")))</f>
        <v>HOLD</v>
      </c>
      <c r="W82" s="32" t="str">
        <f aca="false">IF(O82="","",IF(E82&gt;O82,"BUY","SELL"))</f>
        <v>SELL</v>
      </c>
      <c r="X82" s="32" t="str">
        <f aca="false">IF(T82="","",IF(S82&gt;T82,"BUY","SELL"))</f>
        <v>SELL</v>
      </c>
      <c r="Y82" s="34" t="n">
        <f aca="false">IF(OR(V82="",W82="",X82=""),"",IFERROR(IF(V82="BUY",1,IF(V82="SELL",-1,0))+IF(W82="BUY",1,IF(W82="SELL",-1,0))+IF(X82="BUY",1,IF(X82="SELL",-1,0)),0))</f>
        <v>-2</v>
      </c>
      <c r="Z82" s="32" t="str">
        <f aca="false">IF(Y82="","",IF(Y82&gt;=2,"STRONG BUY",IF(Y82=1,"BUY",IF(Y82=0,"HOLD",IF(Y82=-1,"SELL","STRONG SELL")))))</f>
        <v>STRONG SELL</v>
      </c>
    </row>
    <row r="83" customFormat="false" ht="15" hidden="false" customHeight="false" outlineLevel="0" collapsed="false">
      <c r="A83" s="24" t="n">
        <v>45883</v>
      </c>
      <c r="B83" s="25" t="n">
        <v>37.28</v>
      </c>
      <c r="C83" s="25" t="n">
        <v>37.34</v>
      </c>
      <c r="D83" s="25" t="n">
        <v>36.82</v>
      </c>
      <c r="E83" s="25" t="n">
        <v>37.08</v>
      </c>
      <c r="F83" s="26" t="n">
        <v>31442810</v>
      </c>
      <c r="G83" s="27" t="n">
        <f aca="false">E83-E82</f>
        <v>-0.690000000000005</v>
      </c>
      <c r="H83" s="28" t="n">
        <f aca="false">G83/E82</f>
        <v>-0.0182684670373313</v>
      </c>
      <c r="I83" s="29" t="n">
        <f aca="false">MAX(G83,0)</f>
        <v>0</v>
      </c>
      <c r="J83" s="29" t="n">
        <f aca="false">MAX(-G83,0)</f>
        <v>0.690000000000005</v>
      </c>
      <c r="K83" s="29" t="n">
        <f aca="false">(K82*13+I83)/14</f>
        <v>0.117079625865031</v>
      </c>
      <c r="L83" s="29" t="n">
        <f aca="false">(L82*13+J83)/14</f>
        <v>0.293027909944295</v>
      </c>
      <c r="M83" s="31" t="n">
        <f aca="false">IF(L83=0,100,100-100/(1+K83/MAX(L83,0.000001)))</f>
        <v>28.5485185328235</v>
      </c>
      <c r="N83" s="30" t="n">
        <f aca="false">AVERAGE(E64:E83)</f>
        <v>39.279</v>
      </c>
      <c r="O83" s="30" t="n">
        <f aca="false">AVERAGE(E34:E83)</f>
        <v>41.1706</v>
      </c>
      <c r="Q83" s="30" t="n">
        <f aca="false">Q82+(2/13)*(E83-Q82)</f>
        <v>38.205976594447</v>
      </c>
      <c r="R83" s="30" t="n">
        <f aca="false">R82+(2/27)*(E83-R82)</f>
        <v>39.3001425372415</v>
      </c>
      <c r="S83" s="33" t="n">
        <f aca="false">Q83-R83</f>
        <v>-1.0941659427945</v>
      </c>
      <c r="T83" s="33" t="n">
        <f aca="false">T82+(2/10)*(S83-T82)</f>
        <v>-0.946228509675693</v>
      </c>
      <c r="U83" s="33" t="n">
        <f aca="false">S83-T83</f>
        <v>-0.147937433118811</v>
      </c>
      <c r="V83" s="32" t="str">
        <f aca="false">IF(M83="","",IF(M83&lt;Assumptions!$B$5,"BUY",IF(M83&gt;Assumptions!$B$4,"SELL","HOLD")))</f>
        <v>BUY</v>
      </c>
      <c r="W83" s="32" t="str">
        <f aca="false">IF(O83="","",IF(E83&gt;O83,"BUY","SELL"))</f>
        <v>SELL</v>
      </c>
      <c r="X83" s="32" t="str">
        <f aca="false">IF(T83="","",IF(S83&gt;T83,"BUY","SELL"))</f>
        <v>SELL</v>
      </c>
      <c r="Y83" s="34" t="n">
        <f aca="false">IF(OR(V83="",W83="",X83=""),"",IFERROR(IF(V83="BUY",1,IF(V83="SELL",-1,0))+IF(W83="BUY",1,IF(W83="SELL",-1,0))+IF(X83="BUY",1,IF(X83="SELL",-1,0)),0))</f>
        <v>-1</v>
      </c>
      <c r="Z83" s="32" t="str">
        <f aca="false">IF(Y83="","",IF(Y83&gt;=2,"STRONG BUY",IF(Y83=1,"BUY",IF(Y83=0,"HOLD",IF(Y83=-1,"SELL","STRONG SELL")))))</f>
        <v>SELL</v>
      </c>
    </row>
    <row r="84" customFormat="false" ht="15" hidden="false" customHeight="false" outlineLevel="0" collapsed="false">
      <c r="A84" s="24" t="n">
        <v>45884</v>
      </c>
      <c r="B84" s="25" t="n">
        <v>37.56</v>
      </c>
      <c r="C84" s="25" t="n">
        <v>37.93</v>
      </c>
      <c r="D84" s="25" t="n">
        <v>36.93</v>
      </c>
      <c r="E84" s="25" t="n">
        <v>37.43</v>
      </c>
      <c r="F84" s="26" t="n">
        <v>68706684</v>
      </c>
      <c r="G84" s="27" t="n">
        <f aca="false">E84-E83</f>
        <v>0.350000000000001</v>
      </c>
      <c r="H84" s="28" t="n">
        <f aca="false">G84/E83</f>
        <v>0.00943905070118666</v>
      </c>
      <c r="I84" s="29" t="n">
        <f aca="false">MAX(G84,0)</f>
        <v>0.350000000000001</v>
      </c>
      <c r="J84" s="29" t="n">
        <f aca="false">MAX(-G84,0)</f>
        <v>0</v>
      </c>
      <c r="K84" s="29" t="n">
        <f aca="false">(K83*13+I84)/14</f>
        <v>0.1337167954461</v>
      </c>
      <c r="L84" s="29" t="n">
        <f aca="false">(L83*13+J84)/14</f>
        <v>0.272097344948274</v>
      </c>
      <c r="M84" s="31" t="n">
        <f aca="false">IF(L84=0,100,100-100/(1+K84/MAX(L84,0.000001)))</f>
        <v>32.9502553351525</v>
      </c>
      <c r="N84" s="30" t="n">
        <f aca="false">AVERAGE(E65:E84)</f>
        <v>39.0865</v>
      </c>
      <c r="O84" s="30" t="n">
        <f aca="false">AVERAGE(E35:E84)</f>
        <v>41.039</v>
      </c>
      <c r="Q84" s="30" t="n">
        <f aca="false">Q83+(2/13)*(E84-Q83)</f>
        <v>38.0865955799167</v>
      </c>
      <c r="R84" s="30" t="n">
        <f aca="false">R83+(2/27)*(E84-R83)</f>
        <v>39.1616134604088</v>
      </c>
      <c r="S84" s="33" t="n">
        <f aca="false">Q84-R84</f>
        <v>-1.07501788049211</v>
      </c>
      <c r="T84" s="33" t="n">
        <f aca="false">T83+(2/10)*(S84-T83)</f>
        <v>-0.971986383838976</v>
      </c>
      <c r="U84" s="33" t="n">
        <f aca="false">S84-T84</f>
        <v>-0.103031496653129</v>
      </c>
      <c r="V84" s="32" t="str">
        <f aca="false">IF(M84="","",IF(M84&lt;Assumptions!$B$5,"BUY",IF(M84&gt;Assumptions!$B$4,"SELL","HOLD")))</f>
        <v>HOLD</v>
      </c>
      <c r="W84" s="32" t="str">
        <f aca="false">IF(O84="","",IF(E84&gt;O84,"BUY","SELL"))</f>
        <v>SELL</v>
      </c>
      <c r="X84" s="32" t="str">
        <f aca="false">IF(T84="","",IF(S84&gt;T84,"BUY","SELL"))</f>
        <v>SELL</v>
      </c>
      <c r="Y84" s="34" t="n">
        <f aca="false">IF(OR(V84="",W84="",X84=""),"",IFERROR(IF(V84="BUY",1,IF(V84="SELL",-1,0))+IF(W84="BUY",1,IF(W84="SELL",-1,0))+IF(X84="BUY",1,IF(X84="SELL",-1,0)),0))</f>
        <v>-2</v>
      </c>
      <c r="Z84" s="32" t="str">
        <f aca="false">IF(Y84="","",IF(Y84&gt;=2,"STRONG BUY",IF(Y84=1,"BUY",IF(Y84=0,"HOLD",IF(Y84=-1,"SELL","STRONG SELL")))))</f>
        <v>STRONG SELL</v>
      </c>
    </row>
    <row r="85" customFormat="false" ht="15" hidden="false" customHeight="false" outlineLevel="0" collapsed="false">
      <c r="A85" s="24" t="n">
        <v>45887</v>
      </c>
      <c r="B85" s="25" t="n">
        <v>37.21</v>
      </c>
      <c r="C85" s="25" t="n">
        <v>37.23</v>
      </c>
      <c r="D85" s="25" t="n">
        <v>37.21</v>
      </c>
      <c r="E85" s="25" t="n">
        <v>37.22</v>
      </c>
      <c r="F85" s="26" t="n">
        <v>77714431</v>
      </c>
      <c r="G85" s="27" t="n">
        <f aca="false">E85-E84</f>
        <v>-0.210000000000001</v>
      </c>
      <c r="H85" s="28" t="n">
        <f aca="false">G85/E84</f>
        <v>-0.00561047288271442</v>
      </c>
      <c r="I85" s="29" t="n">
        <f aca="false">MAX(G85,0)</f>
        <v>0</v>
      </c>
      <c r="J85" s="29" t="n">
        <f aca="false">MAX(-G85,0)</f>
        <v>0.210000000000001</v>
      </c>
      <c r="K85" s="29" t="n">
        <f aca="false">(K84*13+I85)/14</f>
        <v>0.124165595771379</v>
      </c>
      <c r="L85" s="29" t="n">
        <f aca="false">(L84*13+J85)/14</f>
        <v>0.267661820309111</v>
      </c>
      <c r="M85" s="31" t="n">
        <f aca="false">IF(L85=0,100,100-100/(1+K85/MAX(L85,0.000001)))</f>
        <v>31.6888483744773</v>
      </c>
      <c r="N85" s="30" t="n">
        <f aca="false">AVERAGE(E66:E85)</f>
        <v>38.9255</v>
      </c>
      <c r="O85" s="30" t="n">
        <f aca="false">AVERAGE(E36:E85)</f>
        <v>40.9012</v>
      </c>
      <c r="Q85" s="30" t="n">
        <f aca="false">Q84+(2/13)*(E85-Q84)</f>
        <v>37.9532731830064</v>
      </c>
      <c r="R85" s="30" t="n">
        <f aca="false">R84+(2/27)*(E85-R84)</f>
        <v>39.0177902411192</v>
      </c>
      <c r="S85" s="33" t="n">
        <f aca="false">Q85-R85</f>
        <v>-1.06451705811282</v>
      </c>
      <c r="T85" s="33" t="n">
        <f aca="false">T84+(2/10)*(S85-T84)</f>
        <v>-0.990492518693744</v>
      </c>
      <c r="U85" s="33" t="n">
        <f aca="false">S85-T85</f>
        <v>-0.0740245394190754</v>
      </c>
      <c r="V85" s="32" t="str">
        <f aca="false">IF(M85="","",IF(M85&lt;Assumptions!$B$5,"BUY",IF(M85&gt;Assumptions!$B$4,"SELL","HOLD")))</f>
        <v>HOLD</v>
      </c>
      <c r="W85" s="32" t="str">
        <f aca="false">IF(O85="","",IF(E85&gt;O85,"BUY","SELL"))</f>
        <v>SELL</v>
      </c>
      <c r="X85" s="32" t="str">
        <f aca="false">IF(T85="","",IF(S85&gt;T85,"BUY","SELL"))</f>
        <v>SELL</v>
      </c>
      <c r="Y85" s="34" t="n">
        <f aca="false">IF(OR(V85="",W85="",X85=""),"",IFERROR(IF(V85="BUY",1,IF(V85="SELL",-1,0))+IF(W85="BUY",1,IF(W85="SELL",-1,0))+IF(X85="BUY",1,IF(X85="SELL",-1,0)),0))</f>
        <v>-2</v>
      </c>
      <c r="Z85" s="32" t="str">
        <f aca="false">IF(Y85="","",IF(Y85&gt;=2,"STRONG BUY",IF(Y85=1,"BUY",IF(Y85=0,"HOLD",IF(Y85=-1,"SELL","STRONG SELL")))))</f>
        <v>STRONG SELL</v>
      </c>
    </row>
    <row r="86" customFormat="false" ht="15" hidden="false" customHeight="false" outlineLevel="0" collapsed="false">
      <c r="A86" s="24" t="n">
        <v>45888</v>
      </c>
      <c r="B86" s="25" t="n">
        <v>37.34</v>
      </c>
      <c r="C86" s="25" t="n">
        <v>37.6</v>
      </c>
      <c r="D86" s="25" t="n">
        <v>37.28</v>
      </c>
      <c r="E86" s="25" t="n">
        <v>37.44</v>
      </c>
      <c r="F86" s="26" t="n">
        <v>62801827</v>
      </c>
      <c r="G86" s="27" t="n">
        <f aca="false">E86-E85</f>
        <v>0.219999999999999</v>
      </c>
      <c r="H86" s="28" t="n">
        <f aca="false">G86/E85</f>
        <v>0.00591080064481459</v>
      </c>
      <c r="I86" s="29" t="n">
        <f aca="false">MAX(G86,0)</f>
        <v>0.219999999999999</v>
      </c>
      <c r="J86" s="29" t="n">
        <f aca="false">MAX(-G86,0)</f>
        <v>0</v>
      </c>
      <c r="K86" s="29" t="n">
        <f aca="false">(K85*13+I86)/14</f>
        <v>0.131010910359137</v>
      </c>
      <c r="L86" s="29" t="n">
        <f aca="false">(L85*13+J86)/14</f>
        <v>0.248543118858461</v>
      </c>
      <c r="M86" s="31" t="n">
        <f aca="false">IF(L86=0,100,100-100/(1+K86/MAX(L86,0.000001)))</f>
        <v>34.517064837699</v>
      </c>
      <c r="N86" s="30" t="n">
        <f aca="false">AVERAGE(E67:E86)</f>
        <v>38.692</v>
      </c>
      <c r="O86" s="30" t="n">
        <f aca="false">AVERAGE(E37:E86)</f>
        <v>40.7642</v>
      </c>
      <c r="Q86" s="30" t="n">
        <f aca="false">Q85+(2/13)*(E86-Q85)</f>
        <v>37.8743080779285</v>
      </c>
      <c r="R86" s="30" t="n">
        <f aca="false">R85+(2/27)*(E86-R85)</f>
        <v>38.9009168899252</v>
      </c>
      <c r="S86" s="33" t="n">
        <f aca="false">Q86-R86</f>
        <v>-1.02660881199671</v>
      </c>
      <c r="T86" s="33" t="n">
        <f aca="false">T85+(2/10)*(S86-T85)</f>
        <v>-0.997715777354338</v>
      </c>
      <c r="U86" s="33" t="n">
        <f aca="false">S86-T86</f>
        <v>-0.0288930346423719</v>
      </c>
      <c r="V86" s="32" t="str">
        <f aca="false">IF(M86="","",IF(M86&lt;Assumptions!$B$5,"BUY",IF(M86&gt;Assumptions!$B$4,"SELL","HOLD")))</f>
        <v>HOLD</v>
      </c>
      <c r="W86" s="32" t="str">
        <f aca="false">IF(O86="","",IF(E86&gt;O86,"BUY","SELL"))</f>
        <v>SELL</v>
      </c>
      <c r="X86" s="32" t="str">
        <f aca="false">IF(T86="","",IF(S86&gt;T86,"BUY","SELL"))</f>
        <v>SELL</v>
      </c>
      <c r="Y86" s="34" t="n">
        <f aca="false">IF(OR(V86="",W86="",X86=""),"",IFERROR(IF(V86="BUY",1,IF(V86="SELL",-1,0))+IF(W86="BUY",1,IF(W86="SELL",-1,0))+IF(X86="BUY",1,IF(X86="SELL",-1,0)),0))</f>
        <v>-2</v>
      </c>
      <c r="Z86" s="32" t="str">
        <f aca="false">IF(Y86="","",IF(Y86&gt;=2,"STRONG BUY",IF(Y86=1,"BUY",IF(Y86=0,"HOLD",IF(Y86=-1,"SELL","STRONG SELL")))))</f>
        <v>STRONG SELL</v>
      </c>
    </row>
    <row r="87" customFormat="false" ht="15" hidden="false" customHeight="false" outlineLevel="0" collapsed="false">
      <c r="A87" s="24" t="n">
        <v>45889</v>
      </c>
      <c r="B87" s="25" t="n">
        <v>37.54</v>
      </c>
      <c r="C87" s="25" t="n">
        <v>37.9</v>
      </c>
      <c r="D87" s="25" t="n">
        <v>37.34</v>
      </c>
      <c r="E87" s="25" t="n">
        <v>37.62</v>
      </c>
      <c r="F87" s="26" t="n">
        <v>31605224</v>
      </c>
      <c r="G87" s="27" t="n">
        <f aca="false">E87-E86</f>
        <v>0.18</v>
      </c>
      <c r="H87" s="28" t="n">
        <f aca="false">G87/E86</f>
        <v>0.0048076923076923</v>
      </c>
      <c r="I87" s="29" t="n">
        <f aca="false">MAX(G87,0)</f>
        <v>0.18</v>
      </c>
      <c r="J87" s="29" t="n">
        <f aca="false">MAX(-G87,0)</f>
        <v>0</v>
      </c>
      <c r="K87" s="29" t="n">
        <f aca="false">(K86*13+I87)/14</f>
        <v>0.13451013104777</v>
      </c>
      <c r="L87" s="29" t="n">
        <f aca="false">(L86*13+J87)/14</f>
        <v>0.230790038939999</v>
      </c>
      <c r="M87" s="31" t="n">
        <f aca="false">IF(L87=0,100,100-100/(1+K87/MAX(L87,0.000001)))</f>
        <v>36.8218090487814</v>
      </c>
      <c r="N87" s="30" t="n">
        <f aca="false">AVERAGE(E68:E87)</f>
        <v>38.499</v>
      </c>
      <c r="O87" s="30" t="n">
        <f aca="false">AVERAGE(E38:E87)</f>
        <v>40.6314</v>
      </c>
      <c r="Q87" s="30" t="n">
        <f aca="false">Q86+(2/13)*(E87-Q86)</f>
        <v>37.8351837582472</v>
      </c>
      <c r="R87" s="30" t="n">
        <f aca="false">R86+(2/27)*(E87-R86)</f>
        <v>38.8060341573382</v>
      </c>
      <c r="S87" s="33" t="n">
        <f aca="false">Q87-R87</f>
        <v>-0.970850399090963</v>
      </c>
      <c r="T87" s="33" t="n">
        <f aca="false">T86+(2/10)*(S87-T86)</f>
        <v>-0.992342701701663</v>
      </c>
      <c r="U87" s="33" t="n">
        <f aca="false">S87-T87</f>
        <v>0.0214923026106992</v>
      </c>
      <c r="V87" s="32" t="str">
        <f aca="false">IF(M87="","",IF(M87&lt;Assumptions!$B$5,"BUY",IF(M87&gt;Assumptions!$B$4,"SELL","HOLD")))</f>
        <v>HOLD</v>
      </c>
      <c r="W87" s="32" t="str">
        <f aca="false">IF(O87="","",IF(E87&gt;O87,"BUY","SELL"))</f>
        <v>SELL</v>
      </c>
      <c r="X87" s="32" t="str">
        <f aca="false">IF(T87="","",IF(S87&gt;T87,"BUY","SELL"))</f>
        <v>BUY</v>
      </c>
      <c r="Y87" s="34" t="n">
        <f aca="false">IF(OR(V87="",W87="",X87=""),"",IFERROR(IF(V87="BUY",1,IF(V87="SELL",-1,0))+IF(W87="BUY",1,IF(W87="SELL",-1,0))+IF(X87="BUY",1,IF(X87="SELL",-1,0)),0))</f>
        <v>0</v>
      </c>
      <c r="Z87" s="32" t="str">
        <f aca="false">IF(Y87="","",IF(Y87&gt;=2,"STRONG BUY",IF(Y87=1,"BUY",IF(Y87=0,"HOLD",IF(Y87=-1,"SELL","STRONG SELL")))))</f>
        <v>HOLD</v>
      </c>
    </row>
    <row r="88" customFormat="false" ht="15" hidden="false" customHeight="false" outlineLevel="0" collapsed="false">
      <c r="A88" s="24" t="n">
        <v>45890</v>
      </c>
      <c r="B88" s="25" t="n">
        <v>37.35</v>
      </c>
      <c r="C88" s="25" t="n">
        <v>38.03</v>
      </c>
      <c r="D88" s="25" t="n">
        <v>37.03</v>
      </c>
      <c r="E88" s="25" t="n">
        <v>37.53</v>
      </c>
      <c r="F88" s="26" t="n">
        <v>71390738</v>
      </c>
      <c r="G88" s="27" t="n">
        <f aca="false">E88-E87</f>
        <v>-0.0899999999999963</v>
      </c>
      <c r="H88" s="28" t="n">
        <f aca="false">G88/E87</f>
        <v>-0.00239234449760756</v>
      </c>
      <c r="I88" s="29" t="n">
        <f aca="false">MAX(G88,0)</f>
        <v>0</v>
      </c>
      <c r="J88" s="29" t="n">
        <f aca="false">MAX(-G88,0)</f>
        <v>0.0899999999999963</v>
      </c>
      <c r="K88" s="29" t="n">
        <f aca="false">(K87*13+I88)/14</f>
        <v>0.124902264544358</v>
      </c>
      <c r="L88" s="29" t="n">
        <f aca="false">(L87*13+J88)/14</f>
        <v>0.220733607587142</v>
      </c>
      <c r="M88" s="31" t="n">
        <f aca="false">IF(L88=0,100,100-100/(1+K88/MAX(L88,0.000001)))</f>
        <v>36.1369506510129</v>
      </c>
      <c r="N88" s="30" t="n">
        <f aca="false">AVERAGE(E69:E88)</f>
        <v>38.3075</v>
      </c>
      <c r="O88" s="30" t="n">
        <f aca="false">AVERAGE(E39:E88)</f>
        <v>40.5118</v>
      </c>
      <c r="Q88" s="30" t="n">
        <f aca="false">Q87+(2/13)*(E88-Q87)</f>
        <v>37.7882324108246</v>
      </c>
      <c r="R88" s="30" t="n">
        <f aca="false">R87+(2/27)*(E88-R87)</f>
        <v>38.7115131086464</v>
      </c>
      <c r="S88" s="33" t="n">
        <f aca="false">Q88-R88</f>
        <v>-0.923280697821888</v>
      </c>
      <c r="T88" s="33" t="n">
        <f aca="false">T87+(2/10)*(S88-T87)</f>
        <v>-0.978530300925708</v>
      </c>
      <c r="U88" s="33" t="n">
        <f aca="false">S88-T88</f>
        <v>0.0552496031038201</v>
      </c>
      <c r="V88" s="32" t="str">
        <f aca="false">IF(M88="","",IF(M88&lt;Assumptions!$B$5,"BUY",IF(M88&gt;Assumptions!$B$4,"SELL","HOLD")))</f>
        <v>HOLD</v>
      </c>
      <c r="W88" s="32" t="str">
        <f aca="false">IF(O88="","",IF(E88&gt;O88,"BUY","SELL"))</f>
        <v>SELL</v>
      </c>
      <c r="X88" s="32" t="str">
        <f aca="false">IF(T88="","",IF(S88&gt;T88,"BUY","SELL"))</f>
        <v>BUY</v>
      </c>
      <c r="Y88" s="34" t="n">
        <f aca="false">IF(OR(V88="",W88="",X88=""),"",IFERROR(IF(V88="BUY",1,IF(V88="SELL",-1,0))+IF(W88="BUY",1,IF(W88="SELL",-1,0))+IF(X88="BUY",1,IF(X88="SELL",-1,0)),0))</f>
        <v>0</v>
      </c>
      <c r="Z88" s="32" t="str">
        <f aca="false">IF(Y88="","",IF(Y88&gt;=2,"STRONG BUY",IF(Y88=1,"BUY",IF(Y88=0,"HOLD",IF(Y88=-1,"SELL","STRONG SELL")))))</f>
        <v>HOLD</v>
      </c>
    </row>
    <row r="89" customFormat="false" ht="15" hidden="false" customHeight="false" outlineLevel="0" collapsed="false">
      <c r="A89" s="24" t="n">
        <v>45891</v>
      </c>
      <c r="B89" s="25" t="n">
        <v>37.57</v>
      </c>
      <c r="C89" s="25" t="n">
        <v>37.9</v>
      </c>
      <c r="D89" s="25" t="n">
        <v>37.4</v>
      </c>
      <c r="E89" s="25" t="n">
        <v>37.65</v>
      </c>
      <c r="F89" s="26" t="n">
        <v>29682960</v>
      </c>
      <c r="G89" s="27" t="n">
        <f aca="false">E89-E88</f>
        <v>0.119999999999997</v>
      </c>
      <c r="H89" s="28" t="n">
        <f aca="false">G89/E88</f>
        <v>0.00319744204636284</v>
      </c>
      <c r="I89" s="29" t="n">
        <f aca="false">MAX(G89,0)</f>
        <v>0.119999999999997</v>
      </c>
      <c r="J89" s="29" t="n">
        <f aca="false">MAX(-G89,0)</f>
        <v>0</v>
      </c>
      <c r="K89" s="29" t="n">
        <f aca="false">(K88*13+I89)/14</f>
        <v>0.12455210279119</v>
      </c>
      <c r="L89" s="29" t="n">
        <f aca="false">(L88*13+J89)/14</f>
        <v>0.204966921330917</v>
      </c>
      <c r="M89" s="31" t="n">
        <f aca="false">IF(L89=0,100,100-100/(1+K89/MAX(L89,0.000001)))</f>
        <v>37.7981523594933</v>
      </c>
      <c r="N89" s="30" t="n">
        <f aca="false">AVERAGE(E70:E89)</f>
        <v>38.132</v>
      </c>
      <c r="O89" s="30" t="n">
        <f aca="false">AVERAGE(E40:E89)</f>
        <v>40.3948</v>
      </c>
      <c r="Q89" s="30" t="n">
        <f aca="false">Q88+(2/13)*(E89-Q88)</f>
        <v>37.7669658860823</v>
      </c>
      <c r="R89" s="30" t="n">
        <f aca="false">R88+(2/27)*(E89-R88)</f>
        <v>38.632882508006</v>
      </c>
      <c r="S89" s="33" t="n">
        <f aca="false">Q89-R89</f>
        <v>-0.865916621923645</v>
      </c>
      <c r="T89" s="33" t="n">
        <f aca="false">T88+(2/10)*(S89-T88)</f>
        <v>-0.956007565125295</v>
      </c>
      <c r="U89" s="33" t="n">
        <f aca="false">S89-T89</f>
        <v>0.0900909432016498</v>
      </c>
      <c r="V89" s="32" t="str">
        <f aca="false">IF(M89="","",IF(M89&lt;Assumptions!$B$5,"BUY",IF(M89&gt;Assumptions!$B$4,"SELL","HOLD")))</f>
        <v>HOLD</v>
      </c>
      <c r="W89" s="32" t="str">
        <f aca="false">IF(O89="","",IF(E89&gt;O89,"BUY","SELL"))</f>
        <v>SELL</v>
      </c>
      <c r="X89" s="32" t="str">
        <f aca="false">IF(T89="","",IF(S89&gt;T89,"BUY","SELL"))</f>
        <v>BUY</v>
      </c>
      <c r="Y89" s="34" t="n">
        <f aca="false">IF(OR(V89="",W89="",X89=""),"",IFERROR(IF(V89="BUY",1,IF(V89="SELL",-1,0))+IF(W89="BUY",1,IF(W89="SELL",-1,0))+IF(X89="BUY",1,IF(X89="SELL",-1,0)),0))</f>
        <v>0</v>
      </c>
      <c r="Z89" s="32" t="str">
        <f aca="false">IF(Y89="","",IF(Y89&gt;=2,"STRONG BUY",IF(Y89=1,"BUY",IF(Y89=0,"HOLD",IF(Y89=-1,"SELL","STRONG SELL")))))</f>
        <v>HOLD</v>
      </c>
    </row>
    <row r="90" customFormat="false" ht="15" hidden="false" customHeight="false" outlineLevel="0" collapsed="false">
      <c r="A90" s="24" t="n">
        <v>45894</v>
      </c>
      <c r="B90" s="25" t="n">
        <v>37.45</v>
      </c>
      <c r="C90" s="25" t="n">
        <v>37.64</v>
      </c>
      <c r="D90" s="25" t="n">
        <v>37.26</v>
      </c>
      <c r="E90" s="25" t="n">
        <v>37.45</v>
      </c>
      <c r="F90" s="26" t="n">
        <v>58588042</v>
      </c>
      <c r="G90" s="27" t="n">
        <f aca="false">E90-E89</f>
        <v>-0.199999999999996</v>
      </c>
      <c r="H90" s="28" t="n">
        <f aca="false">G90/E89</f>
        <v>-0.00531208499335978</v>
      </c>
      <c r="I90" s="29" t="n">
        <f aca="false">MAX(G90,0)</f>
        <v>0</v>
      </c>
      <c r="J90" s="29" t="n">
        <f aca="false">MAX(-G90,0)</f>
        <v>0.199999999999996</v>
      </c>
      <c r="K90" s="29" t="n">
        <f aca="false">(K89*13+I90)/14</f>
        <v>0.11565552402039</v>
      </c>
      <c r="L90" s="29" t="n">
        <f aca="false">(L89*13+J90)/14</f>
        <v>0.204612141235851</v>
      </c>
      <c r="M90" s="31" t="n">
        <f aca="false">IF(L90=0,100,100-100/(1+K90/MAX(L90,0.000001)))</f>
        <v>36.1121451108266</v>
      </c>
      <c r="N90" s="30" t="n">
        <f aca="false">AVERAGE(E71:E90)</f>
        <v>37.9545</v>
      </c>
      <c r="O90" s="30" t="n">
        <f aca="false">AVERAGE(E41:E90)</f>
        <v>40.2874</v>
      </c>
      <c r="Q90" s="30" t="n">
        <f aca="false">Q89+(2/13)*(E90-Q89)</f>
        <v>37.7182019036081</v>
      </c>
      <c r="R90" s="30" t="n">
        <f aca="false">R89+(2/27)*(E90-R89)</f>
        <v>38.545261581487</v>
      </c>
      <c r="S90" s="33" t="n">
        <f aca="false">Q90-R90</f>
        <v>-0.827059677878886</v>
      </c>
      <c r="T90" s="33" t="n">
        <f aca="false">T89+(2/10)*(S90-T89)</f>
        <v>-0.930217987676013</v>
      </c>
      <c r="U90" s="33" t="n">
        <f aca="false">S90-T90</f>
        <v>0.103158309797128</v>
      </c>
      <c r="V90" s="32" t="str">
        <f aca="false">IF(M90="","",IF(M90&lt;Assumptions!$B$5,"BUY",IF(M90&gt;Assumptions!$B$4,"SELL","HOLD")))</f>
        <v>HOLD</v>
      </c>
      <c r="W90" s="32" t="str">
        <f aca="false">IF(O90="","",IF(E90&gt;O90,"BUY","SELL"))</f>
        <v>SELL</v>
      </c>
      <c r="X90" s="32" t="str">
        <f aca="false">IF(T90="","",IF(S90&gt;T90,"BUY","SELL"))</f>
        <v>BUY</v>
      </c>
      <c r="Y90" s="34" t="n">
        <f aca="false">IF(OR(V90="",W90="",X90=""),"",IFERROR(IF(V90="BUY",1,IF(V90="SELL",-1,0))+IF(W90="BUY",1,IF(W90="SELL",-1,0))+IF(X90="BUY",1,IF(X90="SELL",-1,0)),0))</f>
        <v>0</v>
      </c>
      <c r="Z90" s="32" t="str">
        <f aca="false">IF(Y90="","",IF(Y90&gt;=2,"STRONG BUY",IF(Y90=1,"BUY",IF(Y90=0,"HOLD",IF(Y90=-1,"SELL","STRONG SELL")))))</f>
        <v>HOLD</v>
      </c>
    </row>
    <row r="91" customFormat="false" ht="15" hidden="false" customHeight="false" outlineLevel="0" collapsed="false">
      <c r="A91" s="24" t="n">
        <v>45895</v>
      </c>
      <c r="B91" s="25" t="n">
        <v>38.15</v>
      </c>
      <c r="C91" s="25" t="n">
        <v>38.19</v>
      </c>
      <c r="D91" s="25" t="n">
        <v>38.15</v>
      </c>
      <c r="E91" s="25" t="n">
        <v>38.17</v>
      </c>
      <c r="F91" s="26" t="n">
        <v>32956001</v>
      </c>
      <c r="G91" s="27" t="n">
        <f aca="false">E91-E90</f>
        <v>0.719999999999999</v>
      </c>
      <c r="H91" s="28" t="n">
        <f aca="false">G91/E90</f>
        <v>0.0192256341789052</v>
      </c>
      <c r="I91" s="29" t="n">
        <f aca="false">MAX(G91,0)</f>
        <v>0.719999999999999</v>
      </c>
      <c r="J91" s="29" t="n">
        <f aca="false">MAX(-G91,0)</f>
        <v>0</v>
      </c>
      <c r="K91" s="29" t="n">
        <f aca="false">(K90*13+I91)/14</f>
        <v>0.158822986590362</v>
      </c>
      <c r="L91" s="29" t="n">
        <f aca="false">(L90*13+J91)/14</f>
        <v>0.189996988290434</v>
      </c>
      <c r="M91" s="31" t="n">
        <f aca="false">IF(L91=0,100,100-100/(1+K91/MAX(L91,0.000001)))</f>
        <v>45.5315056554997</v>
      </c>
      <c r="N91" s="30" t="n">
        <f aca="false">AVERAGE(E72:E91)</f>
        <v>37.8295</v>
      </c>
      <c r="O91" s="30" t="n">
        <f aca="false">AVERAGE(E42:E91)</f>
        <v>40.1918</v>
      </c>
      <c r="Q91" s="30" t="n">
        <f aca="false">Q90+(2/13)*(E91-Q90)</f>
        <v>37.787709303053</v>
      </c>
      <c r="R91" s="30" t="n">
        <f aca="false">R90+(2/27)*(E91-R90)</f>
        <v>38.5174644273028</v>
      </c>
      <c r="S91" s="33" t="n">
        <f aca="false">Q91-R91</f>
        <v>-0.729755124249756</v>
      </c>
      <c r="T91" s="33" t="n">
        <f aca="false">T90+(2/10)*(S91-T90)</f>
        <v>-0.890125414990762</v>
      </c>
      <c r="U91" s="33" t="n">
        <f aca="false">S91-T91</f>
        <v>0.160370290741006</v>
      </c>
      <c r="V91" s="32" t="str">
        <f aca="false">IF(M91="","",IF(M91&lt;Assumptions!$B$5,"BUY",IF(M91&gt;Assumptions!$B$4,"SELL","HOLD")))</f>
        <v>HOLD</v>
      </c>
      <c r="W91" s="32" t="str">
        <f aca="false">IF(O91="","",IF(E91&gt;O91,"BUY","SELL"))</f>
        <v>SELL</v>
      </c>
      <c r="X91" s="32" t="str">
        <f aca="false">IF(T91="","",IF(S91&gt;T91,"BUY","SELL"))</f>
        <v>BUY</v>
      </c>
      <c r="Y91" s="34" t="n">
        <f aca="false">IF(OR(V91="",W91="",X91=""),"",IFERROR(IF(V91="BUY",1,IF(V91="SELL",-1,0))+IF(W91="BUY",1,IF(W91="SELL",-1,0))+IF(X91="BUY",1,IF(X91="SELL",-1,0)),0))</f>
        <v>0</v>
      </c>
      <c r="Z91" s="32" t="str">
        <f aca="false">IF(Y91="","",IF(Y91&gt;=2,"STRONG BUY",IF(Y91=1,"BUY",IF(Y91=0,"HOLD",IF(Y91=-1,"SELL","STRONG SELL")))))</f>
        <v>HOLD</v>
      </c>
    </row>
    <row r="92" customFormat="false" ht="15" hidden="false" customHeight="false" outlineLevel="0" collapsed="false">
      <c r="A92" s="24" t="n">
        <v>45896</v>
      </c>
      <c r="B92" s="25" t="n">
        <v>38.67</v>
      </c>
      <c r="C92" s="25" t="n">
        <v>38.87</v>
      </c>
      <c r="D92" s="25" t="n">
        <v>38.49</v>
      </c>
      <c r="E92" s="25" t="n">
        <v>38.68</v>
      </c>
      <c r="F92" s="26" t="n">
        <v>63552029</v>
      </c>
      <c r="G92" s="27" t="n">
        <f aca="false">E92-E91</f>
        <v>0.509999999999998</v>
      </c>
      <c r="H92" s="28" t="n">
        <f aca="false">G92/E91</f>
        <v>0.0133612784909614</v>
      </c>
      <c r="I92" s="29" t="n">
        <f aca="false">MAX(G92,0)</f>
        <v>0.509999999999998</v>
      </c>
      <c r="J92" s="29" t="n">
        <f aca="false">MAX(-G92,0)</f>
        <v>0</v>
      </c>
      <c r="K92" s="29" t="n">
        <f aca="false">(K91*13+I92)/14</f>
        <v>0.183907058976765</v>
      </c>
      <c r="L92" s="29" t="n">
        <f aca="false">(L91*13+J92)/14</f>
        <v>0.176425774841117</v>
      </c>
      <c r="M92" s="31" t="n">
        <f aca="false">IF(L92=0,100,100-100/(1+K92/MAX(L92,0.000001)))</f>
        <v>51.0381074708597</v>
      </c>
      <c r="N92" s="30" t="n">
        <f aca="false">AVERAGE(E73:E92)</f>
        <v>37.7825</v>
      </c>
      <c r="O92" s="30" t="n">
        <f aca="false">AVERAGE(E43:E92)</f>
        <v>40.1204</v>
      </c>
      <c r="Q92" s="30" t="n">
        <f aca="false">Q91+(2/13)*(E92-Q91)</f>
        <v>37.924984794891</v>
      </c>
      <c r="R92" s="30" t="n">
        <f aca="false">R91+(2/27)*(E92-R91)</f>
        <v>38.5295040993544</v>
      </c>
      <c r="S92" s="33" t="n">
        <f aca="false">Q92-R92</f>
        <v>-0.604519304463409</v>
      </c>
      <c r="T92" s="33" t="n">
        <f aca="false">T91+(2/10)*(S92-T91)</f>
        <v>-0.833004192885291</v>
      </c>
      <c r="U92" s="33" t="n">
        <f aca="false">S92-T92</f>
        <v>0.228484888421882</v>
      </c>
      <c r="V92" s="32" t="str">
        <f aca="false">IF(M92="","",IF(M92&lt;Assumptions!$B$5,"BUY",IF(M92&gt;Assumptions!$B$4,"SELL","HOLD")))</f>
        <v>HOLD</v>
      </c>
      <c r="W92" s="32" t="str">
        <f aca="false">IF(O92="","",IF(E92&gt;O92,"BUY","SELL"))</f>
        <v>SELL</v>
      </c>
      <c r="X92" s="32" t="str">
        <f aca="false">IF(T92="","",IF(S92&gt;T92,"BUY","SELL"))</f>
        <v>BUY</v>
      </c>
      <c r="Y92" s="34" t="n">
        <f aca="false">IF(OR(V92="",W92="",X92=""),"",IFERROR(IF(V92="BUY",1,IF(V92="SELL",-1,0))+IF(W92="BUY",1,IF(W92="SELL",-1,0))+IF(X92="BUY",1,IF(X92="SELL",-1,0)),0))</f>
        <v>0</v>
      </c>
      <c r="Z92" s="32" t="str">
        <f aca="false">IF(Y92="","",IF(Y92&gt;=2,"STRONG BUY",IF(Y92=1,"BUY",IF(Y92=0,"HOLD",IF(Y92=-1,"SELL","STRONG SELL")))))</f>
        <v>HOLD</v>
      </c>
    </row>
    <row r="93" customFormat="false" ht="15" hidden="false" customHeight="false" outlineLevel="0" collapsed="false">
      <c r="A93" s="24" t="n">
        <v>45897</v>
      </c>
      <c r="B93" s="25" t="n">
        <v>39.12</v>
      </c>
      <c r="C93" s="25" t="n">
        <v>39.69</v>
      </c>
      <c r="D93" s="25" t="n">
        <v>38.21</v>
      </c>
      <c r="E93" s="25" t="n">
        <v>38.95</v>
      </c>
      <c r="F93" s="26" t="n">
        <v>41355574</v>
      </c>
      <c r="G93" s="27" t="n">
        <f aca="false">E93-E92</f>
        <v>0.270000000000003</v>
      </c>
      <c r="H93" s="28" t="n">
        <f aca="false">G93/E92</f>
        <v>0.00698035160289563</v>
      </c>
      <c r="I93" s="29" t="n">
        <f aca="false">MAX(G93,0)</f>
        <v>0.270000000000003</v>
      </c>
      <c r="J93" s="29" t="n">
        <f aca="false">MAX(-G93,0)</f>
        <v>0</v>
      </c>
      <c r="K93" s="29" t="n">
        <f aca="false">(K92*13+I93)/14</f>
        <v>0.190056554764139</v>
      </c>
      <c r="L93" s="29" t="n">
        <f aca="false">(L92*13+J93)/14</f>
        <v>0.163823933781037</v>
      </c>
      <c r="M93" s="31" t="n">
        <f aca="false">IF(L93=0,100,100-100/(1+K93/MAX(L93,0.000001)))</f>
        <v>53.7064237549442</v>
      </c>
      <c r="N93" s="30" t="n">
        <f aca="false">AVERAGE(E74:E93)</f>
        <v>37.7765</v>
      </c>
      <c r="O93" s="30" t="n">
        <f aca="false">AVERAGE(E44:E93)</f>
        <v>40.0434</v>
      </c>
      <c r="Q93" s="30" t="n">
        <f aca="false">Q92+(2/13)*(E93-Q92)</f>
        <v>38.0826794418309</v>
      </c>
      <c r="R93" s="30" t="n">
        <f aca="false">R92+(2/27)*(E93-R92)</f>
        <v>38.5606519438467</v>
      </c>
      <c r="S93" s="33" t="n">
        <f aca="false">Q93-R93</f>
        <v>-0.477972502015831</v>
      </c>
      <c r="T93" s="33" t="n">
        <f aca="false">T92+(2/10)*(S93-T92)</f>
        <v>-0.761997854711399</v>
      </c>
      <c r="U93" s="33" t="n">
        <f aca="false">S93-T93</f>
        <v>0.284025352695568</v>
      </c>
      <c r="V93" s="32" t="str">
        <f aca="false">IF(M93="","",IF(M93&lt;Assumptions!$B$5,"BUY",IF(M93&gt;Assumptions!$B$4,"SELL","HOLD")))</f>
        <v>HOLD</v>
      </c>
      <c r="W93" s="32" t="str">
        <f aca="false">IF(O93="","",IF(E93&gt;O93,"BUY","SELL"))</f>
        <v>SELL</v>
      </c>
      <c r="X93" s="32" t="str">
        <f aca="false">IF(T93="","",IF(S93&gt;T93,"BUY","SELL"))</f>
        <v>BUY</v>
      </c>
      <c r="Y93" s="34" t="n">
        <f aca="false">IF(OR(V93="",W93="",X93=""),"",IFERROR(IF(V93="BUY",1,IF(V93="SELL",-1,0))+IF(W93="BUY",1,IF(W93="SELL",-1,0))+IF(X93="BUY",1,IF(X93="SELL",-1,0)),0))</f>
        <v>0</v>
      </c>
      <c r="Z93" s="32" t="str">
        <f aca="false">IF(Y93="","",IF(Y93&gt;=2,"STRONG BUY",IF(Y93=1,"BUY",IF(Y93=0,"HOLD",IF(Y93=-1,"SELL","STRONG SELL")))))</f>
        <v>HOLD</v>
      </c>
    </row>
    <row r="94" customFormat="false" ht="15" hidden="false" customHeight="false" outlineLevel="0" collapsed="false">
      <c r="A94" s="24" t="n">
        <v>45898</v>
      </c>
      <c r="B94" s="25" t="n">
        <v>38.24</v>
      </c>
      <c r="C94" s="25" t="n">
        <v>38.82</v>
      </c>
      <c r="D94" s="25" t="n">
        <v>37.82</v>
      </c>
      <c r="E94" s="25" t="n">
        <v>38.32</v>
      </c>
      <c r="F94" s="26" t="n">
        <v>50494705</v>
      </c>
      <c r="G94" s="27" t="n">
        <f aca="false">E94-E93</f>
        <v>-0.630000000000003</v>
      </c>
      <c r="H94" s="28" t="n">
        <f aca="false">G94/E93</f>
        <v>-0.0161745827984596</v>
      </c>
      <c r="I94" s="29" t="n">
        <f aca="false">MAX(G94,0)</f>
        <v>0</v>
      </c>
      <c r="J94" s="29" t="n">
        <f aca="false">MAX(-G94,0)</f>
        <v>0.630000000000003</v>
      </c>
      <c r="K94" s="29" t="n">
        <f aca="false">(K93*13+I94)/14</f>
        <v>0.176481086566701</v>
      </c>
      <c r="L94" s="29" t="n">
        <f aca="false">(L93*13+J94)/14</f>
        <v>0.197122224225249</v>
      </c>
      <c r="M94" s="31" t="n">
        <f aca="false">IF(L94=0,100,100-100/(1+K94/MAX(L94,0.000001)))</f>
        <v>47.2375595903053</v>
      </c>
      <c r="N94" s="30" t="n">
        <f aca="false">AVERAGE(E75:E94)</f>
        <v>37.7765</v>
      </c>
      <c r="O94" s="30" t="n">
        <f aca="false">AVERAGE(E45:E94)</f>
        <v>39.9446</v>
      </c>
      <c r="Q94" s="30" t="n">
        <f aca="false">Q93+(2/13)*(E94-Q93)</f>
        <v>38.1191902969338</v>
      </c>
      <c r="R94" s="30" t="n">
        <f aca="false">R93+(2/27)*(E94-R93)</f>
        <v>38.5428258739321</v>
      </c>
      <c r="S94" s="33" t="n">
        <f aca="false">Q94-R94</f>
        <v>-0.423635576998315</v>
      </c>
      <c r="T94" s="33" t="n">
        <f aca="false">T93+(2/10)*(S94-T93)</f>
        <v>-0.694325399168782</v>
      </c>
      <c r="U94" s="33" t="n">
        <f aca="false">S94-T94</f>
        <v>0.270689822170467</v>
      </c>
      <c r="V94" s="32" t="str">
        <f aca="false">IF(M94="","",IF(M94&lt;Assumptions!$B$5,"BUY",IF(M94&gt;Assumptions!$B$4,"SELL","HOLD")))</f>
        <v>HOLD</v>
      </c>
      <c r="W94" s="32" t="str">
        <f aca="false">IF(O94="","",IF(E94&gt;O94,"BUY","SELL"))</f>
        <v>SELL</v>
      </c>
      <c r="X94" s="32" t="str">
        <f aca="false">IF(T94="","",IF(S94&gt;T94,"BUY","SELL"))</f>
        <v>BUY</v>
      </c>
      <c r="Y94" s="34" t="n">
        <f aca="false">IF(OR(V94="",W94="",X94=""),"",IFERROR(IF(V94="BUY",1,IF(V94="SELL",-1,0))+IF(W94="BUY",1,IF(W94="SELL",-1,0))+IF(X94="BUY",1,IF(X94="SELL",-1,0)),0))</f>
        <v>0</v>
      </c>
      <c r="Z94" s="32" t="str">
        <f aca="false">IF(Y94="","",IF(Y94&gt;=2,"STRONG BUY",IF(Y94=1,"BUY",IF(Y94=0,"HOLD",IF(Y94=-1,"SELL","STRONG SELL")))))</f>
        <v>HOLD</v>
      </c>
    </row>
    <row r="95" customFormat="false" ht="15" hidden="false" customHeight="false" outlineLevel="0" collapsed="false">
      <c r="A95" s="24" t="n">
        <v>45901</v>
      </c>
      <c r="B95" s="25" t="n">
        <v>37.61</v>
      </c>
      <c r="C95" s="25" t="n">
        <v>37.89</v>
      </c>
      <c r="D95" s="25" t="n">
        <v>37.59</v>
      </c>
      <c r="E95" s="25" t="n">
        <v>37.74</v>
      </c>
      <c r="F95" s="26" t="n">
        <v>65272913</v>
      </c>
      <c r="G95" s="27" t="n">
        <f aca="false">E95-E94</f>
        <v>-0.579999999999998</v>
      </c>
      <c r="H95" s="28" t="n">
        <f aca="false">G95/E94</f>
        <v>-0.0151356993736952</v>
      </c>
      <c r="I95" s="29" t="n">
        <f aca="false">MAX(G95,0)</f>
        <v>0</v>
      </c>
      <c r="J95" s="29" t="n">
        <f aca="false">MAX(-G95,0)</f>
        <v>0.579999999999998</v>
      </c>
      <c r="K95" s="29" t="n">
        <f aca="false">(K94*13+I95)/14</f>
        <v>0.163875294669079</v>
      </c>
      <c r="L95" s="29" t="n">
        <f aca="false">(L94*13+J95)/14</f>
        <v>0.224470636780588</v>
      </c>
      <c r="M95" s="31" t="n">
        <f aca="false">IF(L95=0,100,100-100/(1+K95/MAX(L95,0.000001)))</f>
        <v>42.1982777204191</v>
      </c>
      <c r="N95" s="30" t="n">
        <f aca="false">AVERAGE(E76:E95)</f>
        <v>37.7505</v>
      </c>
      <c r="O95" s="30" t="n">
        <f aca="false">AVERAGE(E46:E95)</f>
        <v>39.8308</v>
      </c>
      <c r="Q95" s="30" t="n">
        <f aca="false">Q94+(2/13)*(E95-Q94)</f>
        <v>38.0608533281748</v>
      </c>
      <c r="R95" s="30" t="n">
        <f aca="false">R94+(2/27)*(E95-R94)</f>
        <v>38.4833572906779</v>
      </c>
      <c r="S95" s="33" t="n">
        <f aca="false">Q95-R95</f>
        <v>-0.422503962503136</v>
      </c>
      <c r="T95" s="33" t="n">
        <f aca="false">T94+(2/10)*(S95-T94)</f>
        <v>-0.639961111835653</v>
      </c>
      <c r="U95" s="33" t="n">
        <f aca="false">S95-T95</f>
        <v>0.217457149332517</v>
      </c>
      <c r="V95" s="32" t="str">
        <f aca="false">IF(M95="","",IF(M95&lt;Assumptions!$B$5,"BUY",IF(M95&gt;Assumptions!$B$4,"SELL","HOLD")))</f>
        <v>HOLD</v>
      </c>
      <c r="W95" s="32" t="str">
        <f aca="false">IF(O95="","",IF(E95&gt;O95,"BUY","SELL"))</f>
        <v>SELL</v>
      </c>
      <c r="X95" s="32" t="str">
        <f aca="false">IF(T95="","",IF(S95&gt;T95,"BUY","SELL"))</f>
        <v>BUY</v>
      </c>
      <c r="Y95" s="34" t="n">
        <f aca="false">IF(OR(V95="",W95="",X95=""),"",IFERROR(IF(V95="BUY",1,IF(V95="SELL",-1,0))+IF(W95="BUY",1,IF(W95="SELL",-1,0))+IF(X95="BUY",1,IF(X95="SELL",-1,0)),0))</f>
        <v>0</v>
      </c>
      <c r="Z95" s="32" t="str">
        <f aca="false">IF(Y95="","",IF(Y95&gt;=2,"STRONG BUY",IF(Y95=1,"BUY",IF(Y95=0,"HOLD",IF(Y95=-1,"SELL","STRONG SELL")))))</f>
        <v>HOLD</v>
      </c>
    </row>
    <row r="96" customFormat="false" ht="15" hidden="false" customHeight="false" outlineLevel="0" collapsed="false">
      <c r="A96" s="24" t="n">
        <v>45902</v>
      </c>
      <c r="B96" s="25" t="n">
        <v>37.53</v>
      </c>
      <c r="C96" s="25" t="n">
        <v>37.53</v>
      </c>
      <c r="D96" s="25" t="n">
        <v>37.25</v>
      </c>
      <c r="E96" s="25" t="n">
        <v>37.39</v>
      </c>
      <c r="F96" s="26" t="n">
        <v>63881109</v>
      </c>
      <c r="G96" s="27" t="n">
        <f aca="false">E96-E95</f>
        <v>-0.350000000000001</v>
      </c>
      <c r="H96" s="28" t="n">
        <f aca="false">G96/E95</f>
        <v>-0.00927397986221519</v>
      </c>
      <c r="I96" s="29" t="n">
        <f aca="false">MAX(G96,0)</f>
        <v>0</v>
      </c>
      <c r="J96" s="29" t="n">
        <f aca="false">MAX(-G96,0)</f>
        <v>0.350000000000001</v>
      </c>
      <c r="K96" s="29" t="n">
        <f aca="false">(K95*13+I96)/14</f>
        <v>0.152169916478431</v>
      </c>
      <c r="L96" s="29" t="n">
        <f aca="false">(L95*13+J96)/14</f>
        <v>0.233437019867689</v>
      </c>
      <c r="M96" s="31" t="n">
        <f aca="false">IF(L96=0,100,100-100/(1+K96/MAX(L96,0.000001)))</f>
        <v>39.4624427455432</v>
      </c>
      <c r="N96" s="30" t="n">
        <f aca="false">AVERAGE(E77:E96)</f>
        <v>37.725</v>
      </c>
      <c r="O96" s="30" t="n">
        <f aca="false">AVERAGE(E47:E96)</f>
        <v>39.7112</v>
      </c>
      <c r="Q96" s="30" t="n">
        <f aca="false">Q95+(2/13)*(E96-Q95)</f>
        <v>37.9576451238402</v>
      </c>
      <c r="R96" s="30" t="n">
        <f aca="false">R95+(2/27)*(E96-R95)</f>
        <v>38.4023678617388</v>
      </c>
      <c r="S96" s="33" t="n">
        <f aca="false">Q96-R96</f>
        <v>-0.444722737898609</v>
      </c>
      <c r="T96" s="33" t="n">
        <f aca="false">T95+(2/10)*(S96-T95)</f>
        <v>-0.600913437048244</v>
      </c>
      <c r="U96" s="33" t="n">
        <f aca="false">S96-T96</f>
        <v>0.156190699149636</v>
      </c>
      <c r="V96" s="32" t="str">
        <f aca="false">IF(M96="","",IF(M96&lt;Assumptions!$B$5,"BUY",IF(M96&gt;Assumptions!$B$4,"SELL","HOLD")))</f>
        <v>HOLD</v>
      </c>
      <c r="W96" s="32" t="str">
        <f aca="false">IF(O96="","",IF(E96&gt;O96,"BUY","SELL"))</f>
        <v>SELL</v>
      </c>
      <c r="X96" s="32" t="str">
        <f aca="false">IF(T96="","",IF(S96&gt;T96,"BUY","SELL"))</f>
        <v>BUY</v>
      </c>
      <c r="Y96" s="34" t="n">
        <f aca="false">IF(OR(V96="",W96="",X96=""),"",IFERROR(IF(V96="BUY",1,IF(V96="SELL",-1,0))+IF(W96="BUY",1,IF(W96="SELL",-1,0))+IF(X96="BUY",1,IF(X96="SELL",-1,0)),0))</f>
        <v>0</v>
      </c>
      <c r="Z96" s="32" t="str">
        <f aca="false">IF(Y96="","",IF(Y96&gt;=2,"STRONG BUY",IF(Y96=1,"BUY",IF(Y96=0,"HOLD",IF(Y96=-1,"SELL","STRONG SELL")))))</f>
        <v>HOLD</v>
      </c>
    </row>
    <row r="97" customFormat="false" ht="15" hidden="false" customHeight="false" outlineLevel="0" collapsed="false">
      <c r="A97" s="24" t="n">
        <v>45903</v>
      </c>
      <c r="B97" s="25" t="n">
        <v>37.16</v>
      </c>
      <c r="C97" s="25" t="n">
        <v>37.38</v>
      </c>
      <c r="D97" s="25" t="n">
        <v>37.16</v>
      </c>
      <c r="E97" s="25" t="n">
        <v>37.27</v>
      </c>
      <c r="F97" s="26" t="n">
        <v>46315004</v>
      </c>
      <c r="G97" s="27" t="n">
        <f aca="false">E97-E96</f>
        <v>-0.119999999999997</v>
      </c>
      <c r="H97" s="28" t="n">
        <f aca="false">G97/E96</f>
        <v>-0.00320941428189349</v>
      </c>
      <c r="I97" s="29" t="n">
        <f aca="false">MAX(G97,0)</f>
        <v>0</v>
      </c>
      <c r="J97" s="29" t="n">
        <f aca="false">MAX(-G97,0)</f>
        <v>0.119999999999997</v>
      </c>
      <c r="K97" s="29" t="n">
        <f aca="false">(K96*13+I97)/14</f>
        <v>0.141300636729971</v>
      </c>
      <c r="L97" s="29" t="n">
        <f aca="false">(L96*13+J97)/14</f>
        <v>0.225334375591425</v>
      </c>
      <c r="M97" s="31" t="n">
        <f aca="false">IF(L97=0,100,100-100/(1+K97/MAX(L97,0.000001)))</f>
        <v>38.5398644377437</v>
      </c>
      <c r="N97" s="30" t="n">
        <f aca="false">AVERAGE(E78:E97)</f>
        <v>37.7115</v>
      </c>
      <c r="O97" s="30" t="n">
        <f aca="false">AVERAGE(E48:E97)</f>
        <v>39.584</v>
      </c>
      <c r="Q97" s="30" t="n">
        <f aca="false">Q96+(2/13)*(E97-Q96)</f>
        <v>37.8518535663263</v>
      </c>
      <c r="R97" s="30" t="n">
        <f aca="false">R96+(2/27)*(E97-R96)</f>
        <v>38.3184887608693</v>
      </c>
      <c r="S97" s="33" t="n">
        <f aca="false">Q97-R97</f>
        <v>-0.466635194542945</v>
      </c>
      <c r="T97" s="33" t="n">
        <f aca="false">T96+(2/10)*(S97-T96)</f>
        <v>-0.574057788547184</v>
      </c>
      <c r="U97" s="33" t="n">
        <f aca="false">S97-T97</f>
        <v>0.107422594004239</v>
      </c>
      <c r="V97" s="32" t="str">
        <f aca="false">IF(M97="","",IF(M97&lt;Assumptions!$B$5,"BUY",IF(M97&gt;Assumptions!$B$4,"SELL","HOLD")))</f>
        <v>HOLD</v>
      </c>
      <c r="W97" s="32" t="str">
        <f aca="false">IF(O97="","",IF(E97&gt;O97,"BUY","SELL"))</f>
        <v>SELL</v>
      </c>
      <c r="X97" s="32" t="str">
        <f aca="false">IF(T97="","",IF(S97&gt;T97,"BUY","SELL"))</f>
        <v>BUY</v>
      </c>
      <c r="Y97" s="34" t="n">
        <f aca="false">IF(OR(V97="",W97="",X97=""),"",IFERROR(IF(V97="BUY",1,IF(V97="SELL",-1,0))+IF(W97="BUY",1,IF(W97="SELL",-1,0))+IF(X97="BUY",1,IF(X97="SELL",-1,0)),0))</f>
        <v>0</v>
      </c>
      <c r="Z97" s="32" t="str">
        <f aca="false">IF(Y97="","",IF(Y97&gt;=2,"STRONG BUY",IF(Y97=1,"BUY",IF(Y97=0,"HOLD",IF(Y97=-1,"SELL","STRONG SELL")))))</f>
        <v>HOLD</v>
      </c>
    </row>
    <row r="98" customFormat="false" ht="15" hidden="false" customHeight="false" outlineLevel="0" collapsed="false">
      <c r="A98" s="24" t="n">
        <v>45904</v>
      </c>
      <c r="B98" s="25" t="n">
        <v>37.44</v>
      </c>
      <c r="C98" s="25" t="n">
        <v>37.58</v>
      </c>
      <c r="D98" s="25" t="n">
        <v>37.44</v>
      </c>
      <c r="E98" s="25" t="n">
        <v>37.51</v>
      </c>
      <c r="F98" s="26" t="n">
        <v>40344387</v>
      </c>
      <c r="G98" s="27" t="n">
        <f aca="false">E98-E97</f>
        <v>0.239999999999995</v>
      </c>
      <c r="H98" s="28" t="n">
        <f aca="false">G98/E97</f>
        <v>0.00643949557284666</v>
      </c>
      <c r="I98" s="29" t="n">
        <f aca="false">MAX(G98,0)</f>
        <v>0.239999999999995</v>
      </c>
      <c r="J98" s="29" t="n">
        <f aca="false">MAX(-G98,0)</f>
        <v>0</v>
      </c>
      <c r="K98" s="29" t="n">
        <f aca="false">(K97*13+I98)/14</f>
        <v>0.148350591249259</v>
      </c>
      <c r="L98" s="29" t="n">
        <f aca="false">(L97*13+J98)/14</f>
        <v>0.209239063049181</v>
      </c>
      <c r="M98" s="31" t="n">
        <f aca="false">IF(L98=0,100,100-100/(1+K98/MAX(L98,0.000001)))</f>
        <v>41.4862649033597</v>
      </c>
      <c r="N98" s="30" t="n">
        <f aca="false">AVERAGE(E79:E98)</f>
        <v>37.704</v>
      </c>
      <c r="O98" s="30" t="n">
        <f aca="false">AVERAGE(E49:E98)</f>
        <v>39.4852</v>
      </c>
      <c r="Q98" s="30" t="n">
        <f aca="false">Q97+(2/13)*(E98-Q97)</f>
        <v>37.7992607099684</v>
      </c>
      <c r="R98" s="30" t="n">
        <f aca="false">R97+(2/27)*(E98-R97)</f>
        <v>38.2586007045086</v>
      </c>
      <c r="S98" s="33" t="n">
        <f aca="false">Q98-R98</f>
        <v>-0.459339994540152</v>
      </c>
      <c r="T98" s="33" t="n">
        <f aca="false">T97+(2/10)*(S98-T97)</f>
        <v>-0.551114229745778</v>
      </c>
      <c r="U98" s="33" t="n">
        <f aca="false">S98-T98</f>
        <v>0.0917742352056263</v>
      </c>
      <c r="V98" s="32" t="str">
        <f aca="false">IF(M98="","",IF(M98&lt;Assumptions!$B$5,"BUY",IF(M98&gt;Assumptions!$B$4,"SELL","HOLD")))</f>
        <v>HOLD</v>
      </c>
      <c r="W98" s="32" t="str">
        <f aca="false">IF(O98="","",IF(E98&gt;O98,"BUY","SELL"))</f>
        <v>SELL</v>
      </c>
      <c r="X98" s="32" t="str">
        <f aca="false">IF(T98="","",IF(S98&gt;T98,"BUY","SELL"))</f>
        <v>BUY</v>
      </c>
      <c r="Y98" s="34" t="n">
        <f aca="false">IF(OR(V98="",W98="",X98=""),"",IFERROR(IF(V98="BUY",1,IF(V98="SELL",-1,0))+IF(W98="BUY",1,IF(W98="SELL",-1,0))+IF(X98="BUY",1,IF(X98="SELL",-1,0)),0))</f>
        <v>0</v>
      </c>
      <c r="Z98" s="32" t="str">
        <f aca="false">IF(Y98="","",IF(Y98&gt;=2,"STRONG BUY",IF(Y98=1,"BUY",IF(Y98=0,"HOLD",IF(Y98=-1,"SELL","STRONG SELL")))))</f>
        <v>HOLD</v>
      </c>
    </row>
    <row r="99" customFormat="false" ht="15" hidden="false" customHeight="false" outlineLevel="0" collapsed="false">
      <c r="A99" s="24" t="n">
        <v>45905</v>
      </c>
      <c r="B99" s="25" t="n">
        <v>36.86</v>
      </c>
      <c r="C99" s="25" t="n">
        <v>37.26</v>
      </c>
      <c r="D99" s="25" t="n">
        <v>36.84</v>
      </c>
      <c r="E99" s="25" t="n">
        <v>37.05</v>
      </c>
      <c r="F99" s="26" t="n">
        <v>72382120</v>
      </c>
      <c r="G99" s="27" t="n">
        <f aca="false">E99-E98</f>
        <v>-0.460000000000001</v>
      </c>
      <c r="H99" s="28" t="n">
        <f aca="false">G99/E98</f>
        <v>-0.0122633964276193</v>
      </c>
      <c r="I99" s="29" t="n">
        <f aca="false">MAX(G99,0)</f>
        <v>0</v>
      </c>
      <c r="J99" s="29" t="n">
        <f aca="false">MAX(-G99,0)</f>
        <v>0.460000000000001</v>
      </c>
      <c r="K99" s="29" t="n">
        <f aca="false">(K98*13+I99)/14</f>
        <v>0.13775412044574</v>
      </c>
      <c r="L99" s="29" t="n">
        <f aca="false">(L98*13+J99)/14</f>
        <v>0.227150558545668</v>
      </c>
      <c r="M99" s="31" t="n">
        <f aca="false">IF(L99=0,100,100-100/(1+K99/MAX(L99,0.000001)))</f>
        <v>37.7507136456816</v>
      </c>
      <c r="N99" s="30" t="n">
        <f aca="false">AVERAGE(E80:E99)</f>
        <v>37.6885</v>
      </c>
      <c r="O99" s="30" t="n">
        <f aca="false">AVERAGE(E50:E99)</f>
        <v>39.39</v>
      </c>
      <c r="Q99" s="30" t="n">
        <f aca="false">Q98+(2/13)*(E99-Q98)</f>
        <v>37.6839898315117</v>
      </c>
      <c r="R99" s="30" t="n">
        <f aca="false">R98+(2/27)*(E99-R98)</f>
        <v>38.1690747263968</v>
      </c>
      <c r="S99" s="33" t="n">
        <f aca="false">Q99-R99</f>
        <v>-0.485084894885084</v>
      </c>
      <c r="T99" s="33" t="n">
        <f aca="false">T98+(2/10)*(S99-T98)</f>
        <v>-0.537908362773639</v>
      </c>
      <c r="U99" s="33" t="n">
        <f aca="false">S99-T99</f>
        <v>0.0528234678885552</v>
      </c>
      <c r="V99" s="32" t="str">
        <f aca="false">IF(M99="","",IF(M99&lt;Assumptions!$B$5,"BUY",IF(M99&gt;Assumptions!$B$4,"SELL","HOLD")))</f>
        <v>HOLD</v>
      </c>
      <c r="W99" s="32" t="str">
        <f aca="false">IF(O99="","",IF(E99&gt;O99,"BUY","SELL"))</f>
        <v>SELL</v>
      </c>
      <c r="X99" s="32" t="str">
        <f aca="false">IF(T99="","",IF(S99&gt;T99,"BUY","SELL"))</f>
        <v>BUY</v>
      </c>
      <c r="Y99" s="34" t="n">
        <f aca="false">IF(OR(V99="",W99="",X99=""),"",IFERROR(IF(V99="BUY",1,IF(V99="SELL",-1,0))+IF(W99="BUY",1,IF(W99="SELL",-1,0))+IF(X99="BUY",1,IF(X99="SELL",-1,0)),0))</f>
        <v>0</v>
      </c>
      <c r="Z99" s="32" t="str">
        <f aca="false">IF(Y99="","",IF(Y99&gt;=2,"STRONG BUY",IF(Y99=1,"BUY",IF(Y99=0,"HOLD",IF(Y99=-1,"SELL","STRONG SELL")))))</f>
        <v>HOLD</v>
      </c>
    </row>
    <row r="100" customFormat="false" ht="15" hidden="false" customHeight="false" outlineLevel="0" collapsed="false">
      <c r="A100" s="24" t="n">
        <v>45908</v>
      </c>
      <c r="B100" s="25" t="n">
        <v>37.72</v>
      </c>
      <c r="C100" s="25" t="n">
        <v>37.81</v>
      </c>
      <c r="D100" s="25" t="n">
        <v>37.53</v>
      </c>
      <c r="E100" s="25" t="n">
        <v>37.67</v>
      </c>
      <c r="F100" s="26" t="n">
        <v>29915882</v>
      </c>
      <c r="G100" s="27" t="n">
        <f aca="false">E100-E99</f>
        <v>0.620000000000005</v>
      </c>
      <c r="H100" s="28" t="n">
        <f aca="false">G100/E99</f>
        <v>0.0167341430499326</v>
      </c>
      <c r="I100" s="29" t="n">
        <f aca="false">MAX(G100,0)</f>
        <v>0.620000000000005</v>
      </c>
      <c r="J100" s="29" t="n">
        <f aca="false">MAX(-G100,0)</f>
        <v>0</v>
      </c>
      <c r="K100" s="29" t="n">
        <f aca="false">(K99*13+I100)/14</f>
        <v>0.172200254699616</v>
      </c>
      <c r="L100" s="29" t="n">
        <f aca="false">(L99*13+J100)/14</f>
        <v>0.210925518649549</v>
      </c>
      <c r="M100" s="31" t="n">
        <f aca="false">IF(L100=0,100,100-100/(1+K100/MAX(L100,0.000001)))</f>
        <v>44.9461421491683</v>
      </c>
      <c r="N100" s="30" t="n">
        <f aca="false">AVERAGE(E81:E100)</f>
        <v>37.6795</v>
      </c>
      <c r="O100" s="30" t="n">
        <f aca="false">AVERAGE(E51:E100)</f>
        <v>39.3088</v>
      </c>
      <c r="Q100" s="30" t="n">
        <f aca="false">Q99+(2/13)*(E100-Q99)</f>
        <v>37.6818375497407</v>
      </c>
      <c r="R100" s="30" t="n">
        <f aca="false">R99+(2/27)*(E100-R99)</f>
        <v>38.1321062281452</v>
      </c>
      <c r="S100" s="33" t="n">
        <f aca="false">Q100-R100</f>
        <v>-0.450268678404505</v>
      </c>
      <c r="T100" s="33" t="n">
        <f aca="false">T99+(2/10)*(S100-T99)</f>
        <v>-0.520380425899812</v>
      </c>
      <c r="U100" s="33" t="n">
        <f aca="false">S100-T100</f>
        <v>0.070111747495307</v>
      </c>
      <c r="V100" s="32" t="str">
        <f aca="false">IF(M100="","",IF(M100&lt;Assumptions!$B$5,"BUY",IF(M100&gt;Assumptions!$B$4,"SELL","HOLD")))</f>
        <v>HOLD</v>
      </c>
      <c r="W100" s="32" t="str">
        <f aca="false">IF(O100="","",IF(E100&gt;O100,"BUY","SELL"))</f>
        <v>SELL</v>
      </c>
      <c r="X100" s="32" t="str">
        <f aca="false">IF(T100="","",IF(S100&gt;T100,"BUY","SELL"))</f>
        <v>BUY</v>
      </c>
      <c r="Y100" s="34" t="n">
        <f aca="false">IF(OR(V100="",W100="",X100=""),"",IFERROR(IF(V100="BUY",1,IF(V100="SELL",-1,0))+IF(W100="BUY",1,IF(W100="SELL",-1,0))+IF(X100="BUY",1,IF(X100="SELL",-1,0)),0))</f>
        <v>0</v>
      </c>
      <c r="Z100" s="32" t="str">
        <f aca="false">IF(Y100="","",IF(Y100&gt;=2,"STRONG BUY",IF(Y100=1,"BUY",IF(Y100=0,"HOLD",IF(Y100=-1,"SELL","STRONG SELL")))))</f>
        <v>HOLD</v>
      </c>
    </row>
    <row r="101" customFormat="false" ht="15" hidden="false" customHeight="false" outlineLevel="0" collapsed="false">
      <c r="A101" s="24" t="n">
        <v>45909</v>
      </c>
      <c r="B101" s="25" t="n">
        <v>37.75</v>
      </c>
      <c r="C101" s="25" t="n">
        <v>37.79</v>
      </c>
      <c r="D101" s="25" t="n">
        <v>37.57</v>
      </c>
      <c r="E101" s="25" t="n">
        <v>37.68</v>
      </c>
      <c r="F101" s="26" t="n">
        <v>69886544</v>
      </c>
      <c r="G101" s="27" t="n">
        <f aca="false">E101-E100</f>
        <v>0.00999999999999801</v>
      </c>
      <c r="H101" s="28" t="n">
        <f aca="false">G101/E100</f>
        <v>0.000265463233342129</v>
      </c>
      <c r="I101" s="29" t="n">
        <f aca="false">MAX(G101,0)</f>
        <v>0.00999999999999801</v>
      </c>
      <c r="J101" s="29" t="n">
        <f aca="false">MAX(-G101,0)</f>
        <v>0</v>
      </c>
      <c r="K101" s="29" t="n">
        <f aca="false">(K100*13+I101)/14</f>
        <v>0.160614522221072</v>
      </c>
      <c r="L101" s="29" t="n">
        <f aca="false">(L100*13+J101)/14</f>
        <v>0.195859410174581</v>
      </c>
      <c r="M101" s="31" t="n">
        <f aca="false">IF(L101=0,100,100-100/(1+K101/MAX(L101,0.000001)))</f>
        <v>45.056456482435</v>
      </c>
      <c r="N101" s="30" t="n">
        <f aca="false">AVERAGE(E82:E101)</f>
        <v>37.681</v>
      </c>
      <c r="O101" s="30" t="n">
        <f aca="false">AVERAGE(E52:E101)</f>
        <v>39.2236</v>
      </c>
      <c r="Q101" s="30" t="n">
        <f aca="false">Q100+(2/13)*(E101-Q100)</f>
        <v>37.6815548497806</v>
      </c>
      <c r="R101" s="30" t="n">
        <f aca="false">R100+(2/27)*(E101-R100)</f>
        <v>38.0986168779122</v>
      </c>
      <c r="S101" s="33" t="n">
        <f aca="false">Q101-R101</f>
        <v>-0.417062028131639</v>
      </c>
      <c r="T101" s="33" t="n">
        <f aca="false">T100+(2/10)*(S101-T100)</f>
        <v>-0.499716746346178</v>
      </c>
      <c r="U101" s="33" t="n">
        <f aca="false">S101-T101</f>
        <v>0.0826547182145389</v>
      </c>
      <c r="V101" s="32" t="str">
        <f aca="false">IF(M101="","",IF(M101&lt;Assumptions!$B$5,"BUY",IF(M101&gt;Assumptions!$B$4,"SELL","HOLD")))</f>
        <v>HOLD</v>
      </c>
      <c r="W101" s="32" t="str">
        <f aca="false">IF(O101="","",IF(E101&gt;O101,"BUY","SELL"))</f>
        <v>SELL</v>
      </c>
      <c r="X101" s="32" t="str">
        <f aca="false">IF(T101="","",IF(S101&gt;T101,"BUY","SELL"))</f>
        <v>BUY</v>
      </c>
      <c r="Y101" s="34" t="n">
        <f aca="false">IF(OR(V101="",W101="",X101=""),"",IFERROR(IF(V101="BUY",1,IF(V101="SELL",-1,0))+IF(W101="BUY",1,IF(W101="SELL",-1,0))+IF(X101="BUY",1,IF(X101="SELL",-1,0)),0))</f>
        <v>0</v>
      </c>
      <c r="Z101" s="32" t="str">
        <f aca="false">IF(Y101="","",IF(Y101&gt;=2,"STRONG BUY",IF(Y101=1,"BUY",IF(Y101=0,"HOLD",IF(Y101=-1,"SELL","STRONG SELL")))))</f>
        <v>HOLD</v>
      </c>
    </row>
    <row r="102" customFormat="false" ht="15" hidden="false" customHeight="false" outlineLevel="0" collapsed="false">
      <c r="A102" s="24" t="n">
        <v>45910</v>
      </c>
      <c r="B102" s="25" t="n">
        <v>36.82</v>
      </c>
      <c r="C102" s="25" t="n">
        <v>36.94</v>
      </c>
      <c r="D102" s="25" t="n">
        <v>36.34</v>
      </c>
      <c r="E102" s="25" t="n">
        <v>36.64</v>
      </c>
      <c r="F102" s="26" t="n">
        <v>53656082</v>
      </c>
      <c r="G102" s="27" t="n">
        <f aca="false">E102-E101</f>
        <v>-1.04</v>
      </c>
      <c r="H102" s="28" t="n">
        <f aca="false">G102/E101</f>
        <v>-0.0276008492569002</v>
      </c>
      <c r="I102" s="29" t="n">
        <f aca="false">MAX(G102,0)</f>
        <v>0</v>
      </c>
      <c r="J102" s="29" t="n">
        <f aca="false">MAX(-G102,0)</f>
        <v>1.04</v>
      </c>
      <c r="K102" s="29" t="n">
        <f aca="false">(K101*13+I102)/14</f>
        <v>0.149142056348138</v>
      </c>
      <c r="L102" s="29" t="n">
        <f aca="false">(L101*13+J102)/14</f>
        <v>0.256155166590682</v>
      </c>
      <c r="M102" s="31" t="n">
        <f aca="false">IF(L102=0,100,100-100/(1+K102/MAX(L102,0.000001)))</f>
        <v>36.798193500243</v>
      </c>
      <c r="N102" s="30" t="n">
        <f aca="false">AVERAGE(E83:E102)</f>
        <v>37.6245</v>
      </c>
      <c r="O102" s="30" t="n">
        <f aca="false">AVERAGE(E53:E102)</f>
        <v>39.1184</v>
      </c>
      <c r="Q102" s="30" t="n">
        <f aca="false">Q101+(2/13)*(E102-Q101)</f>
        <v>37.521315642122</v>
      </c>
      <c r="R102" s="30" t="n">
        <f aca="false">R101+(2/27)*(E102-R101)</f>
        <v>37.9905711832521</v>
      </c>
      <c r="S102" s="33" t="n">
        <f aca="false">Q102-R102</f>
        <v>-0.469255541130025</v>
      </c>
      <c r="T102" s="33" t="n">
        <f aca="false">T101+(2/10)*(S102-T101)</f>
        <v>-0.493624505302947</v>
      </c>
      <c r="U102" s="33" t="n">
        <f aca="false">S102-T102</f>
        <v>0.0243689641729223</v>
      </c>
      <c r="V102" s="32" t="str">
        <f aca="false">IF(M102="","",IF(M102&lt;Assumptions!$B$5,"BUY",IF(M102&gt;Assumptions!$B$4,"SELL","HOLD")))</f>
        <v>HOLD</v>
      </c>
      <c r="W102" s="32" t="str">
        <f aca="false">IF(O102="","",IF(E102&gt;O102,"BUY","SELL"))</f>
        <v>SELL</v>
      </c>
      <c r="X102" s="32" t="str">
        <f aca="false">IF(T102="","",IF(S102&gt;T102,"BUY","SELL"))</f>
        <v>BUY</v>
      </c>
      <c r="Y102" s="34" t="n">
        <f aca="false">IF(OR(V102="",W102="",X102=""),"",IFERROR(IF(V102="BUY",1,IF(V102="SELL",-1,0))+IF(W102="BUY",1,IF(W102="SELL",-1,0))+IF(X102="BUY",1,IF(X102="SELL",-1,0)),0))</f>
        <v>0</v>
      </c>
      <c r="Z102" s="32" t="str">
        <f aca="false">IF(Y102="","",IF(Y102&gt;=2,"STRONG BUY",IF(Y102=1,"BUY",IF(Y102=0,"HOLD",IF(Y102=-1,"SELL","STRONG SELL")))))</f>
        <v>HOLD</v>
      </c>
    </row>
    <row r="103" customFormat="false" ht="15" hidden="false" customHeight="false" outlineLevel="0" collapsed="false">
      <c r="A103" s="24" t="n">
        <v>45911</v>
      </c>
      <c r="B103" s="25" t="n">
        <v>36.59</v>
      </c>
      <c r="C103" s="25" t="n">
        <v>36.67</v>
      </c>
      <c r="D103" s="25" t="n">
        <v>36.13</v>
      </c>
      <c r="E103" s="25" t="n">
        <v>36.4</v>
      </c>
      <c r="F103" s="26" t="n">
        <v>27177642</v>
      </c>
      <c r="G103" s="27" t="n">
        <f aca="false">E103-E102</f>
        <v>-0.240000000000002</v>
      </c>
      <c r="H103" s="28" t="n">
        <f aca="false">G103/E102</f>
        <v>-0.00655021834061141</v>
      </c>
      <c r="I103" s="29" t="n">
        <f aca="false">MAX(G103,0)</f>
        <v>0</v>
      </c>
      <c r="J103" s="29" t="n">
        <f aca="false">MAX(-G103,0)</f>
        <v>0.240000000000002</v>
      </c>
      <c r="K103" s="29" t="n">
        <f aca="false">(K102*13+I103)/14</f>
        <v>0.138489052323271</v>
      </c>
      <c r="L103" s="29" t="n">
        <f aca="false">(L102*13+J103)/14</f>
        <v>0.255001226119919</v>
      </c>
      <c r="M103" s="31" t="n">
        <f aca="false">IF(L103=0,100,100-100/(1+K103/MAX(L103,0.000001)))</f>
        <v>35.1950378218214</v>
      </c>
      <c r="N103" s="30" t="n">
        <f aca="false">AVERAGE(E84:E103)</f>
        <v>37.5905</v>
      </c>
      <c r="O103" s="30" t="n">
        <f aca="false">AVERAGE(E54:E103)</f>
        <v>39.02</v>
      </c>
      <c r="Q103" s="30" t="n">
        <f aca="false">Q102+(2/13)*(E103-Q102)</f>
        <v>37.348805543334</v>
      </c>
      <c r="R103" s="30" t="n">
        <f aca="false">R102+(2/27)*(E103-R102)</f>
        <v>37.8727510956038</v>
      </c>
      <c r="S103" s="33" t="n">
        <f aca="false">Q103-R103</f>
        <v>-0.52394555226973</v>
      </c>
      <c r="T103" s="33" t="n">
        <f aca="false">T102+(2/10)*(S103-T102)</f>
        <v>-0.499688714696304</v>
      </c>
      <c r="U103" s="33" t="n">
        <f aca="false">S103-T103</f>
        <v>-0.0242568375734262</v>
      </c>
      <c r="V103" s="32" t="str">
        <f aca="false">IF(M103="","",IF(M103&lt;Assumptions!$B$5,"BUY",IF(M103&gt;Assumptions!$B$4,"SELL","HOLD")))</f>
        <v>HOLD</v>
      </c>
      <c r="W103" s="32" t="str">
        <f aca="false">IF(O103="","",IF(E103&gt;O103,"BUY","SELL"))</f>
        <v>SELL</v>
      </c>
      <c r="X103" s="32" t="str">
        <f aca="false">IF(T103="","",IF(S103&gt;T103,"BUY","SELL"))</f>
        <v>SELL</v>
      </c>
      <c r="Y103" s="34" t="n">
        <f aca="false">IF(OR(V103="",W103="",X103=""),"",IFERROR(IF(V103="BUY",1,IF(V103="SELL",-1,0))+IF(W103="BUY",1,IF(W103="SELL",-1,0))+IF(X103="BUY",1,IF(X103="SELL",-1,0)),0))</f>
        <v>-2</v>
      </c>
      <c r="Z103" s="32" t="str">
        <f aca="false">IF(Y103="","",IF(Y103&gt;=2,"STRONG BUY",IF(Y103=1,"BUY",IF(Y103=0,"HOLD",IF(Y103=-1,"SELL","STRONG SELL")))))</f>
        <v>STRONG SELL</v>
      </c>
    </row>
    <row r="104" customFormat="false" ht="15" hidden="false" customHeight="false" outlineLevel="0" collapsed="false">
      <c r="A104" s="24" t="n">
        <v>45912</v>
      </c>
      <c r="B104" s="25" t="n">
        <v>35.2</v>
      </c>
      <c r="C104" s="25" t="n">
        <v>35.2</v>
      </c>
      <c r="D104" s="25" t="n">
        <v>35.02</v>
      </c>
      <c r="E104" s="25" t="n">
        <v>35.11</v>
      </c>
      <c r="F104" s="26" t="n">
        <v>57762259</v>
      </c>
      <c r="G104" s="27" t="n">
        <f aca="false">E104-E103</f>
        <v>-1.29</v>
      </c>
      <c r="H104" s="28" t="n">
        <f aca="false">G104/E103</f>
        <v>-0.0354395604395604</v>
      </c>
      <c r="I104" s="29" t="n">
        <f aca="false">MAX(G104,0)</f>
        <v>0</v>
      </c>
      <c r="J104" s="29" t="n">
        <f aca="false">MAX(-G104,0)</f>
        <v>1.29</v>
      </c>
      <c r="K104" s="29" t="n">
        <f aca="false">(K103*13+I104)/14</f>
        <v>0.128596977157323</v>
      </c>
      <c r="L104" s="29" t="n">
        <f aca="false">(L103*13+J104)/14</f>
        <v>0.328929709968497</v>
      </c>
      <c r="M104" s="31" t="n">
        <f aca="false">IF(L104=0,100,100-100/(1+K104/MAX(L104,0.000001)))</f>
        <v>28.1069893354569</v>
      </c>
      <c r="N104" s="30" t="n">
        <f aca="false">AVERAGE(E85:E104)</f>
        <v>37.4745</v>
      </c>
      <c r="O104" s="30" t="n">
        <f aca="false">AVERAGE(E55:E104)</f>
        <v>38.8942</v>
      </c>
      <c r="Q104" s="30" t="n">
        <f aca="false">Q103+(2/13)*(E104-Q103)</f>
        <v>37.0043739212826</v>
      </c>
      <c r="R104" s="30" t="n">
        <f aca="false">R103+(2/27)*(E104-R103)</f>
        <v>37.6681028662998</v>
      </c>
      <c r="S104" s="33" t="n">
        <f aca="false">Q104-R104</f>
        <v>-0.663728945017134</v>
      </c>
      <c r="T104" s="33" t="n">
        <f aca="false">T103+(2/10)*(S104-T103)</f>
        <v>-0.53249676076047</v>
      </c>
      <c r="U104" s="33" t="n">
        <f aca="false">S104-T104</f>
        <v>-0.131232184256664</v>
      </c>
      <c r="V104" s="32" t="str">
        <f aca="false">IF(M104="","",IF(M104&lt;Assumptions!$B$5,"BUY",IF(M104&gt;Assumptions!$B$4,"SELL","HOLD")))</f>
        <v>BUY</v>
      </c>
      <c r="W104" s="32" t="str">
        <f aca="false">IF(O104="","",IF(E104&gt;O104,"BUY","SELL"))</f>
        <v>SELL</v>
      </c>
      <c r="X104" s="32" t="str">
        <f aca="false">IF(T104="","",IF(S104&gt;T104,"BUY","SELL"))</f>
        <v>SELL</v>
      </c>
      <c r="Y104" s="34" t="n">
        <f aca="false">IF(OR(V104="",W104="",X104=""),"",IFERROR(IF(V104="BUY",1,IF(V104="SELL",-1,0))+IF(W104="BUY",1,IF(W104="SELL",-1,0))+IF(X104="BUY",1,IF(X104="SELL",-1,0)),0))</f>
        <v>-1</v>
      </c>
      <c r="Z104" s="32" t="str">
        <f aca="false">IF(Y104="","",IF(Y104&gt;=2,"STRONG BUY",IF(Y104=1,"BUY",IF(Y104=0,"HOLD",IF(Y104=-1,"SELL","STRONG SELL")))))</f>
        <v>SELL</v>
      </c>
    </row>
    <row r="105" customFormat="false" ht="15" hidden="false" customHeight="false" outlineLevel="0" collapsed="false">
      <c r="A105" s="24" t="n">
        <v>45915</v>
      </c>
      <c r="B105" s="25" t="n">
        <v>34.75</v>
      </c>
      <c r="C105" s="25" t="n">
        <v>35.08</v>
      </c>
      <c r="D105" s="25" t="n">
        <v>34.42</v>
      </c>
      <c r="E105" s="25" t="n">
        <v>34.75</v>
      </c>
      <c r="F105" s="26" t="n">
        <v>20423792</v>
      </c>
      <c r="G105" s="27" t="n">
        <f aca="false">E105-E104</f>
        <v>-0.359999999999999</v>
      </c>
      <c r="H105" s="28" t="n">
        <f aca="false">G105/E104</f>
        <v>-0.0102534890344631</v>
      </c>
      <c r="I105" s="29" t="n">
        <f aca="false">MAX(G105,0)</f>
        <v>0</v>
      </c>
      <c r="J105" s="29" t="n">
        <f aca="false">MAX(-G105,0)</f>
        <v>0.359999999999999</v>
      </c>
      <c r="K105" s="29" t="n">
        <f aca="false">(K104*13+I105)/14</f>
        <v>0.119411478788943</v>
      </c>
      <c r="L105" s="29" t="n">
        <f aca="false">(L104*13+J105)/14</f>
        <v>0.331149016399318</v>
      </c>
      <c r="M105" s="31" t="n">
        <f aca="false">IF(L105=0,100,100-100/(1+K105/MAX(L105,0.000001)))</f>
        <v>26.5028736571875</v>
      </c>
      <c r="N105" s="30" t="n">
        <f aca="false">AVERAGE(E86:E105)</f>
        <v>37.351</v>
      </c>
      <c r="O105" s="30" t="n">
        <f aca="false">AVERAGE(E56:E105)</f>
        <v>38.7664</v>
      </c>
      <c r="Q105" s="30" t="n">
        <f aca="false">Q104+(2/13)*(E105-Q104)</f>
        <v>36.6575471641622</v>
      </c>
      <c r="R105" s="30" t="n">
        <f aca="false">R104+(2/27)*(E105-R104)</f>
        <v>37.4519470984257</v>
      </c>
      <c r="S105" s="33" t="n">
        <f aca="false">Q105-R105</f>
        <v>-0.794399934263481</v>
      </c>
      <c r="T105" s="33" t="n">
        <f aca="false">T104+(2/10)*(S105-T104)</f>
        <v>-0.584877395461072</v>
      </c>
      <c r="U105" s="33" t="n">
        <f aca="false">S105-T105</f>
        <v>-0.209522538802409</v>
      </c>
      <c r="V105" s="32" t="str">
        <f aca="false">IF(M105="","",IF(M105&lt;Assumptions!$B$5,"BUY",IF(M105&gt;Assumptions!$B$4,"SELL","HOLD")))</f>
        <v>BUY</v>
      </c>
      <c r="W105" s="32" t="str">
        <f aca="false">IF(O105="","",IF(E105&gt;O105,"BUY","SELL"))</f>
        <v>SELL</v>
      </c>
      <c r="X105" s="32" t="str">
        <f aca="false">IF(T105="","",IF(S105&gt;T105,"BUY","SELL"))</f>
        <v>SELL</v>
      </c>
      <c r="Y105" s="34" t="n">
        <f aca="false">IF(OR(V105="",W105="",X105=""),"",IFERROR(IF(V105="BUY",1,IF(V105="SELL",-1,0))+IF(W105="BUY",1,IF(W105="SELL",-1,0))+IF(X105="BUY",1,IF(X105="SELL",-1,0)),0))</f>
        <v>-1</v>
      </c>
      <c r="Z105" s="32" t="str">
        <f aca="false">IF(Y105="","",IF(Y105&gt;=2,"STRONG BUY",IF(Y105=1,"BUY",IF(Y105=0,"HOLD",IF(Y105=-1,"SELL","STRONG SELL")))))</f>
        <v>SELL</v>
      </c>
    </row>
    <row r="106" customFormat="false" ht="15" hidden="false" customHeight="false" outlineLevel="0" collapsed="false">
      <c r="A106" s="24" t="n">
        <v>45916</v>
      </c>
      <c r="B106" s="25" t="n">
        <v>34.51</v>
      </c>
      <c r="C106" s="25" t="n">
        <v>34.55</v>
      </c>
      <c r="D106" s="25" t="n">
        <v>34.43</v>
      </c>
      <c r="E106" s="25" t="n">
        <v>34.49</v>
      </c>
      <c r="F106" s="26" t="n">
        <v>43864342</v>
      </c>
      <c r="G106" s="27" t="n">
        <f aca="false">E106-E105</f>
        <v>-0.259999999999998</v>
      </c>
      <c r="H106" s="28" t="n">
        <f aca="false">G106/E105</f>
        <v>-0.00748201438848915</v>
      </c>
      <c r="I106" s="29" t="n">
        <f aca="false">MAX(G106,0)</f>
        <v>0</v>
      </c>
      <c r="J106" s="29" t="n">
        <f aca="false">MAX(-G106,0)</f>
        <v>0.259999999999998</v>
      </c>
      <c r="K106" s="29" t="n">
        <f aca="false">(K105*13+I106)/14</f>
        <v>0.110882087446876</v>
      </c>
      <c r="L106" s="29" t="n">
        <f aca="false">(L105*13+J106)/14</f>
        <v>0.326066943799367</v>
      </c>
      <c r="M106" s="31" t="n">
        <f aca="false">IF(L106=0,100,100-100/(1+K106/MAX(L106,0.000001)))</f>
        <v>25.3764351257683</v>
      </c>
      <c r="N106" s="30" t="n">
        <f aca="false">AVERAGE(E87:E106)</f>
        <v>37.2035</v>
      </c>
      <c r="O106" s="30" t="n">
        <f aca="false">AVERAGE(E57:E106)</f>
        <v>38.6456</v>
      </c>
      <c r="Q106" s="30" t="n">
        <f aca="false">Q105+(2/13)*(E106-Q105)</f>
        <v>36.3240783696757</v>
      </c>
      <c r="R106" s="30" t="n">
        <f aca="false">R105+(2/27)*(E106-R105)</f>
        <v>37.2325436096535</v>
      </c>
      <c r="S106" s="33" t="n">
        <f aca="false">Q106-R106</f>
        <v>-0.908465239977708</v>
      </c>
      <c r="T106" s="33" t="n">
        <f aca="false">T105+(2/10)*(S106-T105)</f>
        <v>-0.649594964364399</v>
      </c>
      <c r="U106" s="33" t="n">
        <f aca="false">S106-T106</f>
        <v>-0.258870275613309</v>
      </c>
      <c r="V106" s="32" t="str">
        <f aca="false">IF(M106="","",IF(M106&lt;Assumptions!$B$5,"BUY",IF(M106&gt;Assumptions!$B$4,"SELL","HOLD")))</f>
        <v>BUY</v>
      </c>
      <c r="W106" s="32" t="str">
        <f aca="false">IF(O106="","",IF(E106&gt;O106,"BUY","SELL"))</f>
        <v>SELL</v>
      </c>
      <c r="X106" s="32" t="str">
        <f aca="false">IF(T106="","",IF(S106&gt;T106,"BUY","SELL"))</f>
        <v>SELL</v>
      </c>
      <c r="Y106" s="34" t="n">
        <f aca="false">IF(OR(V106="",W106="",X106=""),"",IFERROR(IF(V106="BUY",1,IF(V106="SELL",-1,0))+IF(W106="BUY",1,IF(W106="SELL",-1,0))+IF(X106="BUY",1,IF(X106="SELL",-1,0)),0))</f>
        <v>-1</v>
      </c>
      <c r="Z106" s="32" t="str">
        <f aca="false">IF(Y106="","",IF(Y106&gt;=2,"STRONG BUY",IF(Y106=1,"BUY",IF(Y106=0,"HOLD",IF(Y106=-1,"SELL","STRONG SELL")))))</f>
        <v>SELL</v>
      </c>
    </row>
    <row r="107" customFormat="false" ht="15" hidden="false" customHeight="false" outlineLevel="0" collapsed="false">
      <c r="A107" s="24" t="n">
        <v>45917</v>
      </c>
      <c r="B107" s="25" t="n">
        <v>34.17</v>
      </c>
      <c r="C107" s="25" t="n">
        <v>34.49</v>
      </c>
      <c r="D107" s="25" t="n">
        <v>33.91</v>
      </c>
      <c r="E107" s="25" t="n">
        <v>34.2</v>
      </c>
      <c r="F107" s="26" t="n">
        <v>24872672</v>
      </c>
      <c r="G107" s="27" t="n">
        <f aca="false">E107-E106</f>
        <v>-0.289999999999999</v>
      </c>
      <c r="H107" s="28" t="n">
        <f aca="false">G107/E106</f>
        <v>-0.00840823427080311</v>
      </c>
      <c r="I107" s="29" t="n">
        <f aca="false">MAX(G107,0)</f>
        <v>0</v>
      </c>
      <c r="J107" s="29" t="n">
        <f aca="false">MAX(-G107,0)</f>
        <v>0.289999999999999</v>
      </c>
      <c r="K107" s="29" t="n">
        <f aca="false">(K106*13+I107)/14</f>
        <v>0.102961938343527</v>
      </c>
      <c r="L107" s="29" t="n">
        <f aca="false">(L106*13+J107)/14</f>
        <v>0.323490733527983</v>
      </c>
      <c r="M107" s="31" t="n">
        <f aca="false">IF(L107=0,100,100-100/(1+K107/MAX(L107,0.000001)))</f>
        <v>24.1438136362643</v>
      </c>
      <c r="N107" s="30" t="n">
        <f aca="false">AVERAGE(E88:E107)</f>
        <v>37.0325</v>
      </c>
      <c r="O107" s="30" t="n">
        <f aca="false">AVERAGE(E58:E107)</f>
        <v>38.5152</v>
      </c>
      <c r="Q107" s="30" t="n">
        <f aca="false">Q106+(2/13)*(E107-Q106)</f>
        <v>35.9972970820333</v>
      </c>
      <c r="R107" s="30" t="n">
        <f aca="false">R106+(2/27)*(E107-R106)</f>
        <v>37.0079107496791</v>
      </c>
      <c r="S107" s="33" t="n">
        <f aca="false">Q107-R107</f>
        <v>-1.0106136676458</v>
      </c>
      <c r="T107" s="33" t="n">
        <f aca="false">T106+(2/10)*(S107-T106)</f>
        <v>-0.721798705020679</v>
      </c>
      <c r="U107" s="33" t="n">
        <f aca="false">S107-T107</f>
        <v>-0.28881496262512</v>
      </c>
      <c r="V107" s="32" t="str">
        <f aca="false">IF(M107="","",IF(M107&lt;Assumptions!$B$5,"BUY",IF(M107&gt;Assumptions!$B$4,"SELL","HOLD")))</f>
        <v>BUY</v>
      </c>
      <c r="W107" s="32" t="str">
        <f aca="false">IF(O107="","",IF(E107&gt;O107,"BUY","SELL"))</f>
        <v>SELL</v>
      </c>
      <c r="X107" s="32" t="str">
        <f aca="false">IF(T107="","",IF(S107&gt;T107,"BUY","SELL"))</f>
        <v>SELL</v>
      </c>
      <c r="Y107" s="34" t="n">
        <f aca="false">IF(OR(V107="",W107="",X107=""),"",IFERROR(IF(V107="BUY",1,IF(V107="SELL",-1,0))+IF(W107="BUY",1,IF(W107="SELL",-1,0))+IF(X107="BUY",1,IF(X107="SELL",-1,0)),0))</f>
        <v>-1</v>
      </c>
      <c r="Z107" s="32" t="str">
        <f aca="false">IF(Y107="","",IF(Y107&gt;=2,"STRONG BUY",IF(Y107=1,"BUY",IF(Y107=0,"HOLD",IF(Y107=-1,"SELL","STRONG SELL")))))</f>
        <v>SELL</v>
      </c>
    </row>
    <row r="108" customFormat="false" ht="15" hidden="false" customHeight="false" outlineLevel="0" collapsed="false">
      <c r="A108" s="24" t="n">
        <v>45918</v>
      </c>
      <c r="B108" s="25" t="n">
        <v>33.95</v>
      </c>
      <c r="C108" s="25" t="n">
        <v>34.15</v>
      </c>
      <c r="D108" s="25" t="n">
        <v>33.95</v>
      </c>
      <c r="E108" s="25" t="n">
        <v>34.05</v>
      </c>
      <c r="F108" s="26" t="n">
        <v>79748115</v>
      </c>
      <c r="G108" s="27" t="n">
        <f aca="false">E108-E107</f>
        <v>-0.150000000000006</v>
      </c>
      <c r="H108" s="28" t="n">
        <f aca="false">G108/E107</f>
        <v>-0.00438596491228087</v>
      </c>
      <c r="I108" s="29" t="n">
        <f aca="false">MAX(G108,0)</f>
        <v>0</v>
      </c>
      <c r="J108" s="29" t="n">
        <f aca="false">MAX(-G108,0)</f>
        <v>0.150000000000006</v>
      </c>
      <c r="K108" s="29" t="n">
        <f aca="false">(K107*13+I108)/14</f>
        <v>0.0956075141761327</v>
      </c>
      <c r="L108" s="29" t="n">
        <f aca="false">(L107*13+J108)/14</f>
        <v>0.311098538275985</v>
      </c>
      <c r="M108" s="31" t="n">
        <f aca="false">IF(L108=0,100,100-100/(1+K108/MAX(L108,0.000001)))</f>
        <v>23.5077677353692</v>
      </c>
      <c r="N108" s="30" t="n">
        <f aca="false">AVERAGE(E89:E108)</f>
        <v>36.8585</v>
      </c>
      <c r="O108" s="30" t="n">
        <f aca="false">AVERAGE(E59:E108)</f>
        <v>38.3842</v>
      </c>
      <c r="Q108" s="30" t="n">
        <f aca="false">Q107+(2/13)*(E108-Q107)</f>
        <v>35.6977129155667</v>
      </c>
      <c r="R108" s="30" t="n">
        <f aca="false">R107+(2/27)*(E108-R107)</f>
        <v>36.7888062497029</v>
      </c>
      <c r="S108" s="33" t="n">
        <f aca="false">Q108-R108</f>
        <v>-1.09109333413623</v>
      </c>
      <c r="T108" s="33" t="n">
        <f aca="false">T107+(2/10)*(S108-T107)</f>
        <v>-0.79565763084379</v>
      </c>
      <c r="U108" s="33" t="n">
        <f aca="false">S108-T108</f>
        <v>-0.295435703292443</v>
      </c>
      <c r="V108" s="32" t="str">
        <f aca="false">IF(M108="","",IF(M108&lt;Assumptions!$B$5,"BUY",IF(M108&gt;Assumptions!$B$4,"SELL","HOLD")))</f>
        <v>BUY</v>
      </c>
      <c r="W108" s="32" t="str">
        <f aca="false">IF(O108="","",IF(E108&gt;O108,"BUY","SELL"))</f>
        <v>SELL</v>
      </c>
      <c r="X108" s="32" t="str">
        <f aca="false">IF(T108="","",IF(S108&gt;T108,"BUY","SELL"))</f>
        <v>SELL</v>
      </c>
      <c r="Y108" s="34" t="n">
        <f aca="false">IF(OR(V108="",W108="",X108=""),"",IFERROR(IF(V108="BUY",1,IF(V108="SELL",-1,0))+IF(W108="BUY",1,IF(W108="SELL",-1,0))+IF(X108="BUY",1,IF(X108="SELL",-1,0)),0))</f>
        <v>-1</v>
      </c>
      <c r="Z108" s="32" t="str">
        <f aca="false">IF(Y108="","",IF(Y108&gt;=2,"STRONG BUY",IF(Y108=1,"BUY",IF(Y108=0,"HOLD",IF(Y108=-1,"SELL","STRONG SELL")))))</f>
        <v>SELL</v>
      </c>
    </row>
    <row r="109" customFormat="false" ht="15" hidden="false" customHeight="false" outlineLevel="0" collapsed="false">
      <c r="A109" s="24" t="n">
        <v>45919</v>
      </c>
      <c r="B109" s="25" t="n">
        <v>33.82</v>
      </c>
      <c r="C109" s="25" t="n">
        <v>33.92</v>
      </c>
      <c r="D109" s="25" t="n">
        <v>33.82</v>
      </c>
      <c r="E109" s="25" t="n">
        <v>33.87</v>
      </c>
      <c r="F109" s="26" t="n">
        <v>68889356</v>
      </c>
      <c r="G109" s="27" t="n">
        <f aca="false">E109-E108</f>
        <v>-0.18</v>
      </c>
      <c r="H109" s="28" t="n">
        <f aca="false">G109/E108</f>
        <v>-0.00528634361233479</v>
      </c>
      <c r="I109" s="29" t="n">
        <f aca="false">MAX(G109,0)</f>
        <v>0</v>
      </c>
      <c r="J109" s="29" t="n">
        <f aca="false">MAX(-G109,0)</f>
        <v>0.18</v>
      </c>
      <c r="K109" s="29" t="n">
        <f aca="false">(K108*13+I109)/14</f>
        <v>0.0887784060206946</v>
      </c>
      <c r="L109" s="29" t="n">
        <f aca="false">(L108*13+J109)/14</f>
        <v>0.301734356970557</v>
      </c>
      <c r="M109" s="31" t="n">
        <f aca="false">IF(L109=0,100,100-100/(1+K109/MAX(L109,0.000001)))</f>
        <v>22.7338039711351</v>
      </c>
      <c r="N109" s="30" t="n">
        <f aca="false">AVERAGE(E90:E109)</f>
        <v>36.6695</v>
      </c>
      <c r="O109" s="30" t="n">
        <f aca="false">AVERAGE(E60:E109)</f>
        <v>38.2358</v>
      </c>
      <c r="Q109" s="30" t="n">
        <f aca="false">Q108+(2/13)*(E109-Q108)</f>
        <v>35.4165263131718</v>
      </c>
      <c r="R109" s="30" t="n">
        <f aca="false">R108+(2/27)*(E109-R108)</f>
        <v>36.5725983793545</v>
      </c>
      <c r="S109" s="33" t="n">
        <f aca="false">Q109-R109</f>
        <v>-1.15607206618274</v>
      </c>
      <c r="T109" s="33" t="n">
        <f aca="false">T108+(2/10)*(S109-T108)</f>
        <v>-0.867740517911579</v>
      </c>
      <c r="U109" s="33" t="n">
        <f aca="false">S109-T109</f>
        <v>-0.288331548271158</v>
      </c>
      <c r="V109" s="32" t="str">
        <f aca="false">IF(M109="","",IF(M109&lt;Assumptions!$B$5,"BUY",IF(M109&gt;Assumptions!$B$4,"SELL","HOLD")))</f>
        <v>BUY</v>
      </c>
      <c r="W109" s="32" t="str">
        <f aca="false">IF(O109="","",IF(E109&gt;O109,"BUY","SELL"))</f>
        <v>SELL</v>
      </c>
      <c r="X109" s="32" t="str">
        <f aca="false">IF(T109="","",IF(S109&gt;T109,"BUY","SELL"))</f>
        <v>SELL</v>
      </c>
      <c r="Y109" s="34" t="n">
        <f aca="false">IF(OR(V109="",W109="",X109=""),"",IFERROR(IF(V109="BUY",1,IF(V109="SELL",-1,0))+IF(W109="BUY",1,IF(W109="SELL",-1,0))+IF(X109="BUY",1,IF(X109="SELL",-1,0)),0))</f>
        <v>-1</v>
      </c>
      <c r="Z109" s="32" t="str">
        <f aca="false">IF(Y109="","",IF(Y109&gt;=2,"STRONG BUY",IF(Y109=1,"BUY",IF(Y109=0,"HOLD",IF(Y109=-1,"SELL","STRONG SELL")))))</f>
        <v>SELL</v>
      </c>
    </row>
    <row r="110" customFormat="false" ht="15" hidden="false" customHeight="false" outlineLevel="0" collapsed="false">
      <c r="A110" s="24" t="n">
        <v>45922</v>
      </c>
      <c r="B110" s="25" t="n">
        <v>33.32</v>
      </c>
      <c r="C110" s="25" t="n">
        <v>34.07</v>
      </c>
      <c r="D110" s="25" t="n">
        <v>33.11</v>
      </c>
      <c r="E110" s="25" t="n">
        <v>33.59</v>
      </c>
      <c r="F110" s="26" t="n">
        <v>65803786</v>
      </c>
      <c r="G110" s="27" t="n">
        <f aca="false">E110-E109</f>
        <v>-0.279999999999994</v>
      </c>
      <c r="H110" s="28" t="n">
        <f aca="false">G110/E109</f>
        <v>-0.00826690286389117</v>
      </c>
      <c r="I110" s="29" t="n">
        <f aca="false">MAX(G110,0)</f>
        <v>0</v>
      </c>
      <c r="J110" s="29" t="n">
        <f aca="false">MAX(-G110,0)</f>
        <v>0.279999999999994</v>
      </c>
      <c r="K110" s="29" t="n">
        <f aca="false">(K109*13+I110)/14</f>
        <v>0.0824370913049307</v>
      </c>
      <c r="L110" s="29" t="n">
        <f aca="false">(L109*13+J110)/14</f>
        <v>0.300181902901231</v>
      </c>
      <c r="M110" s="31" t="n">
        <f aca="false">IF(L110=0,100,100-100/(1+K110/MAX(L110,0.000001)))</f>
        <v>21.5454780220639</v>
      </c>
      <c r="N110" s="30" t="n">
        <f aca="false">AVERAGE(E91:E110)</f>
        <v>36.4765</v>
      </c>
      <c r="O110" s="30" t="n">
        <f aca="false">AVERAGE(E61:E110)</f>
        <v>38.074</v>
      </c>
      <c r="Q110" s="30" t="n">
        <f aca="false">Q109+(2/13)*(E110-Q109)</f>
        <v>35.1355222649915</v>
      </c>
      <c r="R110" s="30" t="n">
        <f aca="false">R109+(2/27)*(E110-R109)</f>
        <v>36.351665166069</v>
      </c>
      <c r="S110" s="33" t="n">
        <f aca="false">Q110-R110</f>
        <v>-1.21614290107749</v>
      </c>
      <c r="T110" s="33" t="n">
        <f aca="false">T109+(2/10)*(S110-T109)</f>
        <v>-0.937420994544761</v>
      </c>
      <c r="U110" s="33" t="n">
        <f aca="false">S110-T110</f>
        <v>-0.278721906532728</v>
      </c>
      <c r="V110" s="32" t="str">
        <f aca="false">IF(M110="","",IF(M110&lt;Assumptions!$B$5,"BUY",IF(M110&gt;Assumptions!$B$4,"SELL","HOLD")))</f>
        <v>BUY</v>
      </c>
      <c r="W110" s="32" t="str">
        <f aca="false">IF(O110="","",IF(E110&gt;O110,"BUY","SELL"))</f>
        <v>SELL</v>
      </c>
      <c r="X110" s="32" t="str">
        <f aca="false">IF(T110="","",IF(S110&gt;T110,"BUY","SELL"))</f>
        <v>SELL</v>
      </c>
      <c r="Y110" s="34" t="n">
        <f aca="false">IF(OR(V110="",W110="",X110=""),"",IFERROR(IF(V110="BUY",1,IF(V110="SELL",-1,0))+IF(W110="BUY",1,IF(W110="SELL",-1,0))+IF(X110="BUY",1,IF(X110="SELL",-1,0)),0))</f>
        <v>-1</v>
      </c>
      <c r="Z110" s="32" t="str">
        <f aca="false">IF(Y110="","",IF(Y110&gt;=2,"STRONG BUY",IF(Y110=1,"BUY",IF(Y110=0,"HOLD",IF(Y110=-1,"SELL","STRONG SELL")))))</f>
        <v>SELL</v>
      </c>
    </row>
    <row r="111" customFormat="false" ht="15" hidden="false" customHeight="false" outlineLevel="0" collapsed="false">
      <c r="A111" s="24" t="n">
        <v>45923</v>
      </c>
      <c r="B111" s="25" t="n">
        <v>34.33</v>
      </c>
      <c r="C111" s="25" t="n">
        <v>34.41</v>
      </c>
      <c r="D111" s="25" t="n">
        <v>34.21</v>
      </c>
      <c r="E111" s="25" t="n">
        <v>34.31</v>
      </c>
      <c r="F111" s="26" t="n">
        <v>56008247</v>
      </c>
      <c r="G111" s="27" t="n">
        <f aca="false">E111-E110</f>
        <v>0.719999999999999</v>
      </c>
      <c r="H111" s="28" t="n">
        <f aca="false">G111/E110</f>
        <v>0.0214349508782375</v>
      </c>
      <c r="I111" s="29" t="n">
        <f aca="false">MAX(G111,0)</f>
        <v>0.719999999999999</v>
      </c>
      <c r="J111" s="29" t="n">
        <f aca="false">MAX(-G111,0)</f>
        <v>0</v>
      </c>
      <c r="K111" s="29" t="n">
        <f aca="false">(K110*13+I111)/14</f>
        <v>0.127977299068864</v>
      </c>
      <c r="L111" s="29" t="n">
        <f aca="false">(L110*13+J111)/14</f>
        <v>0.278740338408286</v>
      </c>
      <c r="M111" s="31" t="n">
        <f aca="false">IF(L111=0,100,100-100/(1+K111/MAX(L111,0.000001)))</f>
        <v>31.4658837671022</v>
      </c>
      <c r="N111" s="30" t="n">
        <f aca="false">AVERAGE(E92:E111)</f>
        <v>36.2835</v>
      </c>
      <c r="O111" s="30" t="n">
        <f aca="false">AVERAGE(E62:E111)</f>
        <v>37.9178</v>
      </c>
      <c r="Q111" s="30" t="n">
        <f aca="false">Q110+(2/13)*(E111-Q110)</f>
        <v>35.0085188396082</v>
      </c>
      <c r="R111" s="30" t="n">
        <f aca="false">R110+(2/27)*(E111-R110)</f>
        <v>36.2004307093232</v>
      </c>
      <c r="S111" s="33" t="n">
        <f aca="false">Q111-R111</f>
        <v>-1.19191186971494</v>
      </c>
      <c r="T111" s="33" t="n">
        <f aca="false">T110+(2/10)*(S111-T110)</f>
        <v>-0.988319169578798</v>
      </c>
      <c r="U111" s="33" t="n">
        <f aca="false">S111-T111</f>
        <v>-0.203592700136145</v>
      </c>
      <c r="V111" s="32" t="str">
        <f aca="false">IF(M111="","",IF(M111&lt;Assumptions!$B$5,"BUY",IF(M111&gt;Assumptions!$B$4,"SELL","HOLD")))</f>
        <v>HOLD</v>
      </c>
      <c r="W111" s="32" t="str">
        <f aca="false">IF(O111="","",IF(E111&gt;O111,"BUY","SELL"))</f>
        <v>SELL</v>
      </c>
      <c r="X111" s="32" t="str">
        <f aca="false">IF(T111="","",IF(S111&gt;T111,"BUY","SELL"))</f>
        <v>SELL</v>
      </c>
      <c r="Y111" s="34" t="n">
        <f aca="false">IF(OR(V111="",W111="",X111=""),"",IFERROR(IF(V111="BUY",1,IF(V111="SELL",-1,0))+IF(W111="BUY",1,IF(W111="SELL",-1,0))+IF(X111="BUY",1,IF(X111="SELL",-1,0)),0))</f>
        <v>-2</v>
      </c>
      <c r="Z111" s="32" t="str">
        <f aca="false">IF(Y111="","",IF(Y111&gt;=2,"STRONG BUY",IF(Y111=1,"BUY",IF(Y111=0,"HOLD",IF(Y111=-1,"SELL","STRONG SELL")))))</f>
        <v>STRONG SELL</v>
      </c>
    </row>
    <row r="112" customFormat="false" ht="15" hidden="false" customHeight="false" outlineLevel="0" collapsed="false">
      <c r="A112" s="24" t="n">
        <v>45924</v>
      </c>
      <c r="B112" s="25" t="n">
        <v>34.8</v>
      </c>
      <c r="C112" s="25" t="n">
        <v>35</v>
      </c>
      <c r="D112" s="25" t="n">
        <v>34.8</v>
      </c>
      <c r="E112" s="25" t="n">
        <v>34.9</v>
      </c>
      <c r="F112" s="26" t="n">
        <v>74692322</v>
      </c>
      <c r="G112" s="27" t="n">
        <f aca="false">E112-E111</f>
        <v>0.589999999999996</v>
      </c>
      <c r="H112" s="28" t="n">
        <f aca="false">G112/E111</f>
        <v>0.0171961527251529</v>
      </c>
      <c r="I112" s="29" t="n">
        <f aca="false">MAX(G112,0)</f>
        <v>0.589999999999996</v>
      </c>
      <c r="J112" s="29" t="n">
        <f aca="false">MAX(-G112,0)</f>
        <v>0</v>
      </c>
      <c r="K112" s="29" t="n">
        <f aca="false">(K111*13+I112)/14</f>
        <v>0.160978920563945</v>
      </c>
      <c r="L112" s="29" t="n">
        <f aca="false">(L111*13+J112)/14</f>
        <v>0.258830314236266</v>
      </c>
      <c r="M112" s="31" t="n">
        <f aca="false">IF(L112=0,100,100-100/(1+K112/MAX(L112,0.000001)))</f>
        <v>38.34573116062</v>
      </c>
      <c r="N112" s="30" t="n">
        <f aca="false">AVERAGE(E93:E112)</f>
        <v>36.0945</v>
      </c>
      <c r="O112" s="30" t="n">
        <f aca="false">AVERAGE(E63:E112)</f>
        <v>37.7696</v>
      </c>
      <c r="Q112" s="30" t="n">
        <f aca="false">Q111+(2/13)*(E112-Q111)</f>
        <v>34.9918236335146</v>
      </c>
      <c r="R112" s="30" t="n">
        <f aca="false">R111+(2/27)*(E112-R111)</f>
        <v>36.1041025086325</v>
      </c>
      <c r="S112" s="33" t="n">
        <f aca="false">Q112-R112</f>
        <v>-1.11227887511791</v>
      </c>
      <c r="T112" s="33" t="n">
        <f aca="false">T111+(2/10)*(S112-T111)</f>
        <v>-1.01311111068662</v>
      </c>
      <c r="U112" s="33" t="n">
        <f aca="false">S112-T112</f>
        <v>-0.0991677644312889</v>
      </c>
      <c r="V112" s="32" t="str">
        <f aca="false">IF(M112="","",IF(M112&lt;Assumptions!$B$5,"BUY",IF(M112&gt;Assumptions!$B$4,"SELL","HOLD")))</f>
        <v>HOLD</v>
      </c>
      <c r="W112" s="32" t="str">
        <f aca="false">IF(O112="","",IF(E112&gt;O112,"BUY","SELL"))</f>
        <v>SELL</v>
      </c>
      <c r="X112" s="32" t="str">
        <f aca="false">IF(T112="","",IF(S112&gt;T112,"BUY","SELL"))</f>
        <v>SELL</v>
      </c>
      <c r="Y112" s="34" t="n">
        <f aca="false">IF(OR(V112="",W112="",X112=""),"",IFERROR(IF(V112="BUY",1,IF(V112="SELL",-1,0))+IF(W112="BUY",1,IF(W112="SELL",-1,0))+IF(X112="BUY",1,IF(X112="SELL",-1,0)),0))</f>
        <v>-2</v>
      </c>
      <c r="Z112" s="32" t="str">
        <f aca="false">IF(Y112="","",IF(Y112&gt;=2,"STRONG BUY",IF(Y112=1,"BUY",IF(Y112=0,"HOLD",IF(Y112=-1,"SELL","STRONG SELL")))))</f>
        <v>STRONG SELL</v>
      </c>
    </row>
    <row r="113" customFormat="false" ht="15" hidden="false" customHeight="false" outlineLevel="0" collapsed="false">
      <c r="A113" s="24" t="n">
        <v>45925</v>
      </c>
      <c r="B113" s="25" t="n">
        <v>34.62</v>
      </c>
      <c r="C113" s="25" t="n">
        <v>34.63</v>
      </c>
      <c r="D113" s="25" t="n">
        <v>34.07</v>
      </c>
      <c r="E113" s="25" t="n">
        <v>34.35</v>
      </c>
      <c r="F113" s="26" t="n">
        <v>76734526</v>
      </c>
      <c r="G113" s="27" t="n">
        <f aca="false">E113-E112</f>
        <v>-0.549999999999997</v>
      </c>
      <c r="H113" s="28" t="n">
        <f aca="false">G113/E112</f>
        <v>-0.0157593123209168</v>
      </c>
      <c r="I113" s="29" t="n">
        <f aca="false">MAX(G113,0)</f>
        <v>0</v>
      </c>
      <c r="J113" s="29" t="n">
        <f aca="false">MAX(-G113,0)</f>
        <v>0.549999999999997</v>
      </c>
      <c r="K113" s="29" t="n">
        <f aca="false">(K112*13+I113)/14</f>
        <v>0.149480426237949</v>
      </c>
      <c r="L113" s="29" t="n">
        <f aca="false">(L112*13+J113)/14</f>
        <v>0.279628148933675</v>
      </c>
      <c r="M113" s="31" t="n">
        <f aca="false">IF(L113=0,100,100-100/(1+K113/MAX(L113,0.000001)))</f>
        <v>34.8351058186529</v>
      </c>
      <c r="N113" s="30" t="n">
        <f aca="false">AVERAGE(E94:E113)</f>
        <v>35.8645</v>
      </c>
      <c r="O113" s="30" t="n">
        <f aca="false">AVERAGE(E64:E113)</f>
        <v>37.6202</v>
      </c>
      <c r="Q113" s="30" t="n">
        <f aca="false">Q112+(2/13)*(E113-Q112)</f>
        <v>34.8930815360508</v>
      </c>
      <c r="R113" s="30" t="n">
        <f aca="false">R112+(2/27)*(E113-R112)</f>
        <v>35.9741689894746</v>
      </c>
      <c r="S113" s="33" t="n">
        <f aca="false">Q113-R113</f>
        <v>-1.08108745342373</v>
      </c>
      <c r="T113" s="33" t="n">
        <f aca="false">T112+(2/10)*(S113-T112)</f>
        <v>-1.02670637923404</v>
      </c>
      <c r="U113" s="33" t="n">
        <f aca="false">S113-T113</f>
        <v>-0.0543810741896915</v>
      </c>
      <c r="V113" s="32" t="str">
        <f aca="false">IF(M113="","",IF(M113&lt;Assumptions!$B$5,"BUY",IF(M113&gt;Assumptions!$B$4,"SELL","HOLD")))</f>
        <v>HOLD</v>
      </c>
      <c r="W113" s="32" t="str">
        <f aca="false">IF(O113="","",IF(E113&gt;O113,"BUY","SELL"))</f>
        <v>SELL</v>
      </c>
      <c r="X113" s="32" t="str">
        <f aca="false">IF(T113="","",IF(S113&gt;T113,"BUY","SELL"))</f>
        <v>SELL</v>
      </c>
      <c r="Y113" s="34" t="n">
        <f aca="false">IF(OR(V113="",W113="",X113=""),"",IFERROR(IF(V113="BUY",1,IF(V113="SELL",-1,0))+IF(W113="BUY",1,IF(W113="SELL",-1,0))+IF(X113="BUY",1,IF(X113="SELL",-1,0)),0))</f>
        <v>-2</v>
      </c>
      <c r="Z113" s="32" t="str">
        <f aca="false">IF(Y113="","",IF(Y113&gt;=2,"STRONG BUY",IF(Y113=1,"BUY",IF(Y113=0,"HOLD",IF(Y113=-1,"SELL","STRONG SELL")))))</f>
        <v>STRONG SELL</v>
      </c>
    </row>
    <row r="114" customFormat="false" ht="15" hidden="false" customHeight="false" outlineLevel="0" collapsed="false">
      <c r="A114" s="24" t="n">
        <v>45926</v>
      </c>
      <c r="B114" s="25" t="n">
        <v>34.96</v>
      </c>
      <c r="C114" s="25" t="n">
        <v>35.21</v>
      </c>
      <c r="D114" s="25" t="n">
        <v>34.71</v>
      </c>
      <c r="E114" s="25" t="n">
        <v>34.96</v>
      </c>
      <c r="F114" s="26" t="n">
        <v>74847532</v>
      </c>
      <c r="G114" s="27" t="n">
        <f aca="false">E114-E113</f>
        <v>0.609999999999999</v>
      </c>
      <c r="H114" s="28" t="n">
        <f aca="false">G114/E113</f>
        <v>0.0177583697234352</v>
      </c>
      <c r="I114" s="29" t="n">
        <f aca="false">MAX(G114,0)</f>
        <v>0.609999999999999</v>
      </c>
      <c r="J114" s="29" t="n">
        <f aca="false">MAX(-G114,0)</f>
        <v>0</v>
      </c>
      <c r="K114" s="29" t="n">
        <f aca="false">(K113*13+I114)/14</f>
        <v>0.182374681506667</v>
      </c>
      <c r="L114" s="29" t="n">
        <f aca="false">(L113*13+J114)/14</f>
        <v>0.259654709724127</v>
      </c>
      <c r="M114" s="31" t="n">
        <f aca="false">IF(L114=0,100,100-100/(1+K114/MAX(L114,0.000001)))</f>
        <v>41.2584966349997</v>
      </c>
      <c r="N114" s="30" t="n">
        <f aca="false">AVERAGE(E95:E114)</f>
        <v>35.6965</v>
      </c>
      <c r="O114" s="30" t="n">
        <f aca="false">AVERAGE(E65:E114)</f>
        <v>37.4938</v>
      </c>
      <c r="Q114" s="30" t="n">
        <f aca="false">Q113+(2/13)*(E114-Q113)</f>
        <v>34.9033766843507</v>
      </c>
      <c r="R114" s="30" t="n">
        <f aca="false">R113+(2/27)*(E114-R113)</f>
        <v>35.8990453606246</v>
      </c>
      <c r="S114" s="33" t="n">
        <f aca="false">Q114-R114</f>
        <v>-0.995668676273901</v>
      </c>
      <c r="T114" s="33" t="n">
        <f aca="false">T113+(2/10)*(S114-T113)</f>
        <v>-1.02049883864201</v>
      </c>
      <c r="U114" s="33" t="n">
        <f aca="false">S114-T114</f>
        <v>0.0248301623681133</v>
      </c>
      <c r="V114" s="32" t="str">
        <f aca="false">IF(M114="","",IF(M114&lt;Assumptions!$B$5,"BUY",IF(M114&gt;Assumptions!$B$4,"SELL","HOLD")))</f>
        <v>HOLD</v>
      </c>
      <c r="W114" s="32" t="str">
        <f aca="false">IF(O114="","",IF(E114&gt;O114,"BUY","SELL"))</f>
        <v>SELL</v>
      </c>
      <c r="X114" s="32" t="str">
        <f aca="false">IF(T114="","",IF(S114&gt;T114,"BUY","SELL"))</f>
        <v>BUY</v>
      </c>
      <c r="Y114" s="34" t="n">
        <f aca="false">IF(OR(V114="",W114="",X114=""),"",IFERROR(IF(V114="BUY",1,IF(V114="SELL",-1,0))+IF(W114="BUY",1,IF(W114="SELL",-1,0))+IF(X114="BUY",1,IF(X114="SELL",-1,0)),0))</f>
        <v>0</v>
      </c>
      <c r="Z114" s="32" t="str">
        <f aca="false">IF(Y114="","",IF(Y114&gt;=2,"STRONG BUY",IF(Y114=1,"BUY",IF(Y114=0,"HOLD",IF(Y114=-1,"SELL","STRONG SELL")))))</f>
        <v>HOLD</v>
      </c>
    </row>
    <row r="115" customFormat="false" ht="15" hidden="false" customHeight="false" outlineLevel="0" collapsed="false">
      <c r="A115" s="24" t="n">
        <v>45929</v>
      </c>
      <c r="B115" s="25" t="n">
        <v>34.16</v>
      </c>
      <c r="C115" s="25" t="n">
        <v>34.28</v>
      </c>
      <c r="D115" s="25" t="n">
        <v>34.08</v>
      </c>
      <c r="E115" s="25" t="n">
        <v>34.18</v>
      </c>
      <c r="F115" s="26" t="n">
        <v>42958395</v>
      </c>
      <c r="G115" s="27" t="n">
        <f aca="false">E115-E114</f>
        <v>-0.780000000000001</v>
      </c>
      <c r="H115" s="28" t="n">
        <f aca="false">G115/E114</f>
        <v>-0.0223112128146453</v>
      </c>
      <c r="I115" s="29" t="n">
        <f aca="false">MAX(G115,0)</f>
        <v>0</v>
      </c>
      <c r="J115" s="29" t="n">
        <f aca="false">MAX(-G115,0)</f>
        <v>0.780000000000001</v>
      </c>
      <c r="K115" s="29" t="n">
        <f aca="false">(K114*13+I115)/14</f>
        <v>0.169347918541905</v>
      </c>
      <c r="L115" s="29" t="n">
        <f aca="false">(L114*13+J115)/14</f>
        <v>0.296822230458118</v>
      </c>
      <c r="M115" s="31" t="n">
        <f aca="false">IF(L115=0,100,100-100/(1+K115/MAX(L115,0.000001)))</f>
        <v>36.3274909183206</v>
      </c>
      <c r="N115" s="30" t="n">
        <f aca="false">AVERAGE(E96:E115)</f>
        <v>35.5185</v>
      </c>
      <c r="O115" s="30" t="n">
        <f aca="false">AVERAGE(E66:E115)</f>
        <v>37.3686</v>
      </c>
      <c r="Q115" s="30" t="n">
        <f aca="false">Q114+(2/13)*(E115-Q114)</f>
        <v>34.7920879636814</v>
      </c>
      <c r="R115" s="30" t="n">
        <f aca="false">R114+(2/27)*(E115-R114)</f>
        <v>35.771708667245</v>
      </c>
      <c r="S115" s="33" t="n">
        <f aca="false">Q115-R115</f>
        <v>-0.97962070356364</v>
      </c>
      <c r="T115" s="33" t="n">
        <f aca="false">T114+(2/10)*(S115-T114)</f>
        <v>-1.01232321162634</v>
      </c>
      <c r="U115" s="33" t="n">
        <f aca="false">S115-T115</f>
        <v>0.0327025080626995</v>
      </c>
      <c r="V115" s="32" t="str">
        <f aca="false">IF(M115="","",IF(M115&lt;Assumptions!$B$5,"BUY",IF(M115&gt;Assumptions!$B$4,"SELL","HOLD")))</f>
        <v>HOLD</v>
      </c>
      <c r="W115" s="32" t="str">
        <f aca="false">IF(O115="","",IF(E115&gt;O115,"BUY","SELL"))</f>
        <v>SELL</v>
      </c>
      <c r="X115" s="32" t="str">
        <f aca="false">IF(T115="","",IF(S115&gt;T115,"BUY","SELL"))</f>
        <v>BUY</v>
      </c>
      <c r="Y115" s="34" t="n">
        <f aca="false">IF(OR(V115="",W115="",X115=""),"",IFERROR(IF(V115="BUY",1,IF(V115="SELL",-1,0))+IF(W115="BUY",1,IF(W115="SELL",-1,0))+IF(X115="BUY",1,IF(X115="SELL",-1,0)),0))</f>
        <v>0</v>
      </c>
      <c r="Z115" s="32" t="str">
        <f aca="false">IF(Y115="","",IF(Y115&gt;=2,"STRONG BUY",IF(Y115=1,"BUY",IF(Y115=0,"HOLD",IF(Y115=-1,"SELL","STRONG SELL")))))</f>
        <v>HOLD</v>
      </c>
    </row>
    <row r="116" customFormat="false" ht="15" hidden="false" customHeight="false" outlineLevel="0" collapsed="false">
      <c r="A116" s="24" t="n">
        <v>45930</v>
      </c>
      <c r="B116" s="25" t="n">
        <v>33.72</v>
      </c>
      <c r="C116" s="25" t="n">
        <v>34.04</v>
      </c>
      <c r="D116" s="25" t="n">
        <v>33.56</v>
      </c>
      <c r="E116" s="25" t="n">
        <v>33.8</v>
      </c>
      <c r="F116" s="26" t="n">
        <v>49828052</v>
      </c>
      <c r="G116" s="27" t="n">
        <f aca="false">E116-E115</f>
        <v>-0.380000000000003</v>
      </c>
      <c r="H116" s="28" t="n">
        <f aca="false">G116/E115</f>
        <v>-0.0111176126389702</v>
      </c>
      <c r="I116" s="29" t="n">
        <f aca="false">MAX(G116,0)</f>
        <v>0</v>
      </c>
      <c r="J116" s="29" t="n">
        <f aca="false">MAX(-G116,0)</f>
        <v>0.380000000000003</v>
      </c>
      <c r="K116" s="29" t="n">
        <f aca="false">(K115*13+I116)/14</f>
        <v>0.157251638646055</v>
      </c>
      <c r="L116" s="29" t="n">
        <f aca="false">(L115*13+J116)/14</f>
        <v>0.30276349971111</v>
      </c>
      <c r="M116" s="31" t="n">
        <f aca="false">IF(L116=0,100,100-100/(1+K116/MAX(L116,0.000001)))</f>
        <v>34.1840138582486</v>
      </c>
      <c r="N116" s="30" t="n">
        <f aca="false">AVERAGE(E97:E116)</f>
        <v>35.339</v>
      </c>
      <c r="O116" s="30" t="n">
        <f aca="false">AVERAGE(E67:E116)</f>
        <v>37.2024</v>
      </c>
      <c r="Q116" s="30" t="n">
        <f aca="false">Q115+(2/13)*(E116-Q115)</f>
        <v>34.6394590461919</v>
      </c>
      <c r="R116" s="30" t="n">
        <f aca="false">R115+(2/27)*(E116-R115)</f>
        <v>35.625656173375</v>
      </c>
      <c r="S116" s="33" t="n">
        <f aca="false">Q116-R116</f>
        <v>-0.986197127183083</v>
      </c>
      <c r="T116" s="33" t="n">
        <f aca="false">T115+(2/10)*(S116-T115)</f>
        <v>-1.00709799473769</v>
      </c>
      <c r="U116" s="33" t="n">
        <f aca="false">S116-T116</f>
        <v>0.0209008675546056</v>
      </c>
      <c r="V116" s="32" t="str">
        <f aca="false">IF(M116="","",IF(M116&lt;Assumptions!$B$5,"BUY",IF(M116&gt;Assumptions!$B$4,"SELL","HOLD")))</f>
        <v>HOLD</v>
      </c>
      <c r="W116" s="32" t="str">
        <f aca="false">IF(O116="","",IF(E116&gt;O116,"BUY","SELL"))</f>
        <v>SELL</v>
      </c>
      <c r="X116" s="32" t="str">
        <f aca="false">IF(T116="","",IF(S116&gt;T116,"BUY","SELL"))</f>
        <v>BUY</v>
      </c>
      <c r="Y116" s="34" t="n">
        <f aca="false">IF(OR(V116="",W116="",X116=""),"",IFERROR(IF(V116="BUY",1,IF(V116="SELL",-1,0))+IF(W116="BUY",1,IF(W116="SELL",-1,0))+IF(X116="BUY",1,IF(X116="SELL",-1,0)),0))</f>
        <v>0</v>
      </c>
      <c r="Z116" s="32" t="str">
        <f aca="false">IF(Y116="","",IF(Y116&gt;=2,"STRONG BUY",IF(Y116=1,"BUY",IF(Y116=0,"HOLD",IF(Y116=-1,"SELL","STRONG SELL")))))</f>
        <v>HOLD</v>
      </c>
    </row>
    <row r="117" customFormat="false" ht="15" hidden="false" customHeight="false" outlineLevel="0" collapsed="false">
      <c r="A117" s="24" t="n">
        <v>45931</v>
      </c>
      <c r="B117" s="25" t="n">
        <v>34.5</v>
      </c>
      <c r="C117" s="25" t="n">
        <v>34.64</v>
      </c>
      <c r="D117" s="25" t="n">
        <v>34.42</v>
      </c>
      <c r="E117" s="25" t="n">
        <v>34.53</v>
      </c>
      <c r="F117" s="26" t="n">
        <v>34837448</v>
      </c>
      <c r="G117" s="27" t="n">
        <f aca="false">E117-E116</f>
        <v>0.730000000000004</v>
      </c>
      <c r="H117" s="28" t="n">
        <f aca="false">G117/E116</f>
        <v>0.0215976331360948</v>
      </c>
      <c r="I117" s="29" t="n">
        <f aca="false">MAX(G117,0)</f>
        <v>0.730000000000004</v>
      </c>
      <c r="J117" s="29" t="n">
        <f aca="false">MAX(-G117,0)</f>
        <v>0</v>
      </c>
      <c r="K117" s="29" t="n">
        <f aca="false">(K116*13+I117)/14</f>
        <v>0.198162235885622</v>
      </c>
      <c r="L117" s="29" t="n">
        <f aca="false">(L116*13+J117)/14</f>
        <v>0.281137535446031</v>
      </c>
      <c r="M117" s="31" t="n">
        <f aca="false">IF(L117=0,100,100-100/(1+K117/MAX(L117,0.000001)))</f>
        <v>41.3441123360152</v>
      </c>
      <c r="N117" s="30" t="n">
        <f aca="false">AVERAGE(E98:E117)</f>
        <v>35.202</v>
      </c>
      <c r="O117" s="30" t="n">
        <f aca="false">AVERAGE(E68:E117)</f>
        <v>37.0634</v>
      </c>
      <c r="Q117" s="30" t="n">
        <f aca="false">Q116+(2/13)*(E117-Q116)</f>
        <v>34.6226191929316</v>
      </c>
      <c r="R117" s="30" t="n">
        <f aca="false">R116+(2/27)*(E117-R116)</f>
        <v>35.5444964568287</v>
      </c>
      <c r="S117" s="33" t="n">
        <f aca="false">Q117-R117</f>
        <v>-0.921877263897081</v>
      </c>
      <c r="T117" s="33" t="n">
        <f aca="false">T116+(2/10)*(S117-T116)</f>
        <v>-0.990053848569567</v>
      </c>
      <c r="U117" s="33" t="n">
        <f aca="false">S117-T117</f>
        <v>0.0681765846724861</v>
      </c>
      <c r="V117" s="32" t="str">
        <f aca="false">IF(M117="","",IF(M117&lt;Assumptions!$B$5,"BUY",IF(M117&gt;Assumptions!$B$4,"SELL","HOLD")))</f>
        <v>HOLD</v>
      </c>
      <c r="W117" s="32" t="str">
        <f aca="false">IF(O117="","",IF(E117&gt;O117,"BUY","SELL"))</f>
        <v>SELL</v>
      </c>
      <c r="X117" s="32" t="str">
        <f aca="false">IF(T117="","",IF(S117&gt;T117,"BUY","SELL"))</f>
        <v>BUY</v>
      </c>
      <c r="Y117" s="34" t="n">
        <f aca="false">IF(OR(V117="",W117="",X117=""),"",IFERROR(IF(V117="BUY",1,IF(V117="SELL",-1,0))+IF(W117="BUY",1,IF(W117="SELL",-1,0))+IF(X117="BUY",1,IF(X117="SELL",-1,0)),0))</f>
        <v>0</v>
      </c>
      <c r="Z117" s="32" t="str">
        <f aca="false">IF(Y117="","",IF(Y117&gt;=2,"STRONG BUY",IF(Y117=1,"BUY",IF(Y117=0,"HOLD",IF(Y117=-1,"SELL","STRONG SELL")))))</f>
        <v>HOLD</v>
      </c>
    </row>
    <row r="118" customFormat="false" ht="15" hidden="false" customHeight="false" outlineLevel="0" collapsed="false">
      <c r="A118" s="24" t="n">
        <v>45932</v>
      </c>
      <c r="B118" s="25" t="n">
        <v>33.27</v>
      </c>
      <c r="C118" s="25" t="n">
        <v>33.74</v>
      </c>
      <c r="D118" s="25" t="n">
        <v>33.2</v>
      </c>
      <c r="E118" s="25" t="n">
        <v>33.47</v>
      </c>
      <c r="F118" s="26" t="n">
        <v>29353425</v>
      </c>
      <c r="G118" s="27" t="n">
        <f aca="false">E118-E117</f>
        <v>-1.06</v>
      </c>
      <c r="H118" s="28" t="n">
        <f aca="false">G118/E117</f>
        <v>-0.0306979438169708</v>
      </c>
      <c r="I118" s="29" t="n">
        <f aca="false">MAX(G118,0)</f>
        <v>0</v>
      </c>
      <c r="J118" s="29" t="n">
        <f aca="false">MAX(-G118,0)</f>
        <v>1.06</v>
      </c>
      <c r="K118" s="29" t="n">
        <f aca="false">(K117*13+I118)/14</f>
        <v>0.184007790465221</v>
      </c>
      <c r="L118" s="29" t="n">
        <f aca="false">(L117*13+J118)/14</f>
        <v>0.336770568628457</v>
      </c>
      <c r="M118" s="31" t="n">
        <f aca="false">IF(L118=0,100,100-100/(1+K118/MAX(L118,0.000001)))</f>
        <v>35.3332252103282</v>
      </c>
      <c r="N118" s="30" t="n">
        <f aca="false">AVERAGE(E99:E118)</f>
        <v>35</v>
      </c>
      <c r="O118" s="30" t="n">
        <f aca="false">AVERAGE(E69:E118)</f>
        <v>36.9056</v>
      </c>
      <c r="Q118" s="30" t="n">
        <f aca="false">Q117+(2/13)*(E118-Q117)</f>
        <v>34.4452931632498</v>
      </c>
      <c r="R118" s="30" t="n">
        <f aca="false">R117+(2/27)*(E118-R117)</f>
        <v>35.3908300526192</v>
      </c>
      <c r="S118" s="33" t="n">
        <f aca="false">Q118-R118</f>
        <v>-0.945536889369336</v>
      </c>
      <c r="T118" s="33" t="n">
        <f aca="false">T117+(2/10)*(S118-T117)</f>
        <v>-0.981150456729521</v>
      </c>
      <c r="U118" s="33" t="n">
        <f aca="false">S118-T118</f>
        <v>0.0356135673601844</v>
      </c>
      <c r="V118" s="32" t="str">
        <f aca="false">IF(M118="","",IF(M118&lt;Assumptions!$B$5,"BUY",IF(M118&gt;Assumptions!$B$4,"SELL","HOLD")))</f>
        <v>HOLD</v>
      </c>
      <c r="W118" s="32" t="str">
        <f aca="false">IF(O118="","",IF(E118&gt;O118,"BUY","SELL"))</f>
        <v>SELL</v>
      </c>
      <c r="X118" s="32" t="str">
        <f aca="false">IF(T118="","",IF(S118&gt;T118,"BUY","SELL"))</f>
        <v>BUY</v>
      </c>
      <c r="Y118" s="34" t="n">
        <f aca="false">IF(OR(V118="",W118="",X118=""),"",IFERROR(IF(V118="BUY",1,IF(V118="SELL",-1,0))+IF(W118="BUY",1,IF(W118="SELL",-1,0))+IF(X118="BUY",1,IF(X118="SELL",-1,0)),0))</f>
        <v>0</v>
      </c>
      <c r="Z118" s="32" t="str">
        <f aca="false">IF(Y118="","",IF(Y118&gt;=2,"STRONG BUY",IF(Y118=1,"BUY",IF(Y118=0,"HOLD",IF(Y118=-1,"SELL","STRONG SELL")))))</f>
        <v>HOLD</v>
      </c>
    </row>
    <row r="119" customFormat="false" ht="15" hidden="false" customHeight="false" outlineLevel="0" collapsed="false">
      <c r="A119" s="24" t="n">
        <v>45933</v>
      </c>
      <c r="B119" s="25" t="n">
        <v>33.64</v>
      </c>
      <c r="C119" s="25" t="n">
        <v>34.09</v>
      </c>
      <c r="D119" s="25" t="n">
        <v>33.39</v>
      </c>
      <c r="E119" s="25" t="n">
        <v>33.74</v>
      </c>
      <c r="F119" s="26" t="n">
        <v>55253759</v>
      </c>
      <c r="G119" s="27" t="n">
        <f aca="false">E119-E118</f>
        <v>0.270000000000003</v>
      </c>
      <c r="H119" s="28" t="n">
        <f aca="false">G119/E118</f>
        <v>0.00806692560501951</v>
      </c>
      <c r="I119" s="29" t="n">
        <f aca="false">MAX(G119,0)</f>
        <v>0.270000000000003</v>
      </c>
      <c r="J119" s="29" t="n">
        <f aca="false">MAX(-G119,0)</f>
        <v>0</v>
      </c>
      <c r="K119" s="29" t="n">
        <f aca="false">(K118*13+I119)/14</f>
        <v>0.190150091146277</v>
      </c>
      <c r="L119" s="29" t="n">
        <f aca="false">(L118*13+J119)/14</f>
        <v>0.312715528012139</v>
      </c>
      <c r="M119" s="31" t="n">
        <f aca="false">IF(L119=0,100,100-100/(1+K119/MAX(L119,0.000001)))</f>
        <v>37.8133011885974</v>
      </c>
      <c r="N119" s="30" t="n">
        <f aca="false">AVERAGE(E100:E119)</f>
        <v>34.8345</v>
      </c>
      <c r="O119" s="30" t="n">
        <f aca="false">AVERAGE(E70:E119)</f>
        <v>36.7572</v>
      </c>
      <c r="Q119" s="30" t="n">
        <f aca="false">Q118+(2/13)*(E119-Q118)</f>
        <v>34.3367865227499</v>
      </c>
      <c r="R119" s="30" t="n">
        <f aca="false">R118+(2/27)*(E119-R118)</f>
        <v>35.2685463450178</v>
      </c>
      <c r="S119" s="33" t="n">
        <f aca="false">Q119-R119</f>
        <v>-0.931759822267892</v>
      </c>
      <c r="T119" s="33" t="n">
        <f aca="false">T118+(2/10)*(S119-T118)</f>
        <v>-0.971272329837195</v>
      </c>
      <c r="U119" s="33" t="n">
        <f aca="false">S119-T119</f>
        <v>0.0395125075693025</v>
      </c>
      <c r="V119" s="32" t="str">
        <f aca="false">IF(M119="","",IF(M119&lt;Assumptions!$B$5,"BUY",IF(M119&gt;Assumptions!$B$4,"SELL","HOLD")))</f>
        <v>HOLD</v>
      </c>
      <c r="W119" s="32" t="str">
        <f aca="false">IF(O119="","",IF(E119&gt;O119,"BUY","SELL"))</f>
        <v>SELL</v>
      </c>
      <c r="X119" s="32" t="str">
        <f aca="false">IF(T119="","",IF(S119&gt;T119,"BUY","SELL"))</f>
        <v>BUY</v>
      </c>
      <c r="Y119" s="34" t="n">
        <f aca="false">IF(OR(V119="",W119="",X119=""),"",IFERROR(IF(V119="BUY",1,IF(V119="SELL",-1,0))+IF(W119="BUY",1,IF(W119="SELL",-1,0))+IF(X119="BUY",1,IF(X119="SELL",-1,0)),0))</f>
        <v>0</v>
      </c>
      <c r="Z119" s="32" t="str">
        <f aca="false">IF(Y119="","",IF(Y119&gt;=2,"STRONG BUY",IF(Y119=1,"BUY",IF(Y119=0,"HOLD",IF(Y119=-1,"SELL","STRONG SELL")))))</f>
        <v>HOLD</v>
      </c>
    </row>
    <row r="120" customFormat="false" ht="15" hidden="false" customHeight="false" outlineLevel="0" collapsed="false">
      <c r="A120" s="24" t="n">
        <v>45936</v>
      </c>
      <c r="B120" s="25" t="n">
        <v>33.15</v>
      </c>
      <c r="C120" s="25" t="n">
        <v>33.17</v>
      </c>
      <c r="D120" s="25" t="n">
        <v>33.15</v>
      </c>
      <c r="E120" s="25" t="n">
        <v>33.16</v>
      </c>
      <c r="F120" s="26" t="n">
        <v>32184668</v>
      </c>
      <c r="G120" s="27" t="n">
        <f aca="false">E120-E119</f>
        <v>-0.580000000000005</v>
      </c>
      <c r="H120" s="28" t="n">
        <f aca="false">G120/E119</f>
        <v>-0.0171902786010671</v>
      </c>
      <c r="I120" s="29" t="n">
        <f aca="false">MAX(G120,0)</f>
        <v>0</v>
      </c>
      <c r="J120" s="29" t="n">
        <f aca="false">MAX(-G120,0)</f>
        <v>0.580000000000005</v>
      </c>
      <c r="K120" s="29" t="n">
        <f aca="false">(K119*13+I120)/14</f>
        <v>0.176567941778685</v>
      </c>
      <c r="L120" s="29" t="n">
        <f aca="false">(L119*13+J120)/14</f>
        <v>0.331807276011272</v>
      </c>
      <c r="M120" s="31" t="n">
        <f aca="false">IF(L120=0,100,100-100/(1+K120/MAX(L120,0.000001)))</f>
        <v>34.7318153206353</v>
      </c>
      <c r="N120" s="30" t="n">
        <f aca="false">AVERAGE(E101:E120)</f>
        <v>34.609</v>
      </c>
      <c r="O120" s="30" t="n">
        <f aca="false">AVERAGE(E71:E120)</f>
        <v>36.6004</v>
      </c>
      <c r="Q120" s="30" t="n">
        <f aca="false">Q119+(2/13)*(E120-Q119)</f>
        <v>34.1557424423268</v>
      </c>
      <c r="R120" s="30" t="n">
        <f aca="false">R119+(2/27)*(E120-R119)</f>
        <v>35.1123577268683</v>
      </c>
      <c r="S120" s="33" t="n">
        <f aca="false">Q120-R120</f>
        <v>-0.956615284541485</v>
      </c>
      <c r="T120" s="33" t="n">
        <f aca="false">T119+(2/10)*(S120-T119)</f>
        <v>-0.968340920778053</v>
      </c>
      <c r="U120" s="33" t="n">
        <f aca="false">S120-T120</f>
        <v>0.0117256362365681</v>
      </c>
      <c r="V120" s="32" t="str">
        <f aca="false">IF(M120="","",IF(M120&lt;Assumptions!$B$5,"BUY",IF(M120&gt;Assumptions!$B$4,"SELL","HOLD")))</f>
        <v>HOLD</v>
      </c>
      <c r="W120" s="32" t="str">
        <f aca="false">IF(O120="","",IF(E120&gt;O120,"BUY","SELL"))</f>
        <v>SELL</v>
      </c>
      <c r="X120" s="32" t="str">
        <f aca="false">IF(T120="","",IF(S120&gt;T120,"BUY","SELL"))</f>
        <v>BUY</v>
      </c>
      <c r="Y120" s="34" t="n">
        <f aca="false">IF(OR(V120="",W120="",X120=""),"",IFERROR(IF(V120="BUY",1,IF(V120="SELL",-1,0))+IF(W120="BUY",1,IF(W120="SELL",-1,0))+IF(X120="BUY",1,IF(X120="SELL",-1,0)),0))</f>
        <v>0</v>
      </c>
      <c r="Z120" s="32" t="str">
        <f aca="false">IF(Y120="","",IF(Y120&gt;=2,"STRONG BUY",IF(Y120=1,"BUY",IF(Y120=0,"HOLD",IF(Y120=-1,"SELL","STRONG SELL")))))</f>
        <v>HOLD</v>
      </c>
    </row>
    <row r="121" customFormat="false" ht="15" hidden="false" customHeight="false" outlineLevel="0" collapsed="false">
      <c r="A121" s="24" t="n">
        <v>45937</v>
      </c>
      <c r="B121" s="25" t="n">
        <v>32.92</v>
      </c>
      <c r="C121" s="25" t="n">
        <v>33.3</v>
      </c>
      <c r="D121" s="25" t="n">
        <v>32.9</v>
      </c>
      <c r="E121" s="25" t="n">
        <v>33.1</v>
      </c>
      <c r="F121" s="26" t="n">
        <v>28372142</v>
      </c>
      <c r="G121" s="27" t="n">
        <f aca="false">E121-E120</f>
        <v>-0.0599999999999952</v>
      </c>
      <c r="H121" s="28" t="n">
        <f aca="false">G121/E120</f>
        <v>-0.00180940892641722</v>
      </c>
      <c r="I121" s="29" t="n">
        <f aca="false">MAX(G121,0)</f>
        <v>0</v>
      </c>
      <c r="J121" s="29" t="n">
        <f aca="false">MAX(-G121,0)</f>
        <v>0.0599999999999952</v>
      </c>
      <c r="K121" s="29" t="n">
        <f aca="false">(K120*13+I121)/14</f>
        <v>0.163955945937351</v>
      </c>
      <c r="L121" s="29" t="n">
        <f aca="false">(L120*13+J121)/14</f>
        <v>0.312392470581895</v>
      </c>
      <c r="M121" s="31" t="n">
        <f aca="false">IF(L121=0,100,100-100/(1+K121/MAX(L121,0.000001)))</f>
        <v>34.4193326253508</v>
      </c>
      <c r="N121" s="30" t="n">
        <f aca="false">AVERAGE(E102:E121)</f>
        <v>34.38</v>
      </c>
      <c r="O121" s="30" t="n">
        <f aca="false">AVERAGE(E72:E121)</f>
        <v>36.449</v>
      </c>
      <c r="Q121" s="30" t="n">
        <f aca="false">Q120+(2/13)*(E121-Q120)</f>
        <v>33.9933205281227</v>
      </c>
      <c r="R121" s="30" t="n">
        <f aca="false">R120+(2/27)*(E121-R120)</f>
        <v>34.9632941915447</v>
      </c>
      <c r="S121" s="33" t="n">
        <f aca="false">Q121-R121</f>
        <v>-0.969973663422032</v>
      </c>
      <c r="T121" s="33" t="n">
        <f aca="false">T120+(2/10)*(S121-T120)</f>
        <v>-0.968667469306849</v>
      </c>
      <c r="U121" s="33" t="n">
        <f aca="false">S121-T121</f>
        <v>-0.00130619411518285</v>
      </c>
      <c r="V121" s="32" t="str">
        <f aca="false">IF(M121="","",IF(M121&lt;Assumptions!$B$5,"BUY",IF(M121&gt;Assumptions!$B$4,"SELL","HOLD")))</f>
        <v>HOLD</v>
      </c>
      <c r="W121" s="32" t="str">
        <f aca="false">IF(O121="","",IF(E121&gt;O121,"BUY","SELL"))</f>
        <v>SELL</v>
      </c>
      <c r="X121" s="32" t="str">
        <f aca="false">IF(T121="","",IF(S121&gt;T121,"BUY","SELL"))</f>
        <v>SELL</v>
      </c>
      <c r="Y121" s="34" t="n">
        <f aca="false">IF(OR(V121="",W121="",X121=""),"",IFERROR(IF(V121="BUY",1,IF(V121="SELL",-1,0))+IF(W121="BUY",1,IF(W121="SELL",-1,0))+IF(X121="BUY",1,IF(X121="SELL",-1,0)),0))</f>
        <v>-2</v>
      </c>
      <c r="Z121" s="32" t="str">
        <f aca="false">IF(Y121="","",IF(Y121&gt;=2,"STRONG BUY",IF(Y121=1,"BUY",IF(Y121=0,"HOLD",IF(Y121=-1,"SELL","STRONG SELL")))))</f>
        <v>STRONG SELL</v>
      </c>
    </row>
    <row r="122" customFormat="false" ht="15" hidden="false" customHeight="false" outlineLevel="0" collapsed="false">
      <c r="A122" s="24" t="n">
        <v>45938</v>
      </c>
      <c r="B122" s="25" t="n">
        <v>32.88</v>
      </c>
      <c r="C122" s="25" t="n">
        <v>33.16</v>
      </c>
      <c r="D122" s="25" t="n">
        <v>32.88</v>
      </c>
      <c r="E122" s="25" t="n">
        <v>33.02</v>
      </c>
      <c r="F122" s="26" t="n">
        <v>50303027</v>
      </c>
      <c r="G122" s="27" t="n">
        <f aca="false">E122-E121</f>
        <v>-0.0799999999999983</v>
      </c>
      <c r="H122" s="28" t="n">
        <f aca="false">G122/E121</f>
        <v>-0.00241691842900297</v>
      </c>
      <c r="I122" s="29" t="n">
        <f aca="false">MAX(G122,0)</f>
        <v>0</v>
      </c>
      <c r="J122" s="29" t="n">
        <f aca="false">MAX(-G122,0)</f>
        <v>0.0799999999999983</v>
      </c>
      <c r="K122" s="29" t="n">
        <f aca="false">(K121*13+I122)/14</f>
        <v>0.152244806941826</v>
      </c>
      <c r="L122" s="29" t="n">
        <f aca="false">(L121*13+J122)/14</f>
        <v>0.295793008397474</v>
      </c>
      <c r="M122" s="31" t="n">
        <f aca="false">IF(L122=0,100,100-100/(1+K122/MAX(L122,0.000001)))</f>
        <v>33.9803475799315</v>
      </c>
      <c r="N122" s="30" t="n">
        <f aca="false">AVERAGE(E103:E122)</f>
        <v>34.199</v>
      </c>
      <c r="O122" s="30" t="n">
        <f aca="false">AVERAGE(E73:E122)</f>
        <v>36.317</v>
      </c>
      <c r="Q122" s="30" t="n">
        <f aca="false">Q121+(2/13)*(E122-Q121)</f>
        <v>33.8435789084115</v>
      </c>
      <c r="R122" s="30" t="n">
        <f aca="false">R121+(2/27)*(E122-R121)</f>
        <v>34.8193464736525</v>
      </c>
      <c r="S122" s="33" t="n">
        <f aca="false">Q122-R122</f>
        <v>-0.975767565241007</v>
      </c>
      <c r="T122" s="33" t="n">
        <f aca="false">T121+(2/10)*(S122-T121)</f>
        <v>-0.97008748849368</v>
      </c>
      <c r="U122" s="33" t="n">
        <f aca="false">S122-T122</f>
        <v>-0.00568007674732685</v>
      </c>
      <c r="V122" s="32" t="str">
        <f aca="false">IF(M122="","",IF(M122&lt;Assumptions!$B$5,"BUY",IF(M122&gt;Assumptions!$B$4,"SELL","HOLD")))</f>
        <v>HOLD</v>
      </c>
      <c r="W122" s="32" t="str">
        <f aca="false">IF(O122="","",IF(E122&gt;O122,"BUY","SELL"))</f>
        <v>SELL</v>
      </c>
      <c r="X122" s="32" t="str">
        <f aca="false">IF(T122="","",IF(S122&gt;T122,"BUY","SELL"))</f>
        <v>SELL</v>
      </c>
      <c r="Y122" s="34" t="n">
        <f aca="false">IF(OR(V122="",W122="",X122=""),"",IFERROR(IF(V122="BUY",1,IF(V122="SELL",-1,0))+IF(W122="BUY",1,IF(W122="SELL",-1,0))+IF(X122="BUY",1,IF(X122="SELL",-1,0)),0))</f>
        <v>-2</v>
      </c>
      <c r="Z122" s="32" t="str">
        <f aca="false">IF(Y122="","",IF(Y122&gt;=2,"STRONG BUY",IF(Y122=1,"BUY",IF(Y122=0,"HOLD",IF(Y122=-1,"SELL","STRONG SELL")))))</f>
        <v>STRONG SELL</v>
      </c>
    </row>
    <row r="123" customFormat="false" ht="15" hidden="false" customHeight="false" outlineLevel="0" collapsed="false">
      <c r="A123" s="24" t="n">
        <v>45939</v>
      </c>
      <c r="B123" s="25" t="n">
        <v>33.95</v>
      </c>
      <c r="C123" s="25" t="n">
        <v>33.95</v>
      </c>
      <c r="D123" s="25" t="n">
        <v>33.69</v>
      </c>
      <c r="E123" s="25" t="n">
        <v>33.82</v>
      </c>
      <c r="F123" s="26" t="n">
        <v>18553759</v>
      </c>
      <c r="G123" s="27" t="n">
        <f aca="false">E123-E122</f>
        <v>0.799999999999997</v>
      </c>
      <c r="H123" s="28" t="n">
        <f aca="false">G123/E122</f>
        <v>0.0242277407631737</v>
      </c>
      <c r="I123" s="29" t="n">
        <f aca="false">MAX(G123,0)</f>
        <v>0.799999999999997</v>
      </c>
      <c r="J123" s="29" t="n">
        <f aca="false">MAX(-G123,0)</f>
        <v>0</v>
      </c>
      <c r="K123" s="29" t="n">
        <f aca="false">(K122*13+I123)/14</f>
        <v>0.198513035017409</v>
      </c>
      <c r="L123" s="29" t="n">
        <f aca="false">(L122*13+J123)/14</f>
        <v>0.274664936369083</v>
      </c>
      <c r="M123" s="31" t="n">
        <f aca="false">IF(L123=0,100,100-100/(1+K123/MAX(L123,0.000001)))</f>
        <v>41.9531438531959</v>
      </c>
      <c r="N123" s="30" t="n">
        <f aca="false">AVERAGE(E104:E123)</f>
        <v>34.07</v>
      </c>
      <c r="O123" s="30" t="n">
        <f aca="false">AVERAGE(E74:E123)</f>
        <v>36.212</v>
      </c>
      <c r="Q123" s="30" t="n">
        <f aca="false">Q122+(2/13)*(E123-Q122)</f>
        <v>33.8399513840405</v>
      </c>
      <c r="R123" s="30" t="n">
        <f aca="false">R122+(2/27)*(E123-R122)</f>
        <v>34.7453208089375</v>
      </c>
      <c r="S123" s="33" t="n">
        <f aca="false">Q123-R123</f>
        <v>-0.905369424897003</v>
      </c>
      <c r="T123" s="33" t="n">
        <f aca="false">T122+(2/10)*(S123-T122)</f>
        <v>-0.957143875774345</v>
      </c>
      <c r="U123" s="33" t="n">
        <f aca="false">S123-T123</f>
        <v>0.0517744508773417</v>
      </c>
      <c r="V123" s="32" t="str">
        <f aca="false">IF(M123="","",IF(M123&lt;Assumptions!$B$5,"BUY",IF(M123&gt;Assumptions!$B$4,"SELL","HOLD")))</f>
        <v>HOLD</v>
      </c>
      <c r="W123" s="32" t="str">
        <f aca="false">IF(O123="","",IF(E123&gt;O123,"BUY","SELL"))</f>
        <v>SELL</v>
      </c>
      <c r="X123" s="32" t="str">
        <f aca="false">IF(T123="","",IF(S123&gt;T123,"BUY","SELL"))</f>
        <v>BUY</v>
      </c>
      <c r="Y123" s="34" t="n">
        <f aca="false">IF(OR(V123="",W123="",X123=""),"",IFERROR(IF(V123="BUY",1,IF(V123="SELL",-1,0))+IF(W123="BUY",1,IF(W123="SELL",-1,0))+IF(X123="BUY",1,IF(X123="SELL",-1,0)),0))</f>
        <v>0</v>
      </c>
      <c r="Z123" s="32" t="str">
        <f aca="false">IF(Y123="","",IF(Y123&gt;=2,"STRONG BUY",IF(Y123=1,"BUY",IF(Y123=0,"HOLD",IF(Y123=-1,"SELL","STRONG SELL")))))</f>
        <v>HOLD</v>
      </c>
    </row>
    <row r="124" customFormat="false" ht="15" hidden="false" customHeight="false" outlineLevel="0" collapsed="false">
      <c r="A124" s="24" t="n">
        <v>45940</v>
      </c>
      <c r="B124" s="25" t="n">
        <v>33.4</v>
      </c>
      <c r="C124" s="25" t="n">
        <v>33.48</v>
      </c>
      <c r="D124" s="25" t="n">
        <v>33.4</v>
      </c>
      <c r="E124" s="25" t="n">
        <v>33.44</v>
      </c>
      <c r="F124" s="26" t="n">
        <v>36505218</v>
      </c>
      <c r="G124" s="27" t="n">
        <f aca="false">E124-E123</f>
        <v>-0.380000000000003</v>
      </c>
      <c r="H124" s="28" t="n">
        <f aca="false">G124/E123</f>
        <v>-0.0112359550561799</v>
      </c>
      <c r="I124" s="29" t="n">
        <f aca="false">MAX(G124,0)</f>
        <v>0</v>
      </c>
      <c r="J124" s="29" t="n">
        <f aca="false">MAX(-G124,0)</f>
        <v>0.380000000000003</v>
      </c>
      <c r="K124" s="29" t="n">
        <f aca="false">(K123*13+I124)/14</f>
        <v>0.184333532516166</v>
      </c>
      <c r="L124" s="29" t="n">
        <f aca="false">(L123*13+J124)/14</f>
        <v>0.282188869485577</v>
      </c>
      <c r="M124" s="31" t="n">
        <f aca="false">IF(L124=0,100,100-100/(1+K124/MAX(L124,0.000001)))</f>
        <v>39.5122574447084</v>
      </c>
      <c r="N124" s="30" t="n">
        <f aca="false">AVERAGE(E105:E124)</f>
        <v>33.9865</v>
      </c>
      <c r="O124" s="30" t="n">
        <f aca="false">AVERAGE(E75:E124)</f>
        <v>36.1144</v>
      </c>
      <c r="Q124" s="30" t="n">
        <f aca="false">Q123+(2/13)*(E124-Q123)</f>
        <v>33.7784204018804</v>
      </c>
      <c r="R124" s="30" t="n">
        <f aca="false">R123+(2/27)*(E124-R123)</f>
        <v>34.6486303786459</v>
      </c>
      <c r="S124" s="33" t="n">
        <f aca="false">Q124-R124</f>
        <v>-0.870209976765416</v>
      </c>
      <c r="T124" s="33" t="n">
        <f aca="false">T123+(2/10)*(S124-T123)</f>
        <v>-0.939757095972559</v>
      </c>
      <c r="U124" s="33" t="n">
        <f aca="false">S124-T124</f>
        <v>0.0695471192071431</v>
      </c>
      <c r="V124" s="32" t="str">
        <f aca="false">IF(M124="","",IF(M124&lt;Assumptions!$B$5,"BUY",IF(M124&gt;Assumptions!$B$4,"SELL","HOLD")))</f>
        <v>HOLD</v>
      </c>
      <c r="W124" s="32" t="str">
        <f aca="false">IF(O124="","",IF(E124&gt;O124,"BUY","SELL"))</f>
        <v>SELL</v>
      </c>
      <c r="X124" s="32" t="str">
        <f aca="false">IF(T124="","",IF(S124&gt;T124,"BUY","SELL"))</f>
        <v>BUY</v>
      </c>
      <c r="Y124" s="34" t="n">
        <f aca="false">IF(OR(V124="",W124="",X124=""),"",IFERROR(IF(V124="BUY",1,IF(V124="SELL",-1,0))+IF(W124="BUY",1,IF(W124="SELL",-1,0))+IF(X124="BUY",1,IF(X124="SELL",-1,0)),0))</f>
        <v>0</v>
      </c>
      <c r="Z124" s="32" t="str">
        <f aca="false">IF(Y124="","",IF(Y124&gt;=2,"STRONG BUY",IF(Y124=1,"BUY",IF(Y124=0,"HOLD",IF(Y124=-1,"SELL","STRONG SELL")))))</f>
        <v>HOLD</v>
      </c>
    </row>
    <row r="125" customFormat="false" ht="15" hidden="false" customHeight="false" outlineLevel="0" collapsed="false">
      <c r="A125" s="24" t="n">
        <v>45943</v>
      </c>
      <c r="B125" s="25" t="n">
        <v>33.43</v>
      </c>
      <c r="C125" s="25" t="n">
        <v>33.47</v>
      </c>
      <c r="D125" s="25" t="n">
        <v>33.35</v>
      </c>
      <c r="E125" s="25" t="n">
        <v>33.41</v>
      </c>
      <c r="F125" s="26" t="n">
        <v>31294159</v>
      </c>
      <c r="G125" s="27" t="n">
        <f aca="false">E125-E124</f>
        <v>-0.0300000000000011</v>
      </c>
      <c r="H125" s="28" t="n">
        <f aca="false">G125/E124</f>
        <v>-0.000897129186602905</v>
      </c>
      <c r="I125" s="29" t="n">
        <f aca="false">MAX(G125,0)</f>
        <v>0</v>
      </c>
      <c r="J125" s="29" t="n">
        <f aca="false">MAX(-G125,0)</f>
        <v>0.0300000000000011</v>
      </c>
      <c r="K125" s="29" t="n">
        <f aca="false">(K124*13+I125)/14</f>
        <v>0.171166851622154</v>
      </c>
      <c r="L125" s="29" t="n">
        <f aca="false">(L124*13+J125)/14</f>
        <v>0.264175378808036</v>
      </c>
      <c r="M125" s="31" t="n">
        <f aca="false">IF(L125=0,100,100-100/(1+K125/MAX(L125,0.000001)))</f>
        <v>39.3177687937632</v>
      </c>
      <c r="N125" s="30" t="n">
        <f aca="false">AVERAGE(E106:E125)</f>
        <v>33.9195</v>
      </c>
      <c r="O125" s="30" t="n">
        <f aca="false">AVERAGE(E76:E125)</f>
        <v>36.0174</v>
      </c>
      <c r="Q125" s="30" t="n">
        <f aca="false">Q124+(2/13)*(E125-Q124)</f>
        <v>33.7217403400527</v>
      </c>
      <c r="R125" s="30" t="n">
        <f aca="false">R124+(2/27)*(E125-R124)</f>
        <v>34.5568799802276</v>
      </c>
      <c r="S125" s="33" t="n">
        <f aca="false">Q125-R125</f>
        <v>-0.835139640174965</v>
      </c>
      <c r="T125" s="33" t="n">
        <f aca="false">T124+(2/10)*(S125-T124)</f>
        <v>-0.91883360481304</v>
      </c>
      <c r="U125" s="33" t="n">
        <f aca="false">S125-T125</f>
        <v>0.0836939646380751</v>
      </c>
      <c r="V125" s="32" t="str">
        <f aca="false">IF(M125="","",IF(M125&lt;Assumptions!$B$5,"BUY",IF(M125&gt;Assumptions!$B$4,"SELL","HOLD")))</f>
        <v>HOLD</v>
      </c>
      <c r="W125" s="32" t="str">
        <f aca="false">IF(O125="","",IF(E125&gt;O125,"BUY","SELL"))</f>
        <v>SELL</v>
      </c>
      <c r="X125" s="32" t="str">
        <f aca="false">IF(T125="","",IF(S125&gt;T125,"BUY","SELL"))</f>
        <v>BUY</v>
      </c>
      <c r="Y125" s="34" t="n">
        <f aca="false">IF(OR(V125="",W125="",X125=""),"",IFERROR(IF(V125="BUY",1,IF(V125="SELL",-1,0))+IF(W125="BUY",1,IF(W125="SELL",-1,0))+IF(X125="BUY",1,IF(X125="SELL",-1,0)),0))</f>
        <v>0</v>
      </c>
      <c r="Z125" s="32" t="str">
        <f aca="false">IF(Y125="","",IF(Y125&gt;=2,"STRONG BUY",IF(Y125=1,"BUY",IF(Y125=0,"HOLD",IF(Y125=-1,"SELL","STRONG SELL")))))</f>
        <v>HOLD</v>
      </c>
    </row>
    <row r="126" customFormat="false" ht="15" hidden="false" customHeight="false" outlineLevel="0" collapsed="false">
      <c r="A126" s="24" t="n">
        <v>45944</v>
      </c>
      <c r="B126" s="25" t="n">
        <v>33.76</v>
      </c>
      <c r="C126" s="25" t="n">
        <v>33.8</v>
      </c>
      <c r="D126" s="25" t="n">
        <v>33.62</v>
      </c>
      <c r="E126" s="25" t="n">
        <v>33.71</v>
      </c>
      <c r="F126" s="26" t="n">
        <v>72915720</v>
      </c>
      <c r="G126" s="27" t="n">
        <f aca="false">E126-E125</f>
        <v>0.300000000000004</v>
      </c>
      <c r="H126" s="28" t="n">
        <f aca="false">G126/E125</f>
        <v>0.00897934750074841</v>
      </c>
      <c r="I126" s="29" t="n">
        <f aca="false">MAX(G126,0)</f>
        <v>0.300000000000004</v>
      </c>
      <c r="J126" s="29" t="n">
        <f aca="false">MAX(-G126,0)</f>
        <v>0</v>
      </c>
      <c r="K126" s="29" t="n">
        <f aca="false">(K125*13+I126)/14</f>
        <v>0.180369219363429</v>
      </c>
      <c r="L126" s="29" t="n">
        <f aca="false">(L125*13+J126)/14</f>
        <v>0.245305708893176</v>
      </c>
      <c r="M126" s="31" t="n">
        <f aca="false">IF(L126=0,100,100-100/(1+K126/MAX(L126,0.000001)))</f>
        <v>42.3725259324408</v>
      </c>
      <c r="N126" s="30" t="n">
        <f aca="false">AVERAGE(E107:E126)</f>
        <v>33.8805</v>
      </c>
      <c r="O126" s="30" t="n">
        <f aca="false">AVERAGE(E77:E126)</f>
        <v>35.9336</v>
      </c>
      <c r="Q126" s="30" t="n">
        <f aca="false">Q125+(2/13)*(E126-Q125)</f>
        <v>33.7199341338907</v>
      </c>
      <c r="R126" s="30" t="n">
        <f aca="false">R125+(2/27)*(E126-R125)</f>
        <v>34.4941481298404</v>
      </c>
      <c r="S126" s="33" t="n">
        <f aca="false">Q126-R126</f>
        <v>-0.774213995949687</v>
      </c>
      <c r="T126" s="33" t="n">
        <f aca="false">T125+(2/10)*(S126-T125)</f>
        <v>-0.88990968304037</v>
      </c>
      <c r="U126" s="33" t="n">
        <f aca="false">S126-T126</f>
        <v>0.115695687090683</v>
      </c>
      <c r="V126" s="32" t="str">
        <f aca="false">IF(M126="","",IF(M126&lt;Assumptions!$B$5,"BUY",IF(M126&gt;Assumptions!$B$4,"SELL","HOLD")))</f>
        <v>HOLD</v>
      </c>
      <c r="W126" s="32" t="str">
        <f aca="false">IF(O126="","",IF(E126&gt;O126,"BUY","SELL"))</f>
        <v>SELL</v>
      </c>
      <c r="X126" s="32" t="str">
        <f aca="false">IF(T126="","",IF(S126&gt;T126,"BUY","SELL"))</f>
        <v>BUY</v>
      </c>
      <c r="Y126" s="34" t="n">
        <f aca="false">IF(OR(V126="",W126="",X126=""),"",IFERROR(IF(V126="BUY",1,IF(V126="SELL",-1,0))+IF(W126="BUY",1,IF(W126="SELL",-1,0))+IF(X126="BUY",1,IF(X126="SELL",-1,0)),0))</f>
        <v>0</v>
      </c>
      <c r="Z126" s="32" t="str">
        <f aca="false">IF(Y126="","",IF(Y126&gt;=2,"STRONG BUY",IF(Y126=1,"BUY",IF(Y126=0,"HOLD",IF(Y126=-1,"SELL","STRONG SELL")))))</f>
        <v>HOLD</v>
      </c>
    </row>
    <row r="127" customFormat="false" ht="15" hidden="false" customHeight="false" outlineLevel="0" collapsed="false">
      <c r="A127" s="24" t="n">
        <v>45945</v>
      </c>
      <c r="B127" s="25" t="n">
        <v>33.71</v>
      </c>
      <c r="C127" s="25" t="n">
        <v>33.71</v>
      </c>
      <c r="D127" s="25" t="n">
        <v>33.47</v>
      </c>
      <c r="E127" s="25" t="n">
        <v>33.59</v>
      </c>
      <c r="F127" s="26" t="n">
        <v>46555696</v>
      </c>
      <c r="G127" s="27" t="n">
        <f aca="false">E127-E126</f>
        <v>-0.119999999999997</v>
      </c>
      <c r="H127" s="28" t="n">
        <f aca="false">G127/E126</f>
        <v>-0.00355977454761191</v>
      </c>
      <c r="I127" s="29" t="n">
        <f aca="false">MAX(G127,0)</f>
        <v>0</v>
      </c>
      <c r="J127" s="29" t="n">
        <f aca="false">MAX(-G127,0)</f>
        <v>0.119999999999997</v>
      </c>
      <c r="K127" s="29" t="n">
        <f aca="false">(K126*13+I127)/14</f>
        <v>0.167485703694613</v>
      </c>
      <c r="L127" s="29" t="n">
        <f aca="false">(L126*13+J127)/14</f>
        <v>0.236355301115092</v>
      </c>
      <c r="M127" s="31" t="n">
        <f aca="false">IF(L127=0,100,100-100/(1+K127/MAX(L127,0.000001)))</f>
        <v>41.4731792214944</v>
      </c>
      <c r="N127" s="30" t="n">
        <f aca="false">AVERAGE(E108:E127)</f>
        <v>33.85</v>
      </c>
      <c r="O127" s="30" t="n">
        <f aca="false">AVERAGE(E78:E127)</f>
        <v>35.8546</v>
      </c>
      <c r="Q127" s="30" t="n">
        <f aca="false">Q126+(2/13)*(E127-Q126)</f>
        <v>33.6999442671383</v>
      </c>
      <c r="R127" s="30" t="n">
        <f aca="false">R126+(2/27)*(E127-R126)</f>
        <v>34.4271741942967</v>
      </c>
      <c r="S127" s="33" t="n">
        <f aca="false">Q127-R127</f>
        <v>-0.727229927158369</v>
      </c>
      <c r="T127" s="33" t="n">
        <f aca="false">T126+(2/10)*(S127-T126)</f>
        <v>-0.85737373186397</v>
      </c>
      <c r="U127" s="33" t="n">
        <f aca="false">S127-T127</f>
        <v>0.130143804705601</v>
      </c>
      <c r="V127" s="32" t="str">
        <f aca="false">IF(M127="","",IF(M127&lt;Assumptions!$B$5,"BUY",IF(M127&gt;Assumptions!$B$4,"SELL","HOLD")))</f>
        <v>HOLD</v>
      </c>
      <c r="W127" s="32" t="str">
        <f aca="false">IF(O127="","",IF(E127&gt;O127,"BUY","SELL"))</f>
        <v>SELL</v>
      </c>
      <c r="X127" s="32" t="str">
        <f aca="false">IF(T127="","",IF(S127&gt;T127,"BUY","SELL"))</f>
        <v>BUY</v>
      </c>
      <c r="Y127" s="34" t="n">
        <f aca="false">IF(OR(V127="",W127="",X127=""),"",IFERROR(IF(V127="BUY",1,IF(V127="SELL",-1,0))+IF(W127="BUY",1,IF(W127="SELL",-1,0))+IF(X127="BUY",1,IF(X127="SELL",-1,0)),0))</f>
        <v>0</v>
      </c>
      <c r="Z127" s="32" t="str">
        <f aca="false">IF(Y127="","",IF(Y127&gt;=2,"STRONG BUY",IF(Y127=1,"BUY",IF(Y127=0,"HOLD",IF(Y127=-1,"SELL","STRONG SELL")))))</f>
        <v>HOLD</v>
      </c>
    </row>
    <row r="128" customFormat="false" ht="15" hidden="false" customHeight="false" outlineLevel="0" collapsed="false">
      <c r="A128" s="24" t="n">
        <v>45946</v>
      </c>
      <c r="B128" s="25" t="n">
        <v>33.28</v>
      </c>
      <c r="C128" s="25" t="n">
        <v>33.6</v>
      </c>
      <c r="D128" s="25" t="n">
        <v>32.82</v>
      </c>
      <c r="E128" s="25" t="n">
        <v>33.21</v>
      </c>
      <c r="F128" s="26" t="n">
        <v>48572171</v>
      </c>
      <c r="G128" s="27" t="n">
        <f aca="false">E128-E127</f>
        <v>-0.380000000000003</v>
      </c>
      <c r="H128" s="28" t="n">
        <f aca="false">G128/E127</f>
        <v>-0.0113128907412921</v>
      </c>
      <c r="I128" s="29" t="n">
        <f aca="false">MAX(G128,0)</f>
        <v>0</v>
      </c>
      <c r="J128" s="29" t="n">
        <f aca="false">MAX(-G128,0)</f>
        <v>0.380000000000003</v>
      </c>
      <c r="K128" s="29" t="n">
        <f aca="false">(K127*13+I128)/14</f>
        <v>0.155522439144997</v>
      </c>
      <c r="L128" s="29" t="n">
        <f aca="false">(L127*13+J128)/14</f>
        <v>0.246615636749729</v>
      </c>
      <c r="M128" s="31" t="n">
        <f aca="false">IF(L128=0,100,100-100/(1+K128/MAX(L128,0.000001)))</f>
        <v>38.6738905036466</v>
      </c>
      <c r="N128" s="30" t="n">
        <f aca="false">AVERAGE(E109:E128)</f>
        <v>33.808</v>
      </c>
      <c r="O128" s="30" t="n">
        <f aca="false">AVERAGE(E79:E128)</f>
        <v>35.7656</v>
      </c>
      <c r="Q128" s="30" t="n">
        <f aca="false">Q127+(2/13)*(E128-Q127)</f>
        <v>33.6245682260401</v>
      </c>
      <c r="R128" s="30" t="n">
        <f aca="false">R127+(2/27)*(E128-R127)</f>
        <v>34.3370131428673</v>
      </c>
      <c r="S128" s="33" t="n">
        <f aca="false">Q128-R128</f>
        <v>-0.712444916827188</v>
      </c>
      <c r="T128" s="33" t="n">
        <f aca="false">T127+(2/10)*(S128-T127)</f>
        <v>-0.828387968856613</v>
      </c>
      <c r="U128" s="33" t="n">
        <f aca="false">S128-T128</f>
        <v>0.115943052029425</v>
      </c>
      <c r="V128" s="32" t="str">
        <f aca="false">IF(M128="","",IF(M128&lt;Assumptions!$B$5,"BUY",IF(M128&gt;Assumptions!$B$4,"SELL","HOLD")))</f>
        <v>HOLD</v>
      </c>
      <c r="W128" s="32" t="str">
        <f aca="false">IF(O128="","",IF(E128&gt;O128,"BUY","SELL"))</f>
        <v>SELL</v>
      </c>
      <c r="X128" s="32" t="str">
        <f aca="false">IF(T128="","",IF(S128&gt;T128,"BUY","SELL"))</f>
        <v>BUY</v>
      </c>
      <c r="Y128" s="34" t="n">
        <f aca="false">IF(OR(V128="",W128="",X128=""),"",IFERROR(IF(V128="BUY",1,IF(V128="SELL",-1,0))+IF(W128="BUY",1,IF(W128="SELL",-1,0))+IF(X128="BUY",1,IF(X128="SELL",-1,0)),0))</f>
        <v>0</v>
      </c>
      <c r="Z128" s="32" t="str">
        <f aca="false">IF(Y128="","",IF(Y128&gt;=2,"STRONG BUY",IF(Y128=1,"BUY",IF(Y128=0,"HOLD",IF(Y128=-1,"SELL","STRONG SELL")))))</f>
        <v>HOLD</v>
      </c>
    </row>
    <row r="129" customFormat="false" ht="15" hidden="false" customHeight="false" outlineLevel="0" collapsed="false">
      <c r="A129" s="24" t="n">
        <v>45947</v>
      </c>
      <c r="B129" s="25" t="n">
        <v>33.31</v>
      </c>
      <c r="C129" s="25" t="n">
        <v>33.37</v>
      </c>
      <c r="D129" s="25" t="n">
        <v>33.01</v>
      </c>
      <c r="E129" s="25" t="n">
        <v>33.19</v>
      </c>
      <c r="F129" s="26" t="n">
        <v>41746505</v>
      </c>
      <c r="G129" s="27" t="n">
        <f aca="false">E129-E128</f>
        <v>-0.0200000000000031</v>
      </c>
      <c r="H129" s="28" t="n">
        <f aca="false">G129/E128</f>
        <v>-0.000602228244504761</v>
      </c>
      <c r="I129" s="29" t="n">
        <f aca="false">MAX(G129,0)</f>
        <v>0</v>
      </c>
      <c r="J129" s="29" t="n">
        <f aca="false">MAX(-G129,0)</f>
        <v>0.0200000000000031</v>
      </c>
      <c r="K129" s="29" t="n">
        <f aca="false">(K128*13+I129)/14</f>
        <v>0.144413693491783</v>
      </c>
      <c r="L129" s="29" t="n">
        <f aca="false">(L128*13+J129)/14</f>
        <v>0.23042880555332</v>
      </c>
      <c r="M129" s="31" t="n">
        <f aca="false">IF(L129=0,100,100-100/(1+K129/MAX(L129,0.000001)))</f>
        <v>38.5264994923659</v>
      </c>
      <c r="N129" s="30" t="n">
        <f aca="false">AVERAGE(E110:E129)</f>
        <v>33.774</v>
      </c>
      <c r="O129" s="30" t="n">
        <f aca="false">AVERAGE(E80:E129)</f>
        <v>35.6822</v>
      </c>
      <c r="Q129" s="30" t="n">
        <f aca="false">Q128+(2/13)*(E129-Q128)</f>
        <v>33.5577115758801</v>
      </c>
      <c r="R129" s="30" t="n">
        <f aca="false">R128+(2/27)*(E129-R128)</f>
        <v>34.2520492063586</v>
      </c>
      <c r="S129" s="33" t="n">
        <f aca="false">Q129-R129</f>
        <v>-0.694337630478515</v>
      </c>
      <c r="T129" s="33" t="n">
        <f aca="false">T128+(2/10)*(S129-T128)</f>
        <v>-0.801577901180994</v>
      </c>
      <c r="U129" s="33" t="n">
        <f aca="false">S129-T129</f>
        <v>0.107240270702479</v>
      </c>
      <c r="V129" s="32" t="str">
        <f aca="false">IF(M129="","",IF(M129&lt;Assumptions!$B$5,"BUY",IF(M129&gt;Assumptions!$B$4,"SELL","HOLD")))</f>
        <v>HOLD</v>
      </c>
      <c r="W129" s="32" t="str">
        <f aca="false">IF(O129="","",IF(E129&gt;O129,"BUY","SELL"))</f>
        <v>SELL</v>
      </c>
      <c r="X129" s="32" t="str">
        <f aca="false">IF(T129="","",IF(S129&gt;T129,"BUY","SELL"))</f>
        <v>BUY</v>
      </c>
      <c r="Y129" s="34" t="n">
        <f aca="false">IF(OR(V129="",W129="",X129=""),"",IFERROR(IF(V129="BUY",1,IF(V129="SELL",-1,0))+IF(W129="BUY",1,IF(W129="SELL",-1,0))+IF(X129="BUY",1,IF(X129="SELL",-1,0)),0))</f>
        <v>0</v>
      </c>
      <c r="Z129" s="32" t="str">
        <f aca="false">IF(Y129="","",IF(Y129&gt;=2,"STRONG BUY",IF(Y129=1,"BUY",IF(Y129=0,"HOLD",IF(Y129=-1,"SELL","STRONG SELL")))))</f>
        <v>HOLD</v>
      </c>
    </row>
    <row r="130" customFormat="false" ht="15" hidden="false" customHeight="false" outlineLevel="0" collapsed="false">
      <c r="A130" s="24" t="n">
        <v>45950</v>
      </c>
      <c r="B130" s="25" t="n">
        <v>33.23</v>
      </c>
      <c r="C130" s="25" t="n">
        <v>33.44</v>
      </c>
      <c r="D130" s="25" t="n">
        <v>33.04</v>
      </c>
      <c r="E130" s="25" t="n">
        <v>33.24</v>
      </c>
      <c r="F130" s="26" t="n">
        <v>63130630</v>
      </c>
      <c r="G130" s="27" t="n">
        <f aca="false">E130-E129</f>
        <v>0.0500000000000043</v>
      </c>
      <c r="H130" s="28" t="n">
        <f aca="false">G130/E129</f>
        <v>0.00150647785477566</v>
      </c>
      <c r="I130" s="29" t="n">
        <f aca="false">MAX(G130,0)</f>
        <v>0.0500000000000043</v>
      </c>
      <c r="J130" s="29" t="n">
        <f aca="false">MAX(-G130,0)</f>
        <v>0</v>
      </c>
      <c r="K130" s="29" t="n">
        <f aca="false">(K129*13+I130)/14</f>
        <v>0.137669858242371</v>
      </c>
      <c r="L130" s="29" t="n">
        <f aca="false">(L129*13+J130)/14</f>
        <v>0.213969605156654</v>
      </c>
      <c r="M130" s="31" t="n">
        <f aca="false">IF(L130=0,100,100-100/(1+K130/MAX(L130,0.000001)))</f>
        <v>39.1508555130938</v>
      </c>
      <c r="N130" s="30" t="n">
        <f aca="false">AVERAGE(E111:E130)</f>
        <v>33.7565</v>
      </c>
      <c r="O130" s="30" t="n">
        <f aca="false">AVERAGE(E81:E130)</f>
        <v>35.59</v>
      </c>
      <c r="Q130" s="30" t="n">
        <f aca="false">Q129+(2/13)*(E130-Q129)</f>
        <v>33.5088328718985</v>
      </c>
      <c r="R130" s="30" t="n">
        <f aca="false">R129+(2/27)*(E130-R129)</f>
        <v>34.1770825984802</v>
      </c>
      <c r="S130" s="33" t="n">
        <f aca="false">Q130-R130</f>
        <v>-0.668249726581649</v>
      </c>
      <c r="T130" s="33" t="n">
        <f aca="false">T129+(2/10)*(S130-T129)</f>
        <v>-0.774912266261125</v>
      </c>
      <c r="U130" s="33" t="n">
        <f aca="false">S130-T130</f>
        <v>0.106662539679475</v>
      </c>
      <c r="V130" s="32" t="str">
        <f aca="false">IF(M130="","",IF(M130&lt;Assumptions!$B$5,"BUY",IF(M130&gt;Assumptions!$B$4,"SELL","HOLD")))</f>
        <v>HOLD</v>
      </c>
      <c r="W130" s="32" t="str">
        <f aca="false">IF(O130="","",IF(E130&gt;O130,"BUY","SELL"))</f>
        <v>SELL</v>
      </c>
      <c r="X130" s="32" t="str">
        <f aca="false">IF(T130="","",IF(S130&gt;T130,"BUY","SELL"))</f>
        <v>BUY</v>
      </c>
      <c r="Y130" s="34" t="n">
        <f aca="false">IF(OR(V130="",W130="",X130=""),"",IFERROR(IF(V130="BUY",1,IF(V130="SELL",-1,0))+IF(W130="BUY",1,IF(W130="SELL",-1,0))+IF(X130="BUY",1,IF(X130="SELL",-1,0)),0))</f>
        <v>0</v>
      </c>
      <c r="Z130" s="32" t="str">
        <f aca="false">IF(Y130="","",IF(Y130&gt;=2,"STRONG BUY",IF(Y130=1,"BUY",IF(Y130=0,"HOLD",IF(Y130=-1,"SELL","STRONG SELL")))))</f>
        <v>HOLD</v>
      </c>
    </row>
    <row r="131" customFormat="false" ht="15" hidden="false" customHeight="false" outlineLevel="0" collapsed="false">
      <c r="A131" s="24" t="n">
        <v>45951</v>
      </c>
      <c r="B131" s="25" t="n">
        <v>33.72</v>
      </c>
      <c r="C131" s="25" t="n">
        <v>33.8</v>
      </c>
      <c r="D131" s="25" t="n">
        <v>33.52</v>
      </c>
      <c r="E131" s="25" t="n">
        <v>33.66</v>
      </c>
      <c r="F131" s="26" t="n">
        <v>31939239</v>
      </c>
      <c r="G131" s="27" t="n">
        <f aca="false">E131-E130</f>
        <v>0.419999999999995</v>
      </c>
      <c r="H131" s="28" t="n">
        <f aca="false">G131/E130</f>
        <v>0.0126353790613717</v>
      </c>
      <c r="I131" s="29" t="n">
        <f aca="false">MAX(G131,0)</f>
        <v>0.419999999999995</v>
      </c>
      <c r="J131" s="29" t="n">
        <f aca="false">MAX(-G131,0)</f>
        <v>0</v>
      </c>
      <c r="K131" s="29" t="n">
        <f aca="false">(K130*13+I131)/14</f>
        <v>0.157836296939344</v>
      </c>
      <c r="L131" s="29" t="n">
        <f aca="false">(L130*13+J131)/14</f>
        <v>0.198686061931179</v>
      </c>
      <c r="M131" s="31" t="n">
        <f aca="false">IF(L131=0,100,100-100/(1+K131/MAX(L131,0.000001)))</f>
        <v>44.271079502384</v>
      </c>
      <c r="N131" s="30" t="n">
        <f aca="false">AVERAGE(E112:E131)</f>
        <v>33.724</v>
      </c>
      <c r="O131" s="30" t="n">
        <f aca="false">AVERAGE(E82:E131)</f>
        <v>35.5102</v>
      </c>
      <c r="Q131" s="30" t="n">
        <f aca="false">Q130+(2/13)*(E131-Q130)</f>
        <v>33.5320893531449</v>
      </c>
      <c r="R131" s="30" t="n">
        <f aca="false">R130+(2/27)*(E131-R130)</f>
        <v>34.1387801837779</v>
      </c>
      <c r="S131" s="33" t="n">
        <f aca="false">Q131-R131</f>
        <v>-0.606690830633035</v>
      </c>
      <c r="T131" s="33" t="n">
        <f aca="false">T130+(2/10)*(S131-T130)</f>
        <v>-0.741267979135507</v>
      </c>
      <c r="U131" s="33" t="n">
        <f aca="false">S131-T131</f>
        <v>0.134577148502472</v>
      </c>
      <c r="V131" s="32" t="str">
        <f aca="false">IF(M131="","",IF(M131&lt;Assumptions!$B$5,"BUY",IF(M131&gt;Assumptions!$B$4,"SELL","HOLD")))</f>
        <v>HOLD</v>
      </c>
      <c r="W131" s="32" t="str">
        <f aca="false">IF(O131="","",IF(E131&gt;O131,"BUY","SELL"))</f>
        <v>SELL</v>
      </c>
      <c r="X131" s="32" t="str">
        <f aca="false">IF(T131="","",IF(S131&gt;T131,"BUY","SELL"))</f>
        <v>BUY</v>
      </c>
      <c r="Y131" s="34" t="n">
        <f aca="false">IF(OR(V131="",W131="",X131=""),"",IFERROR(IF(V131="BUY",1,IF(V131="SELL",-1,0))+IF(W131="BUY",1,IF(W131="SELL",-1,0))+IF(X131="BUY",1,IF(X131="SELL",-1,0)),0))</f>
        <v>0</v>
      </c>
      <c r="Z131" s="32" t="str">
        <f aca="false">IF(Y131="","",IF(Y131&gt;=2,"STRONG BUY",IF(Y131=1,"BUY",IF(Y131=0,"HOLD",IF(Y131=-1,"SELL","STRONG SELL")))))</f>
        <v>HOLD</v>
      </c>
    </row>
    <row r="132" customFormat="false" ht="15" hidden="false" customHeight="false" outlineLevel="0" collapsed="false">
      <c r="A132" s="24" t="n">
        <v>45952</v>
      </c>
      <c r="B132" s="25" t="n">
        <v>33.22</v>
      </c>
      <c r="C132" s="25" t="n">
        <v>33.4</v>
      </c>
      <c r="D132" s="25" t="n">
        <v>33.04</v>
      </c>
      <c r="E132" s="25" t="n">
        <v>33.22</v>
      </c>
      <c r="F132" s="26" t="n">
        <v>85039563</v>
      </c>
      <c r="G132" s="27" t="n">
        <f aca="false">E132-E131</f>
        <v>-0.439999999999998</v>
      </c>
      <c r="H132" s="28" t="n">
        <f aca="false">G132/E131</f>
        <v>-0.0130718954248365</v>
      </c>
      <c r="I132" s="29" t="n">
        <f aca="false">MAX(G132,0)</f>
        <v>0</v>
      </c>
      <c r="J132" s="29" t="n">
        <f aca="false">MAX(-G132,0)</f>
        <v>0.439999999999998</v>
      </c>
      <c r="K132" s="29" t="n">
        <f aca="false">(K131*13+I132)/14</f>
        <v>0.146562275729391</v>
      </c>
      <c r="L132" s="29" t="n">
        <f aca="false">(L131*13+J132)/14</f>
        <v>0.215922771793237</v>
      </c>
      <c r="M132" s="31" t="n">
        <f aca="false">IF(L132=0,100,100-100/(1+K132/MAX(L132,0.000001)))</f>
        <v>40.4326403891851</v>
      </c>
      <c r="N132" s="30" t="n">
        <f aca="false">AVERAGE(E113:E132)</f>
        <v>33.64</v>
      </c>
      <c r="O132" s="30" t="n">
        <f aca="false">AVERAGE(E83:E132)</f>
        <v>35.4192</v>
      </c>
      <c r="Q132" s="30" t="n">
        <f aca="false">Q131+(2/13)*(E132-Q131)</f>
        <v>33.4840756065072</v>
      </c>
      <c r="R132" s="30" t="n">
        <f aca="false">R131+(2/27)*(E132-R131)</f>
        <v>34.070722392387</v>
      </c>
      <c r="S132" s="33" t="n">
        <f aca="false">Q132-R132</f>
        <v>-0.586646785879758</v>
      </c>
      <c r="T132" s="33" t="n">
        <f aca="false">T131+(2/10)*(S132-T131)</f>
        <v>-0.710343740484357</v>
      </c>
      <c r="U132" s="33" t="n">
        <f aca="false">S132-T132</f>
        <v>0.123696954604599</v>
      </c>
      <c r="V132" s="32" t="str">
        <f aca="false">IF(M132="","",IF(M132&lt;Assumptions!$B$5,"BUY",IF(M132&gt;Assumptions!$B$4,"SELL","HOLD")))</f>
        <v>HOLD</v>
      </c>
      <c r="W132" s="32" t="str">
        <f aca="false">IF(O132="","",IF(E132&gt;O132,"BUY","SELL"))</f>
        <v>SELL</v>
      </c>
      <c r="X132" s="32" t="str">
        <f aca="false">IF(T132="","",IF(S132&gt;T132,"BUY","SELL"))</f>
        <v>BUY</v>
      </c>
      <c r="Y132" s="34" t="n">
        <f aca="false">IF(OR(V132="",W132="",X132=""),"",IFERROR(IF(V132="BUY",1,IF(V132="SELL",-1,0))+IF(W132="BUY",1,IF(W132="SELL",-1,0))+IF(X132="BUY",1,IF(X132="SELL",-1,0)),0))</f>
        <v>0</v>
      </c>
      <c r="Z132" s="32" t="str">
        <f aca="false">IF(Y132="","",IF(Y132&gt;=2,"STRONG BUY",IF(Y132=1,"BUY",IF(Y132=0,"HOLD",IF(Y132=-1,"SELL","STRONG SELL")))))</f>
        <v>HOLD</v>
      </c>
    </row>
    <row r="133" customFormat="false" ht="15" hidden="false" customHeight="false" outlineLevel="0" collapsed="false">
      <c r="A133" s="24" t="n">
        <v>45953</v>
      </c>
      <c r="B133" s="25" t="n">
        <v>33.11</v>
      </c>
      <c r="C133" s="25" t="n">
        <v>33.11</v>
      </c>
      <c r="D133" s="25" t="n">
        <v>32.93</v>
      </c>
      <c r="E133" s="25" t="n">
        <v>33.02</v>
      </c>
      <c r="F133" s="26" t="n">
        <v>36614373</v>
      </c>
      <c r="G133" s="27" t="n">
        <f aca="false">E133-E132</f>
        <v>-0.199999999999996</v>
      </c>
      <c r="H133" s="28" t="n">
        <f aca="false">G133/E132</f>
        <v>-0.00602046959662841</v>
      </c>
      <c r="I133" s="29" t="n">
        <f aca="false">MAX(G133,0)</f>
        <v>0</v>
      </c>
      <c r="J133" s="29" t="n">
        <f aca="false">MAX(-G133,0)</f>
        <v>0.199999999999996</v>
      </c>
      <c r="K133" s="29" t="n">
        <f aca="false">(K132*13+I133)/14</f>
        <v>0.13609354174872</v>
      </c>
      <c r="L133" s="29" t="n">
        <f aca="false">(L132*13+J133)/14</f>
        <v>0.214785430950863</v>
      </c>
      <c r="M133" s="31" t="n">
        <f aca="false">IF(L133=0,100,100-100/(1+K133/MAX(L133,0.000001)))</f>
        <v>38.7864626659293</v>
      </c>
      <c r="N133" s="30" t="n">
        <f aca="false">AVERAGE(E114:E133)</f>
        <v>33.5735</v>
      </c>
      <c r="O133" s="30" t="n">
        <f aca="false">AVERAGE(E84:E133)</f>
        <v>35.338</v>
      </c>
      <c r="Q133" s="30" t="n">
        <f aca="false">Q132+(2/13)*(E133-Q132)</f>
        <v>33.4126793593523</v>
      </c>
      <c r="R133" s="30" t="n">
        <f aca="false">R132+(2/27)*(E133-R132)</f>
        <v>33.992891104062</v>
      </c>
      <c r="S133" s="33" t="n">
        <f aca="false">Q133-R133</f>
        <v>-0.58021174470975</v>
      </c>
      <c r="T133" s="33" t="n">
        <f aca="false">T132+(2/10)*(S133-T132)</f>
        <v>-0.684317341329436</v>
      </c>
      <c r="U133" s="33" t="n">
        <f aca="false">S133-T133</f>
        <v>0.104105596619686</v>
      </c>
      <c r="V133" s="32" t="str">
        <f aca="false">IF(M133="","",IF(M133&lt;Assumptions!$B$5,"BUY",IF(M133&gt;Assumptions!$B$4,"SELL","HOLD")))</f>
        <v>HOLD</v>
      </c>
      <c r="W133" s="32" t="str">
        <f aca="false">IF(O133="","",IF(E133&gt;O133,"BUY","SELL"))</f>
        <v>SELL</v>
      </c>
      <c r="X133" s="32" t="str">
        <f aca="false">IF(T133="","",IF(S133&gt;T133,"BUY","SELL"))</f>
        <v>BUY</v>
      </c>
      <c r="Y133" s="34" t="n">
        <f aca="false">IF(OR(V133="",W133="",X133=""),"",IFERROR(IF(V133="BUY",1,IF(V133="SELL",-1,0))+IF(W133="BUY",1,IF(W133="SELL",-1,0))+IF(X133="BUY",1,IF(X133="SELL",-1,0)),0))</f>
        <v>0</v>
      </c>
      <c r="Z133" s="32" t="str">
        <f aca="false">IF(Y133="","",IF(Y133&gt;=2,"STRONG BUY",IF(Y133=1,"BUY",IF(Y133=0,"HOLD",IF(Y133=-1,"SELL","STRONG SELL")))))</f>
        <v>HOLD</v>
      </c>
    </row>
    <row r="134" customFormat="false" ht="15" hidden="false" customHeight="false" outlineLevel="0" collapsed="false">
      <c r="A134" s="24" t="n">
        <v>45954</v>
      </c>
      <c r="B134" s="25" t="n">
        <v>33.18</v>
      </c>
      <c r="C134" s="25" t="n">
        <v>33.25</v>
      </c>
      <c r="D134" s="25" t="n">
        <v>33.09</v>
      </c>
      <c r="E134" s="25" t="n">
        <v>33.17</v>
      </c>
      <c r="F134" s="26" t="n">
        <v>29516669</v>
      </c>
      <c r="G134" s="27" t="n">
        <f aca="false">E134-E133</f>
        <v>0.149999999999999</v>
      </c>
      <c r="H134" s="28" t="n">
        <f aca="false">G134/E133</f>
        <v>0.00454270139309505</v>
      </c>
      <c r="I134" s="29" t="n">
        <f aca="false">MAX(G134,0)</f>
        <v>0.149999999999999</v>
      </c>
      <c r="J134" s="29" t="n">
        <f aca="false">MAX(-G134,0)</f>
        <v>0</v>
      </c>
      <c r="K134" s="29" t="n">
        <f aca="false">(K133*13+I134)/14</f>
        <v>0.13708686019524</v>
      </c>
      <c r="L134" s="29" t="n">
        <f aca="false">(L133*13+J134)/14</f>
        <v>0.199443614454373</v>
      </c>
      <c r="M134" s="31" t="n">
        <f aca="false">IF(L134=0,100,100-100/(1+K134/MAX(L134,0.000001)))</f>
        <v>40.7353480655716</v>
      </c>
      <c r="N134" s="30" t="n">
        <f aca="false">AVERAGE(E115:E134)</f>
        <v>33.484</v>
      </c>
      <c r="O134" s="30" t="n">
        <f aca="false">AVERAGE(E85:E134)</f>
        <v>35.2528</v>
      </c>
      <c r="Q134" s="30" t="n">
        <f aca="false">Q133+(2/13)*(E134-Q133)</f>
        <v>33.3753440732981</v>
      </c>
      <c r="R134" s="30" t="n">
        <f aca="false">R133+(2/27)*(E134-R133)</f>
        <v>33.9319362074648</v>
      </c>
      <c r="S134" s="33" t="n">
        <f aca="false">Q134-R134</f>
        <v>-0.556592134166756</v>
      </c>
      <c r="T134" s="33" t="n">
        <f aca="false">T133+(2/10)*(S134-T133)</f>
        <v>-0.6587722998969</v>
      </c>
      <c r="U134" s="33" t="n">
        <f aca="false">S134-T134</f>
        <v>0.102180165730144</v>
      </c>
      <c r="V134" s="32" t="str">
        <f aca="false">IF(M134="","",IF(M134&lt;Assumptions!$B$5,"BUY",IF(M134&gt;Assumptions!$B$4,"SELL","HOLD")))</f>
        <v>HOLD</v>
      </c>
      <c r="W134" s="32" t="str">
        <f aca="false">IF(O134="","",IF(E134&gt;O134,"BUY","SELL"))</f>
        <v>SELL</v>
      </c>
      <c r="X134" s="32" t="str">
        <f aca="false">IF(T134="","",IF(S134&gt;T134,"BUY","SELL"))</f>
        <v>BUY</v>
      </c>
      <c r="Y134" s="34" t="n">
        <f aca="false">IF(OR(V134="",W134="",X134=""),"",IFERROR(IF(V134="BUY",1,IF(V134="SELL",-1,0))+IF(W134="BUY",1,IF(W134="SELL",-1,0))+IF(X134="BUY",1,IF(X134="SELL",-1,0)),0))</f>
        <v>0</v>
      </c>
      <c r="Z134" s="32" t="str">
        <f aca="false">IF(Y134="","",IF(Y134&gt;=2,"STRONG BUY",IF(Y134=1,"BUY",IF(Y134=0,"HOLD",IF(Y134=-1,"SELL","STRONG SELL")))))</f>
        <v>HOLD</v>
      </c>
    </row>
    <row r="135" customFormat="false" ht="15" hidden="false" customHeight="false" outlineLevel="0" collapsed="false">
      <c r="A135" s="24" t="n">
        <v>45957</v>
      </c>
      <c r="B135" s="25" t="n">
        <v>33.09</v>
      </c>
      <c r="C135" s="25" t="n">
        <v>33.33</v>
      </c>
      <c r="D135" s="25" t="n">
        <v>32.87</v>
      </c>
      <c r="E135" s="25" t="n">
        <v>33.1</v>
      </c>
      <c r="F135" s="26" t="n">
        <v>48637254</v>
      </c>
      <c r="G135" s="27" t="n">
        <f aca="false">E135-E134</f>
        <v>-0.0700000000000003</v>
      </c>
      <c r="H135" s="28" t="n">
        <f aca="false">G135/E134</f>
        <v>-0.00211034066927948</v>
      </c>
      <c r="I135" s="29" t="n">
        <f aca="false">MAX(G135,0)</f>
        <v>0</v>
      </c>
      <c r="J135" s="29" t="n">
        <f aca="false">MAX(-G135,0)</f>
        <v>0.0700000000000003</v>
      </c>
      <c r="K135" s="29" t="n">
        <f aca="false">(K134*13+I135)/14</f>
        <v>0.127294941609866</v>
      </c>
      <c r="L135" s="29" t="n">
        <f aca="false">(L134*13+J135)/14</f>
        <v>0.190197641993346</v>
      </c>
      <c r="M135" s="31" t="n">
        <f aca="false">IF(L135=0,100,100-100/(1+K135/MAX(L135,0.000001)))</f>
        <v>40.0938315362205</v>
      </c>
      <c r="N135" s="30" t="n">
        <f aca="false">AVERAGE(E116:E135)</f>
        <v>33.43</v>
      </c>
      <c r="O135" s="30" t="n">
        <f aca="false">AVERAGE(E86:E135)</f>
        <v>35.1704</v>
      </c>
      <c r="Q135" s="30" t="n">
        <f aca="false">Q134+(2/13)*(E135-Q134)</f>
        <v>33.3329834466368</v>
      </c>
      <c r="R135" s="30" t="n">
        <f aca="false">R134+(2/27)*(E135-R134)</f>
        <v>33.8703113032082</v>
      </c>
      <c r="S135" s="33" t="n">
        <f aca="false">Q135-R135</f>
        <v>-0.537327856571345</v>
      </c>
      <c r="T135" s="33" t="n">
        <f aca="false">T134+(2/10)*(S135-T134)</f>
        <v>-0.634483411231789</v>
      </c>
      <c r="U135" s="33" t="n">
        <f aca="false">S135-T135</f>
        <v>0.0971555546604439</v>
      </c>
      <c r="V135" s="32" t="str">
        <f aca="false">IF(M135="","",IF(M135&lt;Assumptions!$B$5,"BUY",IF(M135&gt;Assumptions!$B$4,"SELL","HOLD")))</f>
        <v>HOLD</v>
      </c>
      <c r="W135" s="32" t="str">
        <f aca="false">IF(O135="","",IF(E135&gt;O135,"BUY","SELL"))</f>
        <v>SELL</v>
      </c>
      <c r="X135" s="32" t="str">
        <f aca="false">IF(T135="","",IF(S135&gt;T135,"BUY","SELL"))</f>
        <v>BUY</v>
      </c>
      <c r="Y135" s="34" t="n">
        <f aca="false">IF(OR(V135="",W135="",X135=""),"",IFERROR(IF(V135="BUY",1,IF(V135="SELL",-1,0))+IF(W135="BUY",1,IF(W135="SELL",-1,0))+IF(X135="BUY",1,IF(X135="SELL",-1,0)),0))</f>
        <v>0</v>
      </c>
      <c r="Z135" s="32" t="str">
        <f aca="false">IF(Y135="","",IF(Y135&gt;=2,"STRONG BUY",IF(Y135=1,"BUY",IF(Y135=0,"HOLD",IF(Y135=-1,"SELL","STRONG SELL")))))</f>
        <v>HOLD</v>
      </c>
    </row>
    <row r="136" customFormat="false" ht="15" hidden="false" customHeight="false" outlineLevel="0" collapsed="false">
      <c r="A136" s="24" t="n">
        <v>45958</v>
      </c>
      <c r="B136" s="25" t="n">
        <v>33.06</v>
      </c>
      <c r="C136" s="25" t="n">
        <v>33.06</v>
      </c>
      <c r="D136" s="25" t="n">
        <v>32.98</v>
      </c>
      <c r="E136" s="25" t="n">
        <v>33.02</v>
      </c>
      <c r="F136" s="26" t="n">
        <v>42994096</v>
      </c>
      <c r="G136" s="27" t="n">
        <f aca="false">E136-E135</f>
        <v>-0.0799999999999983</v>
      </c>
      <c r="H136" s="28" t="n">
        <f aca="false">G136/E135</f>
        <v>-0.00241691842900297</v>
      </c>
      <c r="I136" s="29" t="n">
        <f aca="false">MAX(G136,0)</f>
        <v>0</v>
      </c>
      <c r="J136" s="29" t="n">
        <f aca="false">MAX(-G136,0)</f>
        <v>0.0799999999999983</v>
      </c>
      <c r="K136" s="29" t="n">
        <f aca="false">(K135*13+I136)/14</f>
        <v>0.118202445780589</v>
      </c>
      <c r="L136" s="29" t="n">
        <f aca="false">(L135*13+J136)/14</f>
        <v>0.182326381850964</v>
      </c>
      <c r="M136" s="31" t="n">
        <f aca="false">IF(L136=0,100,100-100/(1+K136/MAX(L136,0.000001)))</f>
        <v>39.3314833429241</v>
      </c>
      <c r="N136" s="30" t="n">
        <f aca="false">AVERAGE(E117:E136)</f>
        <v>33.391</v>
      </c>
      <c r="O136" s="30" t="n">
        <f aca="false">AVERAGE(E87:E136)</f>
        <v>35.082</v>
      </c>
      <c r="Q136" s="30" t="n">
        <f aca="false">Q135+(2/13)*(E136-Q135)</f>
        <v>33.2848321471543</v>
      </c>
      <c r="R136" s="30" t="n">
        <f aca="false">R135+(2/27)*(E136-R135)</f>
        <v>33.8073252807483</v>
      </c>
      <c r="S136" s="33" t="n">
        <f aca="false">Q136-R136</f>
        <v>-0.522493133594068</v>
      </c>
      <c r="T136" s="33" t="n">
        <f aca="false">T135+(2/10)*(S136-T135)</f>
        <v>-0.612085355704245</v>
      </c>
      <c r="U136" s="33" t="n">
        <f aca="false">S136-T136</f>
        <v>0.0895922221101765</v>
      </c>
      <c r="V136" s="32" t="str">
        <f aca="false">IF(M136="","",IF(M136&lt;Assumptions!$B$5,"BUY",IF(M136&gt;Assumptions!$B$4,"SELL","HOLD")))</f>
        <v>HOLD</v>
      </c>
      <c r="W136" s="32" t="str">
        <f aca="false">IF(O136="","",IF(E136&gt;O136,"BUY","SELL"))</f>
        <v>SELL</v>
      </c>
      <c r="X136" s="32" t="str">
        <f aca="false">IF(T136="","",IF(S136&gt;T136,"BUY","SELL"))</f>
        <v>BUY</v>
      </c>
      <c r="Y136" s="34" t="n">
        <f aca="false">IF(OR(V136="",W136="",X136=""),"",IFERROR(IF(V136="BUY",1,IF(V136="SELL",-1,0))+IF(W136="BUY",1,IF(W136="SELL",-1,0))+IF(X136="BUY",1,IF(X136="SELL",-1,0)),0))</f>
        <v>0</v>
      </c>
      <c r="Z136" s="32" t="str">
        <f aca="false">IF(Y136="","",IF(Y136&gt;=2,"STRONG BUY",IF(Y136=1,"BUY",IF(Y136=0,"HOLD",IF(Y136=-1,"SELL","STRONG SELL")))))</f>
        <v>HOLD</v>
      </c>
    </row>
    <row r="137" customFormat="false" ht="15" hidden="false" customHeight="false" outlineLevel="0" collapsed="false">
      <c r="A137" s="24" t="n">
        <v>45959</v>
      </c>
      <c r="B137" s="25" t="n">
        <v>33</v>
      </c>
      <c r="C137" s="25" t="n">
        <v>33.15</v>
      </c>
      <c r="D137" s="25" t="n">
        <v>32.89</v>
      </c>
      <c r="E137" s="25" t="n">
        <v>33.02</v>
      </c>
      <c r="F137" s="26" t="n">
        <v>46604791</v>
      </c>
      <c r="G137" s="27" t="n">
        <f aca="false">E137-E136</f>
        <v>0</v>
      </c>
      <c r="H137" s="28" t="n">
        <f aca="false">G137/E136</f>
        <v>0</v>
      </c>
      <c r="I137" s="29" t="n">
        <f aca="false">MAX(G137,0)</f>
        <v>0</v>
      </c>
      <c r="J137" s="29" t="n">
        <f aca="false">MAX(-G137,0)</f>
        <v>0</v>
      </c>
      <c r="K137" s="29" t="n">
        <f aca="false">(K136*13+I137)/14</f>
        <v>0.109759413939119</v>
      </c>
      <c r="L137" s="29" t="n">
        <f aca="false">(L136*13+J137)/14</f>
        <v>0.169303068861609</v>
      </c>
      <c r="M137" s="31" t="n">
        <f aca="false">IF(L137=0,100,100-100/(1+K137/MAX(L137,0.000001)))</f>
        <v>39.3314833429241</v>
      </c>
      <c r="N137" s="30" t="n">
        <f aca="false">AVERAGE(E118:E137)</f>
        <v>33.3155</v>
      </c>
      <c r="O137" s="30" t="n">
        <f aca="false">AVERAGE(E88:E137)</f>
        <v>34.99</v>
      </c>
      <c r="Q137" s="30" t="n">
        <f aca="false">Q136+(2/13)*(E137-Q136)</f>
        <v>33.2440887398998</v>
      </c>
      <c r="R137" s="30" t="n">
        <f aca="false">R136+(2/27)*(E137-R136)</f>
        <v>33.7490048895818</v>
      </c>
      <c r="S137" s="33" t="n">
        <f aca="false">Q137-R137</f>
        <v>-0.504916149682025</v>
      </c>
      <c r="T137" s="33" t="n">
        <f aca="false">T136+(2/10)*(S137-T136)</f>
        <v>-0.590651514499801</v>
      </c>
      <c r="U137" s="33" t="n">
        <f aca="false">S137-T137</f>
        <v>0.0857353648177759</v>
      </c>
      <c r="V137" s="32" t="str">
        <f aca="false">IF(M137="","",IF(M137&lt;Assumptions!$B$5,"BUY",IF(M137&gt;Assumptions!$B$4,"SELL","HOLD")))</f>
        <v>HOLD</v>
      </c>
      <c r="W137" s="32" t="str">
        <f aca="false">IF(O137="","",IF(E137&gt;O137,"BUY","SELL"))</f>
        <v>SELL</v>
      </c>
      <c r="X137" s="32" t="str">
        <f aca="false">IF(T137="","",IF(S137&gt;T137,"BUY","SELL"))</f>
        <v>BUY</v>
      </c>
      <c r="Y137" s="34" t="n">
        <f aca="false">IF(OR(V137="",W137="",X137=""),"",IFERROR(IF(V137="BUY",1,IF(V137="SELL",-1,0))+IF(W137="BUY",1,IF(W137="SELL",-1,0))+IF(X137="BUY",1,IF(X137="SELL",-1,0)),0))</f>
        <v>0</v>
      </c>
      <c r="Z137" s="32" t="str">
        <f aca="false">IF(Y137="","",IF(Y137&gt;=2,"STRONG BUY",IF(Y137=1,"BUY",IF(Y137=0,"HOLD",IF(Y137=-1,"SELL","STRONG SELL")))))</f>
        <v>HOLD</v>
      </c>
    </row>
    <row r="138" customFormat="false" ht="15" hidden="false" customHeight="false" outlineLevel="0" collapsed="false">
      <c r="A138" s="24" t="n">
        <v>45960</v>
      </c>
      <c r="B138" s="25" t="n">
        <v>32.65</v>
      </c>
      <c r="C138" s="25" t="n">
        <v>32.75</v>
      </c>
      <c r="D138" s="25" t="n">
        <v>32.65</v>
      </c>
      <c r="E138" s="25" t="n">
        <v>32.7</v>
      </c>
      <c r="F138" s="26" t="n">
        <v>51161245</v>
      </c>
      <c r="G138" s="27" t="n">
        <f aca="false">E138-E137</f>
        <v>-0.32</v>
      </c>
      <c r="H138" s="28" t="n">
        <f aca="false">G138/E137</f>
        <v>-0.00969109630526954</v>
      </c>
      <c r="I138" s="29" t="n">
        <f aca="false">MAX(G138,0)</f>
        <v>0</v>
      </c>
      <c r="J138" s="29" t="n">
        <f aca="false">MAX(-G138,0)</f>
        <v>0.32</v>
      </c>
      <c r="K138" s="29" t="n">
        <f aca="false">(K137*13+I138)/14</f>
        <v>0.10191945580061</v>
      </c>
      <c r="L138" s="29" t="n">
        <f aca="false">(L137*13+J138)/14</f>
        <v>0.180067135371495</v>
      </c>
      <c r="M138" s="31" t="n">
        <f aca="false">IF(L138=0,100,100-100/(1+K138/MAX(L138,0.000001)))</f>
        <v>36.1433695754724</v>
      </c>
      <c r="N138" s="30" t="n">
        <f aca="false">AVERAGE(E119:E138)</f>
        <v>33.277</v>
      </c>
      <c r="O138" s="30" t="n">
        <f aca="false">AVERAGE(E89:E138)</f>
        <v>34.8934</v>
      </c>
      <c r="Q138" s="30" t="n">
        <f aca="false">Q137+(2/13)*(E138-Q137)</f>
        <v>33.1603827799152</v>
      </c>
      <c r="R138" s="30" t="n">
        <f aca="false">R137+(2/27)*(E138-R137)</f>
        <v>33.6713008236868</v>
      </c>
      <c r="S138" s="33" t="n">
        <f aca="false">Q138-R138</f>
        <v>-0.510918043771653</v>
      </c>
      <c r="T138" s="33" t="n">
        <f aca="false">T137+(2/10)*(S138-T137)</f>
        <v>-0.574704820354171</v>
      </c>
      <c r="U138" s="33" t="n">
        <f aca="false">S138-T138</f>
        <v>0.063786776582518</v>
      </c>
      <c r="V138" s="32" t="str">
        <f aca="false">IF(M138="","",IF(M138&lt;Assumptions!$B$5,"BUY",IF(M138&gt;Assumptions!$B$4,"SELL","HOLD")))</f>
        <v>HOLD</v>
      </c>
      <c r="W138" s="32" t="str">
        <f aca="false">IF(O138="","",IF(E138&gt;O138,"BUY","SELL"))</f>
        <v>SELL</v>
      </c>
      <c r="X138" s="32" t="str">
        <f aca="false">IF(T138="","",IF(S138&gt;T138,"BUY","SELL"))</f>
        <v>BUY</v>
      </c>
      <c r="Y138" s="34" t="n">
        <f aca="false">IF(OR(V138="",W138="",X138=""),"",IFERROR(IF(V138="BUY",1,IF(V138="SELL",-1,0))+IF(W138="BUY",1,IF(W138="SELL",-1,0))+IF(X138="BUY",1,IF(X138="SELL",-1,0)),0))</f>
        <v>0</v>
      </c>
      <c r="Z138" s="32" t="str">
        <f aca="false">IF(Y138="","",IF(Y138&gt;=2,"STRONG BUY",IF(Y138=1,"BUY",IF(Y138=0,"HOLD",IF(Y138=-1,"SELL","STRONG SELL")))))</f>
        <v>HOLD</v>
      </c>
    </row>
    <row r="139" customFormat="false" ht="15" hidden="false" customHeight="false" outlineLevel="0" collapsed="false">
      <c r="A139" s="24" t="n">
        <v>45961</v>
      </c>
      <c r="B139" s="25" t="n">
        <v>32.22</v>
      </c>
      <c r="C139" s="25" t="n">
        <v>32.46</v>
      </c>
      <c r="D139" s="25" t="n">
        <v>32.22</v>
      </c>
      <c r="E139" s="25" t="n">
        <v>32.34</v>
      </c>
      <c r="F139" s="26" t="n">
        <v>16977650</v>
      </c>
      <c r="G139" s="27" t="n">
        <f aca="false">E139-E138</f>
        <v>-0.359999999999999</v>
      </c>
      <c r="H139" s="28" t="n">
        <f aca="false">G139/E138</f>
        <v>-0.0110091743119266</v>
      </c>
      <c r="I139" s="29" t="n">
        <f aca="false">MAX(G139,0)</f>
        <v>0</v>
      </c>
      <c r="J139" s="29" t="n">
        <f aca="false">MAX(-G139,0)</f>
        <v>0.359999999999999</v>
      </c>
      <c r="K139" s="29" t="n">
        <f aca="false">(K138*13+I139)/14</f>
        <v>0.0946394946719952</v>
      </c>
      <c r="L139" s="29" t="n">
        <f aca="false">(L138*13+J139)/14</f>
        <v>0.192919482844959</v>
      </c>
      <c r="M139" s="31" t="n">
        <f aca="false">IF(L139=0,100,100-100/(1+K139/MAX(L139,0.000001)))</f>
        <v>32.9113336989854</v>
      </c>
      <c r="N139" s="30" t="n">
        <f aca="false">AVERAGE(E120:E139)</f>
        <v>33.207</v>
      </c>
      <c r="O139" s="30" t="n">
        <f aca="false">AVERAGE(E90:E139)</f>
        <v>34.7872</v>
      </c>
      <c r="Q139" s="30" t="n">
        <f aca="false">Q138+(2/13)*(E139-Q138)</f>
        <v>33.0341700445436</v>
      </c>
      <c r="R139" s="30" t="n">
        <f aca="false">R138+(2/27)*(E139-R138)</f>
        <v>33.5726859478582</v>
      </c>
      <c r="S139" s="33" t="n">
        <f aca="false">Q139-R139</f>
        <v>-0.538515903314568</v>
      </c>
      <c r="T139" s="33" t="n">
        <f aca="false">T138+(2/10)*(S139-T138)</f>
        <v>-0.567467036946251</v>
      </c>
      <c r="U139" s="33" t="n">
        <f aca="false">S139-T139</f>
        <v>0.0289511336316822</v>
      </c>
      <c r="V139" s="32" t="str">
        <f aca="false">IF(M139="","",IF(M139&lt;Assumptions!$B$5,"BUY",IF(M139&gt;Assumptions!$B$4,"SELL","HOLD")))</f>
        <v>HOLD</v>
      </c>
      <c r="W139" s="32" t="str">
        <f aca="false">IF(O139="","",IF(E139&gt;O139,"BUY","SELL"))</f>
        <v>SELL</v>
      </c>
      <c r="X139" s="32" t="str">
        <f aca="false">IF(T139="","",IF(S139&gt;T139,"BUY","SELL"))</f>
        <v>BUY</v>
      </c>
      <c r="Y139" s="34" t="n">
        <f aca="false">IF(OR(V139="",W139="",X139=""),"",IFERROR(IF(V139="BUY",1,IF(V139="SELL",-1,0))+IF(W139="BUY",1,IF(W139="SELL",-1,0))+IF(X139="BUY",1,IF(X139="SELL",-1,0)),0))</f>
        <v>0</v>
      </c>
      <c r="Z139" s="32" t="str">
        <f aca="false">IF(Y139="","",IF(Y139&gt;=2,"STRONG BUY",IF(Y139=1,"BUY",IF(Y139=0,"HOLD",IF(Y139=-1,"SELL","STRONG SELL")))))</f>
        <v>HOLD</v>
      </c>
    </row>
    <row r="140" customFormat="false" ht="15" hidden="false" customHeight="false" outlineLevel="0" collapsed="false">
      <c r="A140" s="24" t="n">
        <v>45964</v>
      </c>
      <c r="B140" s="25" t="n">
        <v>32.45</v>
      </c>
      <c r="C140" s="25" t="n">
        <v>32.63</v>
      </c>
      <c r="D140" s="25" t="n">
        <v>32.45</v>
      </c>
      <c r="E140" s="25" t="n">
        <v>32.54</v>
      </c>
      <c r="F140" s="26" t="n">
        <v>65227155</v>
      </c>
      <c r="G140" s="27" t="n">
        <f aca="false">E140-E139</f>
        <v>0.199999999999996</v>
      </c>
      <c r="H140" s="28" t="n">
        <f aca="false">G140/E139</f>
        <v>0.00618429189857748</v>
      </c>
      <c r="I140" s="29" t="n">
        <f aca="false">MAX(G140,0)</f>
        <v>0.199999999999996</v>
      </c>
      <c r="J140" s="29" t="n">
        <f aca="false">MAX(-G140,0)</f>
        <v>0</v>
      </c>
      <c r="K140" s="29" t="n">
        <f aca="false">(K139*13+I140)/14</f>
        <v>0.102165245052567</v>
      </c>
      <c r="L140" s="29" t="n">
        <f aca="false">(L139*13+J140)/14</f>
        <v>0.179139519784605</v>
      </c>
      <c r="M140" s="31" t="n">
        <f aca="false">IF(L140=0,100,100-100/(1+K140/MAX(L140,0.000001)))</f>
        <v>36.3183485753266</v>
      </c>
      <c r="N140" s="30" t="n">
        <f aca="false">AVERAGE(E121:E140)</f>
        <v>33.176</v>
      </c>
      <c r="O140" s="30" t="n">
        <f aca="false">AVERAGE(E91:E140)</f>
        <v>34.689</v>
      </c>
      <c r="Q140" s="30" t="n">
        <f aca="false">Q139+(2/13)*(E140-Q139)</f>
        <v>32.9581438838446</v>
      </c>
      <c r="R140" s="30" t="n">
        <f aca="false">R139+(2/27)*(E140-R139)</f>
        <v>33.4961906924613</v>
      </c>
      <c r="S140" s="33" t="n">
        <f aca="false">Q140-R140</f>
        <v>-0.538046808616684</v>
      </c>
      <c r="T140" s="33" t="n">
        <f aca="false">T139+(2/10)*(S140-T139)</f>
        <v>-0.561582991280337</v>
      </c>
      <c r="U140" s="33" t="n">
        <f aca="false">S140-T140</f>
        <v>0.023536182663653</v>
      </c>
      <c r="V140" s="32" t="str">
        <f aca="false">IF(M140="","",IF(M140&lt;Assumptions!$B$5,"BUY",IF(M140&gt;Assumptions!$B$4,"SELL","HOLD")))</f>
        <v>HOLD</v>
      </c>
      <c r="W140" s="32" t="str">
        <f aca="false">IF(O140="","",IF(E140&gt;O140,"BUY","SELL"))</f>
        <v>SELL</v>
      </c>
      <c r="X140" s="32" t="str">
        <f aca="false">IF(T140="","",IF(S140&gt;T140,"BUY","SELL"))</f>
        <v>BUY</v>
      </c>
      <c r="Y140" s="34" t="n">
        <f aca="false">IF(OR(V140="",W140="",X140=""),"",IFERROR(IF(V140="BUY",1,IF(V140="SELL",-1,0))+IF(W140="BUY",1,IF(W140="SELL",-1,0))+IF(X140="BUY",1,IF(X140="SELL",-1,0)),0))</f>
        <v>0</v>
      </c>
      <c r="Z140" s="32" t="str">
        <f aca="false">IF(Y140="","",IF(Y140&gt;=2,"STRONG BUY",IF(Y140=1,"BUY",IF(Y140=0,"HOLD",IF(Y140=-1,"SELL","STRONG SELL")))))</f>
        <v>HOLD</v>
      </c>
    </row>
    <row r="141" customFormat="false" ht="15" hidden="false" customHeight="false" outlineLevel="0" collapsed="false">
      <c r="A141" s="24" t="n">
        <v>45965</v>
      </c>
      <c r="B141" s="25" t="n">
        <v>32</v>
      </c>
      <c r="C141" s="25" t="n">
        <v>32.1</v>
      </c>
      <c r="D141" s="25" t="n">
        <v>32</v>
      </c>
      <c r="E141" s="25" t="n">
        <v>32.05</v>
      </c>
      <c r="F141" s="26" t="n">
        <v>38213314</v>
      </c>
      <c r="G141" s="27" t="n">
        <f aca="false">E141-E140</f>
        <v>-0.490000000000002</v>
      </c>
      <c r="H141" s="28" t="n">
        <f aca="false">G141/E140</f>
        <v>-0.0150583896742471</v>
      </c>
      <c r="I141" s="29" t="n">
        <f aca="false">MAX(G141,0)</f>
        <v>0</v>
      </c>
      <c r="J141" s="29" t="n">
        <f aca="false">MAX(-G141,0)</f>
        <v>0.490000000000002</v>
      </c>
      <c r="K141" s="29" t="n">
        <f aca="false">(K140*13+I141)/14</f>
        <v>0.0948677275488119</v>
      </c>
      <c r="L141" s="29" t="n">
        <f aca="false">(L140*13+J141)/14</f>
        <v>0.20134383979999</v>
      </c>
      <c r="M141" s="31" t="n">
        <f aca="false">IF(L141=0,100,100-100/(1+K141/MAX(L141,0.000001)))</f>
        <v>32.027016499697</v>
      </c>
      <c r="N141" s="30" t="n">
        <f aca="false">AVERAGE(E122:E141)</f>
        <v>33.1235</v>
      </c>
      <c r="O141" s="30" t="n">
        <f aca="false">AVERAGE(E92:E141)</f>
        <v>34.5666</v>
      </c>
      <c r="Q141" s="30" t="n">
        <f aca="false">Q140+(2/13)*(E141-Q140)</f>
        <v>32.8184294401762</v>
      </c>
      <c r="R141" s="30" t="n">
        <f aca="false">R140+(2/27)*(E141-R140)</f>
        <v>33.3890654559827</v>
      </c>
      <c r="S141" s="33" t="n">
        <f aca="false">Q141-R141</f>
        <v>-0.570636015806464</v>
      </c>
      <c r="T141" s="33" t="n">
        <f aca="false">T140+(2/10)*(S141-T140)</f>
        <v>-0.563393596185563</v>
      </c>
      <c r="U141" s="33" t="n">
        <f aca="false">S141-T141</f>
        <v>-0.00724241962090144</v>
      </c>
      <c r="V141" s="32" t="str">
        <f aca="false">IF(M141="","",IF(M141&lt;Assumptions!$B$5,"BUY",IF(M141&gt;Assumptions!$B$4,"SELL","HOLD")))</f>
        <v>HOLD</v>
      </c>
      <c r="W141" s="32" t="str">
        <f aca="false">IF(O141="","",IF(E141&gt;O141,"BUY","SELL"))</f>
        <v>SELL</v>
      </c>
      <c r="X141" s="32" t="str">
        <f aca="false">IF(T141="","",IF(S141&gt;T141,"BUY","SELL"))</f>
        <v>SELL</v>
      </c>
      <c r="Y141" s="34" t="n">
        <f aca="false">IF(OR(V141="",W141="",X141=""),"",IFERROR(IF(V141="BUY",1,IF(V141="SELL",-1,0))+IF(W141="BUY",1,IF(W141="SELL",-1,0))+IF(X141="BUY",1,IF(X141="SELL",-1,0)),0))</f>
        <v>-2</v>
      </c>
      <c r="Z141" s="32" t="str">
        <f aca="false">IF(Y141="","",IF(Y141&gt;=2,"STRONG BUY",IF(Y141=1,"BUY",IF(Y141=0,"HOLD",IF(Y141=-1,"SELL","STRONG SELL")))))</f>
        <v>STRONG SELL</v>
      </c>
    </row>
    <row r="142" customFormat="false" ht="15" hidden="false" customHeight="false" outlineLevel="0" collapsed="false">
      <c r="A142" s="24" t="n">
        <v>45966</v>
      </c>
      <c r="B142" s="25" t="n">
        <v>32.5</v>
      </c>
      <c r="C142" s="25" t="n">
        <v>32.73</v>
      </c>
      <c r="D142" s="25" t="n">
        <v>32.43</v>
      </c>
      <c r="E142" s="25" t="n">
        <v>32.58</v>
      </c>
      <c r="F142" s="26" t="n">
        <v>45078688</v>
      </c>
      <c r="G142" s="27" t="n">
        <f aca="false">E142-E141</f>
        <v>0.530000000000001</v>
      </c>
      <c r="H142" s="28" t="n">
        <f aca="false">G142/E141</f>
        <v>0.0165366614664587</v>
      </c>
      <c r="I142" s="29" t="n">
        <f aca="false">MAX(G142,0)</f>
        <v>0.530000000000001</v>
      </c>
      <c r="J142" s="29" t="n">
        <f aca="false">MAX(-G142,0)</f>
        <v>0</v>
      </c>
      <c r="K142" s="29" t="n">
        <f aca="false">(K141*13+I142)/14</f>
        <v>0.125948604152468</v>
      </c>
      <c r="L142" s="29" t="n">
        <f aca="false">(L141*13+J142)/14</f>
        <v>0.186962136957134</v>
      </c>
      <c r="M142" s="31" t="n">
        <f aca="false">IF(L142=0,100,100-100/(1+K142/MAX(L142,0.000001)))</f>
        <v>40.2506490208186</v>
      </c>
      <c r="N142" s="30" t="n">
        <f aca="false">AVERAGE(E123:E142)</f>
        <v>33.1015</v>
      </c>
      <c r="O142" s="30" t="n">
        <f aca="false">AVERAGE(E93:E142)</f>
        <v>34.4446</v>
      </c>
      <c r="Q142" s="30" t="n">
        <f aca="false">Q141+(2/13)*(E142-Q141)</f>
        <v>32.7817479878414</v>
      </c>
      <c r="R142" s="30" t="n">
        <f aca="false">R141+(2/27)*(E142-R141)</f>
        <v>33.3291346814654</v>
      </c>
      <c r="S142" s="33" t="n">
        <f aca="false">Q142-R142</f>
        <v>-0.547386693624027</v>
      </c>
      <c r="T142" s="33" t="n">
        <f aca="false">T141+(2/10)*(S142-T141)</f>
        <v>-0.560192215673256</v>
      </c>
      <c r="U142" s="33" t="n">
        <f aca="false">S142-T142</f>
        <v>0.0128055220492285</v>
      </c>
      <c r="V142" s="32" t="str">
        <f aca="false">IF(M142="","",IF(M142&lt;Assumptions!$B$5,"BUY",IF(M142&gt;Assumptions!$B$4,"SELL","HOLD")))</f>
        <v>HOLD</v>
      </c>
      <c r="W142" s="32" t="str">
        <f aca="false">IF(O142="","",IF(E142&gt;O142,"BUY","SELL"))</f>
        <v>SELL</v>
      </c>
      <c r="X142" s="32" t="str">
        <f aca="false">IF(T142="","",IF(S142&gt;T142,"BUY","SELL"))</f>
        <v>BUY</v>
      </c>
      <c r="Y142" s="34" t="n">
        <f aca="false">IF(OR(V142="",W142="",X142=""),"",IFERROR(IF(V142="BUY",1,IF(V142="SELL",-1,0))+IF(W142="BUY",1,IF(W142="SELL",-1,0))+IF(X142="BUY",1,IF(X142="SELL",-1,0)),0))</f>
        <v>0</v>
      </c>
      <c r="Z142" s="32" t="str">
        <f aca="false">IF(Y142="","",IF(Y142&gt;=2,"STRONG BUY",IF(Y142=1,"BUY",IF(Y142=0,"HOLD",IF(Y142=-1,"SELL","STRONG SELL")))))</f>
        <v>HOLD</v>
      </c>
    </row>
    <row r="143" customFormat="false" ht="15" hidden="false" customHeight="false" outlineLevel="0" collapsed="false">
      <c r="A143" s="24" t="n">
        <v>45967</v>
      </c>
      <c r="B143" s="25" t="n">
        <v>32.66</v>
      </c>
      <c r="C143" s="25" t="n">
        <v>32.75</v>
      </c>
      <c r="D143" s="25" t="n">
        <v>32.61</v>
      </c>
      <c r="E143" s="25" t="n">
        <v>32.68</v>
      </c>
      <c r="F143" s="26" t="n">
        <v>20254076</v>
      </c>
      <c r="G143" s="27" t="n">
        <f aca="false">E143-E142</f>
        <v>0.100000000000001</v>
      </c>
      <c r="H143" s="28" t="n">
        <f aca="false">G143/E142</f>
        <v>0.00306936771025173</v>
      </c>
      <c r="I143" s="29" t="n">
        <f aca="false">MAX(G143,0)</f>
        <v>0.100000000000001</v>
      </c>
      <c r="J143" s="29" t="n">
        <f aca="false">MAX(-G143,0)</f>
        <v>0</v>
      </c>
      <c r="K143" s="29" t="n">
        <f aca="false">(K142*13+I143)/14</f>
        <v>0.124095132427292</v>
      </c>
      <c r="L143" s="29" t="n">
        <f aca="false">(L142*13+J143)/14</f>
        <v>0.173607698603053</v>
      </c>
      <c r="M143" s="31" t="n">
        <f aca="false">IF(L143=0,100,100-100/(1+K143/MAX(L143,0.000001)))</f>
        <v>41.6842298737304</v>
      </c>
      <c r="N143" s="30" t="n">
        <f aca="false">AVERAGE(E124:E143)</f>
        <v>33.0445</v>
      </c>
      <c r="O143" s="30" t="n">
        <f aca="false">AVERAGE(E94:E143)</f>
        <v>34.3192</v>
      </c>
      <c r="Q143" s="30" t="n">
        <f aca="false">Q142+(2/13)*(E143-Q142)</f>
        <v>32.7660944512504</v>
      </c>
      <c r="R143" s="30" t="n">
        <f aca="false">R142+(2/27)*(E143-R142)</f>
        <v>33.2810506309865</v>
      </c>
      <c r="S143" s="33" t="n">
        <f aca="false">Q143-R143</f>
        <v>-0.514956179736089</v>
      </c>
      <c r="T143" s="33" t="n">
        <f aca="false">T142+(2/10)*(S143-T142)</f>
        <v>-0.551145008485822</v>
      </c>
      <c r="U143" s="33" t="n">
        <f aca="false">S143-T143</f>
        <v>0.0361888287497333</v>
      </c>
      <c r="V143" s="32" t="str">
        <f aca="false">IF(M143="","",IF(M143&lt;Assumptions!$B$5,"BUY",IF(M143&gt;Assumptions!$B$4,"SELL","HOLD")))</f>
        <v>HOLD</v>
      </c>
      <c r="W143" s="32" t="str">
        <f aca="false">IF(O143="","",IF(E143&gt;O143,"BUY","SELL"))</f>
        <v>SELL</v>
      </c>
      <c r="X143" s="32" t="str">
        <f aca="false">IF(T143="","",IF(S143&gt;T143,"BUY","SELL"))</f>
        <v>BUY</v>
      </c>
      <c r="Y143" s="34" t="n">
        <f aca="false">IF(OR(V143="",W143="",X143=""),"",IFERROR(IF(V143="BUY",1,IF(V143="SELL",-1,0))+IF(W143="BUY",1,IF(W143="SELL",-1,0))+IF(X143="BUY",1,IF(X143="SELL",-1,0)),0))</f>
        <v>0</v>
      </c>
      <c r="Z143" s="32" t="str">
        <f aca="false">IF(Y143="","",IF(Y143&gt;=2,"STRONG BUY",IF(Y143=1,"BUY",IF(Y143=0,"HOLD",IF(Y143=-1,"SELL","STRONG SELL")))))</f>
        <v>HOLD</v>
      </c>
    </row>
    <row r="144" customFormat="false" ht="15" hidden="false" customHeight="false" outlineLevel="0" collapsed="false">
      <c r="A144" s="24" t="n">
        <v>45968</v>
      </c>
      <c r="B144" s="25" t="n">
        <v>32.09</v>
      </c>
      <c r="C144" s="25" t="n">
        <v>32.11</v>
      </c>
      <c r="D144" s="25" t="n">
        <v>32.09</v>
      </c>
      <c r="E144" s="25" t="n">
        <v>32.1</v>
      </c>
      <c r="F144" s="26" t="n">
        <v>101691137</v>
      </c>
      <c r="G144" s="27" t="n">
        <f aca="false">E144-E143</f>
        <v>-0.579999999999998</v>
      </c>
      <c r="H144" s="28" t="n">
        <f aca="false">G144/E143</f>
        <v>-0.0177478580171358</v>
      </c>
      <c r="I144" s="29" t="n">
        <f aca="false">MAX(G144,0)</f>
        <v>0</v>
      </c>
      <c r="J144" s="29" t="n">
        <f aca="false">MAX(-G144,0)</f>
        <v>0.579999999999998</v>
      </c>
      <c r="K144" s="29" t="n">
        <f aca="false">(K143*13+I144)/14</f>
        <v>0.115231194396771</v>
      </c>
      <c r="L144" s="29" t="n">
        <f aca="false">(L143*13+J144)/14</f>
        <v>0.202635720131406</v>
      </c>
      <c r="M144" s="31" t="n">
        <f aca="false">IF(L144=0,100,100-100/(1+K144/MAX(L144,0.000001)))</f>
        <v>36.2513961441421</v>
      </c>
      <c r="N144" s="30" t="n">
        <f aca="false">AVERAGE(E125:E144)</f>
        <v>32.9775</v>
      </c>
      <c r="O144" s="30" t="n">
        <f aca="false">AVERAGE(E95:E144)</f>
        <v>34.1948</v>
      </c>
      <c r="Q144" s="30" t="n">
        <f aca="false">Q143+(2/13)*(E144-Q143)</f>
        <v>32.6636183818273</v>
      </c>
      <c r="R144" s="30" t="n">
        <f aca="false">R143+(2/27)*(E144-R143)</f>
        <v>33.1935653990616</v>
      </c>
      <c r="S144" s="33" t="n">
        <f aca="false">Q144-R144</f>
        <v>-0.529947017234306</v>
      </c>
      <c r="T144" s="33" t="n">
        <f aca="false">T143+(2/10)*(S144-T143)</f>
        <v>-0.546905410235519</v>
      </c>
      <c r="U144" s="33" t="n">
        <f aca="false">S144-T144</f>
        <v>0.0169583930012126</v>
      </c>
      <c r="V144" s="32" t="str">
        <f aca="false">IF(M144="","",IF(M144&lt;Assumptions!$B$5,"BUY",IF(M144&gt;Assumptions!$B$4,"SELL","HOLD")))</f>
        <v>HOLD</v>
      </c>
      <c r="W144" s="32" t="str">
        <f aca="false">IF(O144="","",IF(E144&gt;O144,"BUY","SELL"))</f>
        <v>SELL</v>
      </c>
      <c r="X144" s="32" t="str">
        <f aca="false">IF(T144="","",IF(S144&gt;T144,"BUY","SELL"))</f>
        <v>BUY</v>
      </c>
      <c r="Y144" s="34" t="n">
        <f aca="false">IF(OR(V144="",W144="",X144=""),"",IFERROR(IF(V144="BUY",1,IF(V144="SELL",-1,0))+IF(W144="BUY",1,IF(W144="SELL",-1,0))+IF(X144="BUY",1,IF(X144="SELL",-1,0)),0))</f>
        <v>0</v>
      </c>
      <c r="Z144" s="32" t="str">
        <f aca="false">IF(Y144="","",IF(Y144&gt;=2,"STRONG BUY",IF(Y144=1,"BUY",IF(Y144=0,"HOLD",IF(Y144=-1,"SELL","STRONG SELL")))))</f>
        <v>HOLD</v>
      </c>
    </row>
    <row r="145" customFormat="false" ht="15" hidden="false" customHeight="false" outlineLevel="0" collapsed="false">
      <c r="A145" s="24" t="n">
        <v>45971</v>
      </c>
      <c r="B145" s="25" t="n">
        <v>32.19</v>
      </c>
      <c r="C145" s="25" t="n">
        <v>32.27</v>
      </c>
      <c r="D145" s="25" t="n">
        <v>32.19</v>
      </c>
      <c r="E145" s="25" t="n">
        <v>32.23</v>
      </c>
      <c r="F145" s="26" t="n">
        <v>67298347</v>
      </c>
      <c r="G145" s="27" t="n">
        <f aca="false">E145-E144</f>
        <v>0.129999999999995</v>
      </c>
      <c r="H145" s="28" t="n">
        <f aca="false">G145/E144</f>
        <v>0.00404984423675998</v>
      </c>
      <c r="I145" s="29" t="n">
        <f aca="false">MAX(G145,0)</f>
        <v>0.129999999999995</v>
      </c>
      <c r="J145" s="29" t="n">
        <f aca="false">MAX(-G145,0)</f>
        <v>0</v>
      </c>
      <c r="K145" s="29" t="n">
        <f aca="false">(K144*13+I145)/14</f>
        <v>0.116286109082716</v>
      </c>
      <c r="L145" s="29" t="n">
        <f aca="false">(L144*13+J145)/14</f>
        <v>0.18816174012202</v>
      </c>
      <c r="M145" s="31" t="n">
        <f aca="false">IF(L145=0,100,100-100/(1+K145/MAX(L145,0.000001)))</f>
        <v>38.195740054158</v>
      </c>
      <c r="N145" s="30" t="n">
        <f aca="false">AVERAGE(E126:E145)</f>
        <v>32.9185</v>
      </c>
      <c r="O145" s="30" t="n">
        <f aca="false">AVERAGE(E96:E145)</f>
        <v>34.0846</v>
      </c>
      <c r="Q145" s="30" t="n">
        <f aca="false">Q144+(2/13)*(E145-Q144)</f>
        <v>32.5969078615462</v>
      </c>
      <c r="R145" s="30" t="n">
        <f aca="false">R144+(2/27)*(E145-R144)</f>
        <v>33.1221901843163</v>
      </c>
      <c r="S145" s="33" t="n">
        <f aca="false">Q145-R145</f>
        <v>-0.525282322770124</v>
      </c>
      <c r="T145" s="33" t="n">
        <f aca="false">T144+(2/10)*(S145-T144)</f>
        <v>-0.54258079274244</v>
      </c>
      <c r="U145" s="33" t="n">
        <f aca="false">S145-T145</f>
        <v>0.0172984699723158</v>
      </c>
      <c r="V145" s="32" t="str">
        <f aca="false">IF(M145="","",IF(M145&lt;Assumptions!$B$5,"BUY",IF(M145&gt;Assumptions!$B$4,"SELL","HOLD")))</f>
        <v>HOLD</v>
      </c>
      <c r="W145" s="32" t="str">
        <f aca="false">IF(O145="","",IF(E145&gt;O145,"BUY","SELL"))</f>
        <v>SELL</v>
      </c>
      <c r="X145" s="32" t="str">
        <f aca="false">IF(T145="","",IF(S145&gt;T145,"BUY","SELL"))</f>
        <v>BUY</v>
      </c>
      <c r="Y145" s="34" t="n">
        <f aca="false">IF(OR(V145="",W145="",X145=""),"",IFERROR(IF(V145="BUY",1,IF(V145="SELL",-1,0))+IF(W145="BUY",1,IF(W145="SELL",-1,0))+IF(X145="BUY",1,IF(X145="SELL",-1,0)),0))</f>
        <v>0</v>
      </c>
      <c r="Z145" s="32" t="str">
        <f aca="false">IF(Y145="","",IF(Y145&gt;=2,"STRONG BUY",IF(Y145=1,"BUY",IF(Y145=0,"HOLD",IF(Y145=-1,"SELL","STRONG SELL")))))</f>
        <v>HOLD</v>
      </c>
    </row>
    <row r="146" customFormat="false" ht="15" hidden="false" customHeight="false" outlineLevel="0" collapsed="false">
      <c r="A146" s="24" t="n">
        <v>45972</v>
      </c>
      <c r="B146" s="25" t="n">
        <v>32.34</v>
      </c>
      <c r="C146" s="25" t="n">
        <v>32.34</v>
      </c>
      <c r="D146" s="25" t="n">
        <v>32.28</v>
      </c>
      <c r="E146" s="25" t="n">
        <v>32.31</v>
      </c>
      <c r="F146" s="26" t="n">
        <v>34702970</v>
      </c>
      <c r="G146" s="27" t="n">
        <f aca="false">E146-E145</f>
        <v>0.0800000000000054</v>
      </c>
      <c r="H146" s="28" t="n">
        <f aca="false">G146/E145</f>
        <v>0.00248215947874668</v>
      </c>
      <c r="I146" s="29" t="n">
        <f aca="false">MAX(G146,0)</f>
        <v>0.0800000000000054</v>
      </c>
      <c r="J146" s="29" t="n">
        <f aca="false">MAX(-G146,0)</f>
        <v>0</v>
      </c>
      <c r="K146" s="29" t="n">
        <f aca="false">(K145*13+I146)/14</f>
        <v>0.113694244148237</v>
      </c>
      <c r="L146" s="29" t="n">
        <f aca="false">(L145*13+J146)/14</f>
        <v>0.17472161582759</v>
      </c>
      <c r="M146" s="31" t="n">
        <f aca="false">IF(L146=0,100,100-100/(1+K146/MAX(L146,0.000001)))</f>
        <v>39.4202469162985</v>
      </c>
      <c r="N146" s="30" t="n">
        <f aca="false">AVERAGE(E127:E146)</f>
        <v>32.8485</v>
      </c>
      <c r="O146" s="30" t="n">
        <f aca="false">AVERAGE(E97:E146)</f>
        <v>33.983</v>
      </c>
      <c r="Q146" s="30" t="n">
        <f aca="false">Q145+(2/13)*(E146-Q145)</f>
        <v>32.5527681905391</v>
      </c>
      <c r="R146" s="30" t="n">
        <f aca="false">R145+(2/27)*(E146-R145)</f>
        <v>33.062027948441</v>
      </c>
      <c r="S146" s="33" t="n">
        <f aca="false">Q146-R146</f>
        <v>-0.509259757901944</v>
      </c>
      <c r="T146" s="33" t="n">
        <f aca="false">T145+(2/10)*(S146-T145)</f>
        <v>-0.535916585774341</v>
      </c>
      <c r="U146" s="33" t="n">
        <f aca="false">S146-T146</f>
        <v>0.0266568278723968</v>
      </c>
      <c r="V146" s="32" t="str">
        <f aca="false">IF(M146="","",IF(M146&lt;Assumptions!$B$5,"BUY",IF(M146&gt;Assumptions!$B$4,"SELL","HOLD")))</f>
        <v>HOLD</v>
      </c>
      <c r="W146" s="32" t="str">
        <f aca="false">IF(O146="","",IF(E146&gt;O146,"BUY","SELL"))</f>
        <v>SELL</v>
      </c>
      <c r="X146" s="32" t="str">
        <f aca="false">IF(T146="","",IF(S146&gt;T146,"BUY","SELL"))</f>
        <v>BUY</v>
      </c>
      <c r="Y146" s="34" t="n">
        <f aca="false">IF(OR(V146="",W146="",X146=""),"",IFERROR(IF(V146="BUY",1,IF(V146="SELL",-1,0))+IF(W146="BUY",1,IF(W146="SELL",-1,0))+IF(X146="BUY",1,IF(X146="SELL",-1,0)),0))</f>
        <v>0</v>
      </c>
      <c r="Z146" s="32" t="str">
        <f aca="false">IF(Y146="","",IF(Y146&gt;=2,"STRONG BUY",IF(Y146=1,"BUY",IF(Y146=0,"HOLD",IF(Y146=-1,"SELL","STRONG SELL")))))</f>
        <v>HOLD</v>
      </c>
    </row>
    <row r="147" customFormat="false" ht="15" hidden="false" customHeight="false" outlineLevel="0" collapsed="false">
      <c r="A147" s="24" t="n">
        <v>45973</v>
      </c>
      <c r="B147" s="25" t="n">
        <v>32.58</v>
      </c>
      <c r="C147" s="25" t="n">
        <v>32.96</v>
      </c>
      <c r="D147" s="25" t="n">
        <v>32.36</v>
      </c>
      <c r="E147" s="25" t="n">
        <v>32.66</v>
      </c>
      <c r="F147" s="26" t="n">
        <v>56568629</v>
      </c>
      <c r="G147" s="27" t="n">
        <f aca="false">E147-E146</f>
        <v>0.349999999999994</v>
      </c>
      <c r="H147" s="28" t="n">
        <f aca="false">G147/E146</f>
        <v>0.0108325595790775</v>
      </c>
      <c r="I147" s="29" t="n">
        <f aca="false">MAX(G147,0)</f>
        <v>0.349999999999994</v>
      </c>
      <c r="J147" s="29" t="n">
        <f aca="false">MAX(-G147,0)</f>
        <v>0</v>
      </c>
      <c r="K147" s="29" t="n">
        <f aca="false">(K146*13+I147)/14</f>
        <v>0.130573226709076</v>
      </c>
      <c r="L147" s="29" t="n">
        <f aca="false">(L146*13+J147)/14</f>
        <v>0.162241500411334</v>
      </c>
      <c r="M147" s="31" t="n">
        <f aca="false">IF(L147=0,100,100-100/(1+K147/MAX(L147,0.000001)))</f>
        <v>44.5924383630413</v>
      </c>
      <c r="N147" s="30" t="n">
        <f aca="false">AVERAGE(E128:E147)</f>
        <v>32.802</v>
      </c>
      <c r="O147" s="30" t="n">
        <f aca="false">AVERAGE(E98:E147)</f>
        <v>33.8908</v>
      </c>
      <c r="Q147" s="30" t="n">
        <f aca="false">Q146+(2/13)*(E147-Q146)</f>
        <v>32.5692653919946</v>
      </c>
      <c r="R147" s="30" t="n">
        <f aca="false">R146+(2/27)*(E147-R146)</f>
        <v>33.0322481004083</v>
      </c>
      <c r="S147" s="33" t="n">
        <f aca="false">Q147-R147</f>
        <v>-0.462982708413747</v>
      </c>
      <c r="T147" s="33" t="n">
        <f aca="false">T146+(2/10)*(S147-T146)</f>
        <v>-0.521329810302222</v>
      </c>
      <c r="U147" s="33" t="n">
        <f aca="false">S147-T147</f>
        <v>0.0583471018884747</v>
      </c>
      <c r="V147" s="32" t="str">
        <f aca="false">IF(M147="","",IF(M147&lt;Assumptions!$B$5,"BUY",IF(M147&gt;Assumptions!$B$4,"SELL","HOLD")))</f>
        <v>HOLD</v>
      </c>
      <c r="W147" s="32" t="str">
        <f aca="false">IF(O147="","",IF(E147&gt;O147,"BUY","SELL"))</f>
        <v>SELL</v>
      </c>
      <c r="X147" s="32" t="str">
        <f aca="false">IF(T147="","",IF(S147&gt;T147,"BUY","SELL"))</f>
        <v>BUY</v>
      </c>
      <c r="Y147" s="34" t="n">
        <f aca="false">IF(OR(V147="",W147="",X147=""),"",IFERROR(IF(V147="BUY",1,IF(V147="SELL",-1,0))+IF(W147="BUY",1,IF(W147="SELL",-1,0))+IF(X147="BUY",1,IF(X147="SELL",-1,0)),0))</f>
        <v>0</v>
      </c>
      <c r="Z147" s="32" t="str">
        <f aca="false">IF(Y147="","",IF(Y147&gt;=2,"STRONG BUY",IF(Y147=1,"BUY",IF(Y147=0,"HOLD",IF(Y147=-1,"SELL","STRONG SELL")))))</f>
        <v>HOLD</v>
      </c>
    </row>
    <row r="148" customFormat="false" ht="15" hidden="false" customHeight="false" outlineLevel="0" collapsed="false">
      <c r="A148" s="24" t="n">
        <v>45974</v>
      </c>
      <c r="B148" s="25" t="n">
        <v>33.16</v>
      </c>
      <c r="C148" s="25" t="n">
        <v>33.43</v>
      </c>
      <c r="D148" s="25" t="n">
        <v>32.97</v>
      </c>
      <c r="E148" s="25" t="n">
        <v>33.2</v>
      </c>
      <c r="F148" s="26" t="n">
        <v>49997391</v>
      </c>
      <c r="G148" s="27" t="n">
        <f aca="false">E148-E147</f>
        <v>0.540000000000006</v>
      </c>
      <c r="H148" s="28" t="n">
        <f aca="false">G148/E147</f>
        <v>0.016533986527863</v>
      </c>
      <c r="I148" s="29" t="n">
        <f aca="false">MAX(G148,0)</f>
        <v>0.540000000000006</v>
      </c>
      <c r="J148" s="29" t="n">
        <f aca="false">MAX(-G148,0)</f>
        <v>0</v>
      </c>
      <c r="K148" s="29" t="n">
        <f aca="false">(K147*13+I148)/14</f>
        <v>0.159817996229857</v>
      </c>
      <c r="L148" s="29" t="n">
        <f aca="false">(L147*13+J148)/14</f>
        <v>0.150652821810524</v>
      </c>
      <c r="M148" s="31" t="n">
        <f aca="false">IF(L148=0,100,100-100/(1+K148/MAX(L148,0.000001)))</f>
        <v>51.4760122186654</v>
      </c>
      <c r="N148" s="30" t="n">
        <f aca="false">AVERAGE(E129:E148)</f>
        <v>32.8015</v>
      </c>
      <c r="O148" s="30" t="n">
        <f aca="false">AVERAGE(E99:E148)</f>
        <v>33.8046</v>
      </c>
      <c r="Q148" s="30" t="n">
        <f aca="false">Q147+(2/13)*(E148-Q147)</f>
        <v>32.6663014855339</v>
      </c>
      <c r="R148" s="30" t="n">
        <f aca="false">R147+(2/27)*(E148-R147)</f>
        <v>33.0446741670448</v>
      </c>
      <c r="S148" s="33" t="n">
        <f aca="false">Q148-R148</f>
        <v>-0.378372681510875</v>
      </c>
      <c r="T148" s="33" t="n">
        <f aca="false">T147+(2/10)*(S148-T147)</f>
        <v>-0.492738384543953</v>
      </c>
      <c r="U148" s="33" t="n">
        <f aca="false">S148-T148</f>
        <v>0.114365703033078</v>
      </c>
      <c r="V148" s="32" t="str">
        <f aca="false">IF(M148="","",IF(M148&lt;Assumptions!$B$5,"BUY",IF(M148&gt;Assumptions!$B$4,"SELL","HOLD")))</f>
        <v>HOLD</v>
      </c>
      <c r="W148" s="32" t="str">
        <f aca="false">IF(O148="","",IF(E148&gt;O148,"BUY","SELL"))</f>
        <v>SELL</v>
      </c>
      <c r="X148" s="32" t="str">
        <f aca="false">IF(T148="","",IF(S148&gt;T148,"BUY","SELL"))</f>
        <v>BUY</v>
      </c>
      <c r="Y148" s="34" t="n">
        <f aca="false">IF(OR(V148="",W148="",X148=""),"",IFERROR(IF(V148="BUY",1,IF(V148="SELL",-1,0))+IF(W148="BUY",1,IF(W148="SELL",-1,0))+IF(X148="BUY",1,IF(X148="SELL",-1,0)),0))</f>
        <v>0</v>
      </c>
      <c r="Z148" s="32" t="str">
        <f aca="false">IF(Y148="","",IF(Y148&gt;=2,"STRONG BUY",IF(Y148=1,"BUY",IF(Y148=0,"HOLD",IF(Y148=-1,"SELL","STRONG SELL")))))</f>
        <v>HOLD</v>
      </c>
    </row>
    <row r="149" customFormat="false" ht="15" hidden="false" customHeight="false" outlineLevel="0" collapsed="false">
      <c r="A149" s="24" t="n">
        <v>45975</v>
      </c>
      <c r="B149" s="25" t="n">
        <v>33.12</v>
      </c>
      <c r="C149" s="25" t="n">
        <v>33.15</v>
      </c>
      <c r="D149" s="25" t="n">
        <v>32.91</v>
      </c>
      <c r="E149" s="25" t="n">
        <v>33.03</v>
      </c>
      <c r="F149" s="26" t="n">
        <v>30923285</v>
      </c>
      <c r="G149" s="27" t="n">
        <f aca="false">E149-E148</f>
        <v>-0.170000000000002</v>
      </c>
      <c r="H149" s="28" t="n">
        <f aca="false">G149/E148</f>
        <v>-0.0051204819277109</v>
      </c>
      <c r="I149" s="29" t="n">
        <f aca="false">MAX(G149,0)</f>
        <v>0</v>
      </c>
      <c r="J149" s="29" t="n">
        <f aca="false">MAX(-G149,0)</f>
        <v>0.170000000000002</v>
      </c>
      <c r="K149" s="29" t="n">
        <f aca="false">(K148*13+I149)/14</f>
        <v>0.148402425070582</v>
      </c>
      <c r="L149" s="29" t="n">
        <f aca="false">(L148*13+J149)/14</f>
        <v>0.152034763109772</v>
      </c>
      <c r="M149" s="31" t="n">
        <f aca="false">IF(L149=0,100,100-100/(1+K149/MAX(L149,0.000001)))</f>
        <v>49.3954912737017</v>
      </c>
      <c r="N149" s="30" t="n">
        <f aca="false">AVERAGE(E130:E149)</f>
        <v>32.7935</v>
      </c>
      <c r="O149" s="30" t="n">
        <f aca="false">AVERAGE(E100:E149)</f>
        <v>33.7242</v>
      </c>
      <c r="Q149" s="30" t="n">
        <f aca="false">Q148+(2/13)*(E149-Q148)</f>
        <v>32.7222551031441</v>
      </c>
      <c r="R149" s="30" t="n">
        <f aca="false">R148+(2/27)*(E149-R148)</f>
        <v>33.0435871917081</v>
      </c>
      <c r="S149" s="33" t="n">
        <f aca="false">Q149-R149</f>
        <v>-0.321332088564056</v>
      </c>
      <c r="T149" s="33" t="n">
        <f aca="false">T148+(2/10)*(S149-T148)</f>
        <v>-0.458457125347973</v>
      </c>
      <c r="U149" s="33" t="n">
        <f aca="false">S149-T149</f>
        <v>0.137125036783918</v>
      </c>
      <c r="V149" s="32" t="str">
        <f aca="false">IF(M149="","",IF(M149&lt;Assumptions!$B$5,"BUY",IF(M149&gt;Assumptions!$B$4,"SELL","HOLD")))</f>
        <v>HOLD</v>
      </c>
      <c r="W149" s="32" t="str">
        <f aca="false">IF(O149="","",IF(E149&gt;O149,"BUY","SELL"))</f>
        <v>SELL</v>
      </c>
      <c r="X149" s="32" t="str">
        <f aca="false">IF(T149="","",IF(S149&gt;T149,"BUY","SELL"))</f>
        <v>BUY</v>
      </c>
      <c r="Y149" s="34" t="n">
        <f aca="false">IF(OR(V149="",W149="",X149=""),"",IFERROR(IF(V149="BUY",1,IF(V149="SELL",-1,0))+IF(W149="BUY",1,IF(W149="SELL",-1,0))+IF(X149="BUY",1,IF(X149="SELL",-1,0)),0))</f>
        <v>0</v>
      </c>
      <c r="Z149" s="32" t="str">
        <f aca="false">IF(Y149="","",IF(Y149&gt;=2,"STRONG BUY",IF(Y149=1,"BUY",IF(Y149=0,"HOLD",IF(Y149=-1,"SELL","STRONG SELL")))))</f>
        <v>HOLD</v>
      </c>
    </row>
    <row r="150" customFormat="false" ht="15" hidden="false" customHeight="false" outlineLevel="0" collapsed="false">
      <c r="A150" s="24" t="n">
        <v>45978</v>
      </c>
      <c r="B150" s="25" t="n">
        <v>32.67</v>
      </c>
      <c r="C150" s="25" t="n">
        <v>32.75</v>
      </c>
      <c r="D150" s="25" t="n">
        <v>32.67</v>
      </c>
      <c r="E150" s="25" t="n">
        <v>32.71</v>
      </c>
      <c r="F150" s="26" t="n">
        <v>36956021</v>
      </c>
      <c r="G150" s="27" t="n">
        <f aca="false">E150-E149</f>
        <v>-0.32</v>
      </c>
      <c r="H150" s="28" t="n">
        <f aca="false">G150/E149</f>
        <v>-0.00968816227671814</v>
      </c>
      <c r="I150" s="29" t="n">
        <f aca="false">MAX(G150,0)</f>
        <v>0</v>
      </c>
      <c r="J150" s="29" t="n">
        <f aca="false">MAX(-G150,0)</f>
        <v>0.32</v>
      </c>
      <c r="K150" s="29" t="n">
        <f aca="false">(K149*13+I150)/14</f>
        <v>0.137802251851254</v>
      </c>
      <c r="L150" s="29" t="n">
        <f aca="false">(L149*13+J150)/14</f>
        <v>0.164032280030503</v>
      </c>
      <c r="M150" s="31" t="n">
        <f aca="false">IF(L150=0,100,100-100/(1+K150/MAX(L150,0.000001)))</f>
        <v>45.6548993887942</v>
      </c>
      <c r="N150" s="30" t="n">
        <f aca="false">AVERAGE(E131:E150)</f>
        <v>32.767</v>
      </c>
      <c r="O150" s="30" t="n">
        <f aca="false">AVERAGE(E101:E150)</f>
        <v>33.625</v>
      </c>
      <c r="Q150" s="30" t="n">
        <f aca="false">Q149+(2/13)*(E150-Q149)</f>
        <v>32.7203697026604</v>
      </c>
      <c r="R150" s="30" t="n">
        <f aca="false">R149+(2/27)*(E150-R149)</f>
        <v>33.0188770293594</v>
      </c>
      <c r="S150" s="33" t="n">
        <f aca="false">Q150-R150</f>
        <v>-0.29850732669901</v>
      </c>
      <c r="T150" s="33" t="n">
        <f aca="false">T149+(2/10)*(S150-T149)</f>
        <v>-0.426467165618181</v>
      </c>
      <c r="U150" s="33" t="n">
        <f aca="false">S150-T150</f>
        <v>0.127959838919171</v>
      </c>
      <c r="V150" s="32" t="str">
        <f aca="false">IF(M150="","",IF(M150&lt;Assumptions!$B$5,"BUY",IF(M150&gt;Assumptions!$B$4,"SELL","HOLD")))</f>
        <v>HOLD</v>
      </c>
      <c r="W150" s="32" t="str">
        <f aca="false">IF(O150="","",IF(E150&gt;O150,"BUY","SELL"))</f>
        <v>SELL</v>
      </c>
      <c r="X150" s="32" t="str">
        <f aca="false">IF(T150="","",IF(S150&gt;T150,"BUY","SELL"))</f>
        <v>BUY</v>
      </c>
      <c r="Y150" s="34" t="n">
        <f aca="false">IF(OR(V150="",W150="",X150=""),"",IFERROR(IF(V150="BUY",1,IF(V150="SELL",-1,0))+IF(W150="BUY",1,IF(W150="SELL",-1,0))+IF(X150="BUY",1,IF(X150="SELL",-1,0)),0))</f>
        <v>0</v>
      </c>
      <c r="Z150" s="32" t="str">
        <f aca="false">IF(Y150="","",IF(Y150&gt;=2,"STRONG BUY",IF(Y150=1,"BUY",IF(Y150=0,"HOLD",IF(Y150=-1,"SELL","STRONG SELL")))))</f>
        <v>HOLD</v>
      </c>
    </row>
    <row r="151" customFormat="false" ht="15" hidden="false" customHeight="false" outlineLevel="0" collapsed="false">
      <c r="A151" s="24" t="n">
        <v>45979</v>
      </c>
      <c r="B151" s="25" t="n">
        <v>32.57</v>
      </c>
      <c r="C151" s="25" t="n">
        <v>32.57</v>
      </c>
      <c r="D151" s="25" t="n">
        <v>32.31</v>
      </c>
      <c r="E151" s="25" t="n">
        <v>32.44</v>
      </c>
      <c r="F151" s="26" t="n">
        <v>77940103</v>
      </c>
      <c r="G151" s="27" t="n">
        <f aca="false">E151-E150</f>
        <v>-0.270000000000003</v>
      </c>
      <c r="H151" s="28" t="n">
        <f aca="false">G151/E150</f>
        <v>-0.00825435646591266</v>
      </c>
      <c r="I151" s="29" t="n">
        <f aca="false">MAX(G151,0)</f>
        <v>0</v>
      </c>
      <c r="J151" s="29" t="n">
        <f aca="false">MAX(-G151,0)</f>
        <v>0.270000000000003</v>
      </c>
      <c r="K151" s="29" t="n">
        <f aca="false">(K150*13+I151)/14</f>
        <v>0.127959233861879</v>
      </c>
      <c r="L151" s="29" t="n">
        <f aca="false">(L150*13+J151)/14</f>
        <v>0.171601402885467</v>
      </c>
      <c r="M151" s="31" t="n">
        <f aca="false">IF(L151=0,100,100-100/(1+K151/MAX(L151,0.000001)))</f>
        <v>42.7156368911719</v>
      </c>
      <c r="N151" s="30" t="n">
        <f aca="false">AVERAGE(E132:E151)</f>
        <v>32.706</v>
      </c>
      <c r="O151" s="30" t="n">
        <f aca="false">AVERAGE(E102:E151)</f>
        <v>33.5202</v>
      </c>
      <c r="Q151" s="30" t="n">
        <f aca="false">Q150+(2/13)*(E151-Q150)</f>
        <v>32.6772359022511</v>
      </c>
      <c r="R151" s="30" t="n">
        <f aca="false">R150+(2/27)*(E151-R150)</f>
        <v>32.9759972494068</v>
      </c>
      <c r="S151" s="33" t="n">
        <f aca="false">Q151-R151</f>
        <v>-0.298761347155754</v>
      </c>
      <c r="T151" s="33" t="n">
        <f aca="false">T150+(2/10)*(S151-T150)</f>
        <v>-0.400926001925695</v>
      </c>
      <c r="U151" s="33" t="n">
        <f aca="false">S151-T151</f>
        <v>0.102164654769941</v>
      </c>
      <c r="V151" s="32" t="str">
        <f aca="false">IF(M151="","",IF(M151&lt;Assumptions!$B$5,"BUY",IF(M151&gt;Assumptions!$B$4,"SELL","HOLD")))</f>
        <v>HOLD</v>
      </c>
      <c r="W151" s="32" t="str">
        <f aca="false">IF(O151="","",IF(E151&gt;O151,"BUY","SELL"))</f>
        <v>SELL</v>
      </c>
      <c r="X151" s="32" t="str">
        <f aca="false">IF(T151="","",IF(S151&gt;T151,"BUY","SELL"))</f>
        <v>BUY</v>
      </c>
      <c r="Y151" s="34" t="n">
        <f aca="false">IF(OR(V151="",W151="",X151=""),"",IFERROR(IF(V151="BUY",1,IF(V151="SELL",-1,0))+IF(W151="BUY",1,IF(W151="SELL",-1,0))+IF(X151="BUY",1,IF(X151="SELL",-1,0)),0))</f>
        <v>0</v>
      </c>
      <c r="Z151" s="32" t="str">
        <f aca="false">IF(Y151="","",IF(Y151&gt;=2,"STRONG BUY",IF(Y151=1,"BUY",IF(Y151=0,"HOLD",IF(Y151=-1,"SELL","STRONG SELL")))))</f>
        <v>HOLD</v>
      </c>
    </row>
    <row r="152" customFormat="false" ht="15" hidden="false" customHeight="false" outlineLevel="0" collapsed="false">
      <c r="A152" s="24" t="n">
        <v>45980</v>
      </c>
      <c r="B152" s="25" t="n">
        <v>31.99</v>
      </c>
      <c r="C152" s="25" t="n">
        <v>32.5</v>
      </c>
      <c r="D152" s="25" t="n">
        <v>31.5</v>
      </c>
      <c r="E152" s="25" t="n">
        <v>32</v>
      </c>
      <c r="F152" s="26" t="n">
        <v>35275379</v>
      </c>
      <c r="G152" s="27" t="n">
        <f aca="false">E152-E151</f>
        <v>-0.439999999999998</v>
      </c>
      <c r="H152" s="28" t="n">
        <f aca="false">G152/E151</f>
        <v>-0.0135635018495684</v>
      </c>
      <c r="I152" s="29" t="n">
        <f aca="false">MAX(G152,0)</f>
        <v>0</v>
      </c>
      <c r="J152" s="29" t="n">
        <f aca="false">MAX(-G152,0)</f>
        <v>0.439999999999998</v>
      </c>
      <c r="K152" s="29" t="n">
        <f aca="false">(K151*13+I152)/14</f>
        <v>0.118819288586031</v>
      </c>
      <c r="L152" s="29" t="n">
        <f aca="false">(L151*13+J152)/14</f>
        <v>0.190772731250791</v>
      </c>
      <c r="M152" s="31" t="n">
        <f aca="false">IF(L152=0,100,100-100/(1+K152/MAX(L152,0.000001)))</f>
        <v>38.3793124411467</v>
      </c>
      <c r="N152" s="30" t="n">
        <f aca="false">AVERAGE(E133:E152)</f>
        <v>32.645</v>
      </c>
      <c r="O152" s="30" t="n">
        <f aca="false">AVERAGE(E103:E152)</f>
        <v>33.4274</v>
      </c>
      <c r="Q152" s="30" t="n">
        <f aca="false">Q151+(2/13)*(E152-Q151)</f>
        <v>32.5730457634432</v>
      </c>
      <c r="R152" s="30" t="n">
        <f aca="false">R151+(2/27)*(E152-R151)</f>
        <v>32.9037011568582</v>
      </c>
      <c r="S152" s="33" t="n">
        <f aca="false">Q152-R152</f>
        <v>-0.330655393414958</v>
      </c>
      <c r="T152" s="33" t="n">
        <f aca="false">T151+(2/10)*(S152-T151)</f>
        <v>-0.386871880223548</v>
      </c>
      <c r="U152" s="33" t="n">
        <f aca="false">S152-T152</f>
        <v>0.05621648680859</v>
      </c>
      <c r="V152" s="32" t="str">
        <f aca="false">IF(M152="","",IF(M152&lt;Assumptions!$B$5,"BUY",IF(M152&gt;Assumptions!$B$4,"SELL","HOLD")))</f>
        <v>HOLD</v>
      </c>
      <c r="W152" s="32" t="str">
        <f aca="false">IF(O152="","",IF(E152&gt;O152,"BUY","SELL"))</f>
        <v>SELL</v>
      </c>
      <c r="X152" s="32" t="str">
        <f aca="false">IF(T152="","",IF(S152&gt;T152,"BUY","SELL"))</f>
        <v>BUY</v>
      </c>
      <c r="Y152" s="34" t="n">
        <f aca="false">IF(OR(V152="",W152="",X152=""),"",IFERROR(IF(V152="BUY",1,IF(V152="SELL",-1,0))+IF(W152="BUY",1,IF(W152="SELL",-1,0))+IF(X152="BUY",1,IF(X152="SELL",-1,0)),0))</f>
        <v>0</v>
      </c>
      <c r="Z152" s="32" t="str">
        <f aca="false">IF(Y152="","",IF(Y152&gt;=2,"STRONG BUY",IF(Y152=1,"BUY",IF(Y152=0,"HOLD",IF(Y152=-1,"SELL","STRONG SELL")))))</f>
        <v>HOLD</v>
      </c>
    </row>
    <row r="153" customFormat="false" ht="15" hidden="false" customHeight="false" outlineLevel="0" collapsed="false">
      <c r="A153" s="24" t="n">
        <v>45981</v>
      </c>
      <c r="B153" s="25" t="n">
        <v>31.85</v>
      </c>
      <c r="C153" s="25" t="n">
        <v>31.85</v>
      </c>
      <c r="D153" s="25" t="n">
        <v>31.49</v>
      </c>
      <c r="E153" s="25" t="n">
        <v>31.67</v>
      </c>
      <c r="F153" s="26" t="n">
        <v>23078381</v>
      </c>
      <c r="G153" s="27" t="n">
        <f aca="false">E153-E152</f>
        <v>-0.329999999999998</v>
      </c>
      <c r="H153" s="28" t="n">
        <f aca="false">G153/E152</f>
        <v>-0.0103124999999999</v>
      </c>
      <c r="I153" s="29" t="n">
        <f aca="false">MAX(G153,0)</f>
        <v>0</v>
      </c>
      <c r="J153" s="29" t="n">
        <f aca="false">MAX(-G153,0)</f>
        <v>0.329999999999998</v>
      </c>
      <c r="K153" s="29" t="n">
        <f aca="false">(K152*13+I153)/14</f>
        <v>0.110332196544171</v>
      </c>
      <c r="L153" s="29" t="n">
        <f aca="false">(L152*13+J153)/14</f>
        <v>0.200717536161449</v>
      </c>
      <c r="M153" s="31" t="n">
        <f aca="false">IF(L153=0,100,100-100/(1+K153/MAX(L153,0.000001)))</f>
        <v>35.4709182947894</v>
      </c>
      <c r="N153" s="30" t="n">
        <f aca="false">AVERAGE(E134:E153)</f>
        <v>32.5775</v>
      </c>
      <c r="O153" s="30" t="n">
        <f aca="false">AVERAGE(E104:E153)</f>
        <v>33.3328</v>
      </c>
      <c r="Q153" s="30" t="n">
        <f aca="false">Q152+(2/13)*(E153-Q152)</f>
        <v>32.4341156459904</v>
      </c>
      <c r="R153" s="30" t="n">
        <f aca="false">R152+(2/27)*(E153-R152)</f>
        <v>32.8123158859798</v>
      </c>
      <c r="S153" s="33" t="n">
        <f aca="false">Q153-R153</f>
        <v>-0.378200239989376</v>
      </c>
      <c r="T153" s="33" t="n">
        <f aca="false">T152+(2/10)*(S153-T152)</f>
        <v>-0.385137552176713</v>
      </c>
      <c r="U153" s="33" t="n">
        <f aca="false">S153-T153</f>
        <v>0.00693731218733767</v>
      </c>
      <c r="V153" s="32" t="str">
        <f aca="false">IF(M153="","",IF(M153&lt;Assumptions!$B$5,"BUY",IF(M153&gt;Assumptions!$B$4,"SELL","HOLD")))</f>
        <v>HOLD</v>
      </c>
      <c r="W153" s="32" t="str">
        <f aca="false">IF(O153="","",IF(E153&gt;O153,"BUY","SELL"))</f>
        <v>SELL</v>
      </c>
      <c r="X153" s="32" t="str">
        <f aca="false">IF(T153="","",IF(S153&gt;T153,"BUY","SELL"))</f>
        <v>BUY</v>
      </c>
      <c r="Y153" s="34" t="n">
        <f aca="false">IF(OR(V153="",W153="",X153=""),"",IFERROR(IF(V153="BUY",1,IF(V153="SELL",-1,0))+IF(W153="BUY",1,IF(W153="SELL",-1,0))+IF(X153="BUY",1,IF(X153="SELL",-1,0)),0))</f>
        <v>0</v>
      </c>
      <c r="Z153" s="32" t="str">
        <f aca="false">IF(Y153="","",IF(Y153&gt;=2,"STRONG BUY",IF(Y153=1,"BUY",IF(Y153=0,"HOLD",IF(Y153=-1,"SELL","STRONG SELL")))))</f>
        <v>HOLD</v>
      </c>
    </row>
    <row r="154" customFormat="false" ht="15" hidden="false" customHeight="false" outlineLevel="0" collapsed="false">
      <c r="A154" s="24" t="n">
        <v>45982</v>
      </c>
      <c r="B154" s="25" t="n">
        <v>31.74</v>
      </c>
      <c r="C154" s="25" t="n">
        <v>31.86</v>
      </c>
      <c r="D154" s="25" t="n">
        <v>31.74</v>
      </c>
      <c r="E154" s="25" t="n">
        <v>31.8</v>
      </c>
      <c r="F154" s="26" t="n">
        <v>80624917</v>
      </c>
      <c r="G154" s="27" t="n">
        <f aca="false">E154-E153</f>
        <v>0.129999999999999</v>
      </c>
      <c r="H154" s="28" t="n">
        <f aca="false">G154/E153</f>
        <v>0.00410483107041361</v>
      </c>
      <c r="I154" s="29" t="n">
        <f aca="false">MAX(G154,0)</f>
        <v>0.129999999999999</v>
      </c>
      <c r="J154" s="29" t="n">
        <f aca="false">MAX(-G154,0)</f>
        <v>0</v>
      </c>
      <c r="K154" s="29" t="n">
        <f aca="false">(K153*13+I154)/14</f>
        <v>0.111737039648159</v>
      </c>
      <c r="L154" s="29" t="n">
        <f aca="false">(L153*13+J154)/14</f>
        <v>0.186380569292774</v>
      </c>
      <c r="M154" s="31" t="n">
        <f aca="false">IF(L154=0,100,100-100/(1+K154/MAX(L154,0.000001)))</f>
        <v>37.4808586601464</v>
      </c>
      <c r="N154" s="30" t="n">
        <f aca="false">AVERAGE(E135:E154)</f>
        <v>32.509</v>
      </c>
      <c r="O154" s="30" t="n">
        <f aca="false">AVERAGE(E105:E154)</f>
        <v>33.2666</v>
      </c>
      <c r="Q154" s="30" t="n">
        <f aca="false">Q153+(2/13)*(E154-Q153)</f>
        <v>32.3365593927611</v>
      </c>
      <c r="R154" s="30" t="n">
        <f aca="false">R153+(2/27)*(E154-R153)</f>
        <v>32.7373295240554</v>
      </c>
      <c r="S154" s="33" t="n">
        <f aca="false">Q154-R154</f>
        <v>-0.400770131294237</v>
      </c>
      <c r="T154" s="33" t="n">
        <f aca="false">T153+(2/10)*(S154-T153)</f>
        <v>-0.388264068000218</v>
      </c>
      <c r="U154" s="33" t="n">
        <f aca="false">S154-T154</f>
        <v>-0.0125060632940193</v>
      </c>
      <c r="V154" s="32" t="str">
        <f aca="false">IF(M154="","",IF(M154&lt;Assumptions!$B$5,"BUY",IF(M154&gt;Assumptions!$B$4,"SELL","HOLD")))</f>
        <v>HOLD</v>
      </c>
      <c r="W154" s="32" t="str">
        <f aca="false">IF(O154="","",IF(E154&gt;O154,"BUY","SELL"))</f>
        <v>SELL</v>
      </c>
      <c r="X154" s="32" t="str">
        <f aca="false">IF(T154="","",IF(S154&gt;T154,"BUY","SELL"))</f>
        <v>SELL</v>
      </c>
      <c r="Y154" s="34" t="n">
        <f aca="false">IF(OR(V154="",W154="",X154=""),"",IFERROR(IF(V154="BUY",1,IF(V154="SELL",-1,0))+IF(W154="BUY",1,IF(W154="SELL",-1,0))+IF(X154="BUY",1,IF(X154="SELL",-1,0)),0))</f>
        <v>-2</v>
      </c>
      <c r="Z154" s="32" t="str">
        <f aca="false">IF(Y154="","",IF(Y154&gt;=2,"STRONG BUY",IF(Y154=1,"BUY",IF(Y154=0,"HOLD",IF(Y154=-1,"SELL","STRONG SELL")))))</f>
        <v>STRONG SELL</v>
      </c>
    </row>
    <row r="155" customFormat="false" ht="15" hidden="false" customHeight="false" outlineLevel="0" collapsed="false">
      <c r="A155" s="24" t="n">
        <v>45985</v>
      </c>
      <c r="B155" s="25" t="n">
        <v>31.95</v>
      </c>
      <c r="C155" s="25" t="n">
        <v>32</v>
      </c>
      <c r="D155" s="25" t="n">
        <v>31.62</v>
      </c>
      <c r="E155" s="25" t="n">
        <v>31.81</v>
      </c>
      <c r="F155" s="26" t="n">
        <v>72983678</v>
      </c>
      <c r="G155" s="27" t="n">
        <f aca="false">E155-E154</f>
        <v>0.00999999999999801</v>
      </c>
      <c r="H155" s="28" t="n">
        <f aca="false">G155/E154</f>
        <v>0.000314465408804969</v>
      </c>
      <c r="I155" s="29" t="n">
        <f aca="false">MAX(G155,0)</f>
        <v>0.00999999999999801</v>
      </c>
      <c r="J155" s="29" t="n">
        <f aca="false">MAX(-G155,0)</f>
        <v>0</v>
      </c>
      <c r="K155" s="29" t="n">
        <f aca="false">(K154*13+I155)/14</f>
        <v>0.104470108244719</v>
      </c>
      <c r="L155" s="29" t="n">
        <f aca="false">(L154*13+J155)/14</f>
        <v>0.173067671486147</v>
      </c>
      <c r="M155" s="31" t="n">
        <f aca="false">IF(L155=0,100,100-100/(1+K155/MAX(L155,0.000001)))</f>
        <v>37.6417611850991</v>
      </c>
      <c r="N155" s="30" t="n">
        <f aca="false">AVERAGE(E136:E155)</f>
        <v>32.4445</v>
      </c>
      <c r="O155" s="30" t="n">
        <f aca="false">AVERAGE(E106:E155)</f>
        <v>33.2078</v>
      </c>
      <c r="Q155" s="30" t="n">
        <f aca="false">Q154+(2/13)*(E155-Q154)</f>
        <v>32.2555502554133</v>
      </c>
      <c r="R155" s="30" t="n">
        <f aca="false">R154+(2/27)*(E155-R154)</f>
        <v>32.6686384481994</v>
      </c>
      <c r="S155" s="33" t="n">
        <f aca="false">Q155-R155</f>
        <v>-0.413088192786148</v>
      </c>
      <c r="T155" s="33" t="n">
        <f aca="false">T154+(2/10)*(S155-T154)</f>
        <v>-0.393228892957404</v>
      </c>
      <c r="U155" s="33" t="n">
        <f aca="false">S155-T155</f>
        <v>-0.019859299828744</v>
      </c>
      <c r="V155" s="32" t="str">
        <f aca="false">IF(M155="","",IF(M155&lt;Assumptions!$B$5,"BUY",IF(M155&gt;Assumptions!$B$4,"SELL","HOLD")))</f>
        <v>HOLD</v>
      </c>
      <c r="W155" s="32" t="str">
        <f aca="false">IF(O155="","",IF(E155&gt;O155,"BUY","SELL"))</f>
        <v>SELL</v>
      </c>
      <c r="X155" s="32" t="str">
        <f aca="false">IF(T155="","",IF(S155&gt;T155,"BUY","SELL"))</f>
        <v>SELL</v>
      </c>
      <c r="Y155" s="34" t="n">
        <f aca="false">IF(OR(V155="",W155="",X155=""),"",IFERROR(IF(V155="BUY",1,IF(V155="SELL",-1,0))+IF(W155="BUY",1,IF(W155="SELL",-1,0))+IF(X155="BUY",1,IF(X155="SELL",-1,0)),0))</f>
        <v>-2</v>
      </c>
      <c r="Z155" s="32" t="str">
        <f aca="false">IF(Y155="","",IF(Y155&gt;=2,"STRONG BUY",IF(Y155=1,"BUY",IF(Y155=0,"HOLD",IF(Y155=-1,"SELL","STRONG SELL")))))</f>
        <v>STRONG SELL</v>
      </c>
    </row>
    <row r="156" customFormat="false" ht="15" hidden="false" customHeight="false" outlineLevel="0" collapsed="false">
      <c r="A156" s="24" t="n">
        <v>45986</v>
      </c>
      <c r="B156" s="25" t="n">
        <v>31.63</v>
      </c>
      <c r="C156" s="25" t="n">
        <v>31.63</v>
      </c>
      <c r="D156" s="25" t="n">
        <v>31.57</v>
      </c>
      <c r="E156" s="25" t="n">
        <v>31.6</v>
      </c>
      <c r="F156" s="26" t="n">
        <v>23072499</v>
      </c>
      <c r="G156" s="27" t="n">
        <f aca="false">E156-E155</f>
        <v>-0.209999999999997</v>
      </c>
      <c r="H156" s="28" t="n">
        <f aca="false">G156/E155</f>
        <v>-0.00660169757937747</v>
      </c>
      <c r="I156" s="29" t="n">
        <f aca="false">MAX(G156,0)</f>
        <v>0</v>
      </c>
      <c r="J156" s="29" t="n">
        <f aca="false">MAX(-G156,0)</f>
        <v>0.209999999999997</v>
      </c>
      <c r="K156" s="29" t="n">
        <f aca="false">(K155*13+I156)/14</f>
        <v>0.0970079576558103</v>
      </c>
      <c r="L156" s="29" t="n">
        <f aca="false">(L155*13+J156)/14</f>
        <v>0.175705694951422</v>
      </c>
      <c r="M156" s="31" t="n">
        <f aca="false">IF(L156=0,100,100-100/(1+K156/MAX(L156,0.000001)))</f>
        <v>35.5713609232183</v>
      </c>
      <c r="N156" s="30" t="n">
        <f aca="false">AVERAGE(E137:E156)</f>
        <v>32.3735</v>
      </c>
      <c r="O156" s="30" t="n">
        <f aca="false">AVERAGE(E107:E156)</f>
        <v>33.15</v>
      </c>
      <c r="Q156" s="30" t="n">
        <f aca="false">Q155+(2/13)*(E156-Q155)</f>
        <v>32.1546963699651</v>
      </c>
      <c r="R156" s="30" t="n">
        <f aca="false">R155+(2/27)*(E156-R155)</f>
        <v>32.5894800446291</v>
      </c>
      <c r="S156" s="33" t="n">
        <f aca="false">Q156-R156</f>
        <v>-0.434783674664011</v>
      </c>
      <c r="T156" s="33" t="n">
        <f aca="false">T155+(2/10)*(S156-T155)</f>
        <v>-0.401539849298726</v>
      </c>
      <c r="U156" s="33" t="n">
        <f aca="false">S156-T156</f>
        <v>-0.0332438253652858</v>
      </c>
      <c r="V156" s="32" t="str">
        <f aca="false">IF(M156="","",IF(M156&lt;Assumptions!$B$5,"BUY",IF(M156&gt;Assumptions!$B$4,"SELL","HOLD")))</f>
        <v>HOLD</v>
      </c>
      <c r="W156" s="32" t="str">
        <f aca="false">IF(O156="","",IF(E156&gt;O156,"BUY","SELL"))</f>
        <v>SELL</v>
      </c>
      <c r="X156" s="32" t="str">
        <f aca="false">IF(T156="","",IF(S156&gt;T156,"BUY","SELL"))</f>
        <v>SELL</v>
      </c>
      <c r="Y156" s="34" t="n">
        <f aca="false">IF(OR(V156="",W156="",X156=""),"",IFERROR(IF(V156="BUY",1,IF(V156="SELL",-1,0))+IF(W156="BUY",1,IF(W156="SELL",-1,0))+IF(X156="BUY",1,IF(X156="SELL",-1,0)),0))</f>
        <v>-2</v>
      </c>
      <c r="Z156" s="32" t="str">
        <f aca="false">IF(Y156="","",IF(Y156&gt;=2,"STRONG BUY",IF(Y156=1,"BUY",IF(Y156=0,"HOLD",IF(Y156=-1,"SELL","STRONG SELL")))))</f>
        <v>STRONG SELL</v>
      </c>
    </row>
    <row r="157" customFormat="false" ht="15" hidden="false" customHeight="false" outlineLevel="0" collapsed="false">
      <c r="A157" s="24" t="n">
        <v>45987</v>
      </c>
      <c r="B157" s="25" t="n">
        <v>31.26</v>
      </c>
      <c r="C157" s="25" t="n">
        <v>31.3</v>
      </c>
      <c r="D157" s="25" t="n">
        <v>31.26</v>
      </c>
      <c r="E157" s="25" t="n">
        <v>31.28</v>
      </c>
      <c r="F157" s="26" t="n">
        <v>4857303</v>
      </c>
      <c r="G157" s="27" t="n">
        <f aca="false">E157-E156</f>
        <v>-0.32</v>
      </c>
      <c r="H157" s="28" t="n">
        <f aca="false">G157/E156</f>
        <v>-0.010126582278481</v>
      </c>
      <c r="I157" s="29" t="n">
        <f aca="false">MAX(G157,0)</f>
        <v>0</v>
      </c>
      <c r="J157" s="29" t="n">
        <f aca="false">MAX(-G157,0)</f>
        <v>0.32</v>
      </c>
      <c r="K157" s="29" t="n">
        <f aca="false">(K156*13+I157)/14</f>
        <v>0.0900788178232525</v>
      </c>
      <c r="L157" s="29" t="n">
        <f aca="false">(L156*13+J157)/14</f>
        <v>0.18601243102632</v>
      </c>
      <c r="M157" s="31" t="n">
        <f aca="false">IF(L157=0,100,100-100/(1+K157/MAX(L157,0.000001)))</f>
        <v>32.6264661406677</v>
      </c>
      <c r="N157" s="30" t="n">
        <f aca="false">AVERAGE(E138:E157)</f>
        <v>32.2865</v>
      </c>
      <c r="O157" s="30" t="n">
        <f aca="false">AVERAGE(E108:E157)</f>
        <v>33.0916</v>
      </c>
      <c r="Q157" s="30" t="n">
        <f aca="false">Q156+(2/13)*(E157-Q156)</f>
        <v>32.0201276976627</v>
      </c>
      <c r="R157" s="30" t="n">
        <f aca="false">R156+(2/27)*(E157-R156)</f>
        <v>32.4924815228047</v>
      </c>
      <c r="S157" s="33" t="n">
        <f aca="false">Q157-R157</f>
        <v>-0.472353825141951</v>
      </c>
      <c r="T157" s="33" t="n">
        <f aca="false">T156+(2/10)*(S157-T156)</f>
        <v>-0.415702644467371</v>
      </c>
      <c r="U157" s="33" t="n">
        <f aca="false">S157-T157</f>
        <v>-0.0566511806745806</v>
      </c>
      <c r="V157" s="32" t="str">
        <f aca="false">IF(M157="","",IF(M157&lt;Assumptions!$B$5,"BUY",IF(M157&gt;Assumptions!$B$4,"SELL","HOLD")))</f>
        <v>HOLD</v>
      </c>
      <c r="W157" s="32" t="str">
        <f aca="false">IF(O157="","",IF(E157&gt;O157,"BUY","SELL"))</f>
        <v>SELL</v>
      </c>
      <c r="X157" s="32" t="str">
        <f aca="false">IF(T157="","",IF(S157&gt;T157,"BUY","SELL"))</f>
        <v>SELL</v>
      </c>
      <c r="Y157" s="34" t="n">
        <f aca="false">IF(OR(V157="",W157="",X157=""),"",IFERROR(IF(V157="BUY",1,IF(V157="SELL",-1,0))+IF(W157="BUY",1,IF(W157="SELL",-1,0))+IF(X157="BUY",1,IF(X157="SELL",-1,0)),0))</f>
        <v>-2</v>
      </c>
      <c r="Z157" s="32" t="str">
        <f aca="false">IF(Y157="","",IF(Y157&gt;=2,"STRONG BUY",IF(Y157=1,"BUY",IF(Y157=0,"HOLD",IF(Y157=-1,"SELL","STRONG SELL")))))</f>
        <v>STRONG SELL</v>
      </c>
    </row>
    <row r="158" customFormat="false" ht="15" hidden="false" customHeight="false" outlineLevel="0" collapsed="false">
      <c r="A158" s="24" t="n">
        <v>45988</v>
      </c>
      <c r="B158" s="25" t="n">
        <v>31.48</v>
      </c>
      <c r="C158" s="25" t="n">
        <v>31.52</v>
      </c>
      <c r="D158" s="25" t="n">
        <v>31.36</v>
      </c>
      <c r="E158" s="25" t="n">
        <v>31.44</v>
      </c>
      <c r="F158" s="26" t="n">
        <v>20365919</v>
      </c>
      <c r="G158" s="27" t="n">
        <f aca="false">E158-E157</f>
        <v>0.16</v>
      </c>
      <c r="H158" s="28" t="n">
        <f aca="false">G158/E157</f>
        <v>0.0051150895140665</v>
      </c>
      <c r="I158" s="29" t="n">
        <f aca="false">MAX(G158,0)</f>
        <v>0.16</v>
      </c>
      <c r="J158" s="29" t="n">
        <f aca="false">MAX(-G158,0)</f>
        <v>0</v>
      </c>
      <c r="K158" s="29" t="n">
        <f aca="false">(K157*13+I158)/14</f>
        <v>0.0950731879787344</v>
      </c>
      <c r="L158" s="29" t="n">
        <f aca="false">(L157*13+J158)/14</f>
        <v>0.172725828810155</v>
      </c>
      <c r="M158" s="31" t="n">
        <f aca="false">IF(L158=0,100,100-100/(1+K158/MAX(L158,0.000001)))</f>
        <v>35.5016941879523</v>
      </c>
      <c r="N158" s="30" t="n">
        <f aca="false">AVERAGE(E139:E158)</f>
        <v>32.2235</v>
      </c>
      <c r="O158" s="30" t="n">
        <f aca="false">AVERAGE(E109:E158)</f>
        <v>33.0394</v>
      </c>
      <c r="Q158" s="30" t="n">
        <f aca="false">Q157+(2/13)*(E158-Q157)</f>
        <v>31.9308772826377</v>
      </c>
      <c r="R158" s="30" t="n">
        <f aca="false">R157+(2/27)*(E158-R157)</f>
        <v>32.4145199285229</v>
      </c>
      <c r="S158" s="33" t="n">
        <f aca="false">Q158-R158</f>
        <v>-0.483642645885158</v>
      </c>
      <c r="T158" s="33" t="n">
        <f aca="false">T157+(2/10)*(S158-T157)</f>
        <v>-0.429290644750928</v>
      </c>
      <c r="U158" s="33" t="n">
        <f aca="false">S158-T158</f>
        <v>-0.0543520011342302</v>
      </c>
      <c r="V158" s="32" t="str">
        <f aca="false">IF(M158="","",IF(M158&lt;Assumptions!$B$5,"BUY",IF(M158&gt;Assumptions!$B$4,"SELL","HOLD")))</f>
        <v>HOLD</v>
      </c>
      <c r="W158" s="32" t="str">
        <f aca="false">IF(O158="","",IF(E158&gt;O158,"BUY","SELL"))</f>
        <v>SELL</v>
      </c>
      <c r="X158" s="32" t="str">
        <f aca="false">IF(T158="","",IF(S158&gt;T158,"BUY","SELL"))</f>
        <v>SELL</v>
      </c>
      <c r="Y158" s="34" t="n">
        <f aca="false">IF(OR(V158="",W158="",X158=""),"",IFERROR(IF(V158="BUY",1,IF(V158="SELL",-1,0))+IF(W158="BUY",1,IF(W158="SELL",-1,0))+IF(X158="BUY",1,IF(X158="SELL",-1,0)),0))</f>
        <v>-2</v>
      </c>
      <c r="Z158" s="32" t="str">
        <f aca="false">IF(Y158="","",IF(Y158&gt;=2,"STRONG BUY",IF(Y158=1,"BUY",IF(Y158=0,"HOLD",IF(Y158=-1,"SELL","STRONG SELL")))))</f>
        <v>STRONG SELL</v>
      </c>
    </row>
    <row r="159" customFormat="false" ht="15" hidden="false" customHeight="false" outlineLevel="0" collapsed="false">
      <c r="A159" s="24" t="n">
        <v>45989</v>
      </c>
      <c r="B159" s="25" t="n">
        <v>31.13</v>
      </c>
      <c r="C159" s="25" t="n">
        <v>31.48</v>
      </c>
      <c r="D159" s="25" t="n">
        <v>30.96</v>
      </c>
      <c r="E159" s="25" t="n">
        <v>31.22</v>
      </c>
      <c r="F159" s="26" t="n">
        <v>40739318</v>
      </c>
      <c r="G159" s="27" t="n">
        <f aca="false">E159-E158</f>
        <v>-0.220000000000002</v>
      </c>
      <c r="H159" s="28" t="n">
        <f aca="false">G159/E158</f>
        <v>-0.00699745547073799</v>
      </c>
      <c r="I159" s="29" t="n">
        <f aca="false">MAX(G159,0)</f>
        <v>0</v>
      </c>
      <c r="J159" s="29" t="n">
        <f aca="false">MAX(-G159,0)</f>
        <v>0.220000000000002</v>
      </c>
      <c r="K159" s="29" t="n">
        <f aca="false">(K158*13+I159)/14</f>
        <v>0.0882822459802534</v>
      </c>
      <c r="L159" s="29" t="n">
        <f aca="false">(L158*13+J159)/14</f>
        <v>0.176102555323715</v>
      </c>
      <c r="M159" s="31" t="n">
        <f aca="false">IF(L159=0,100,100-100/(1+K159/MAX(L159,0.000001)))</f>
        <v>33.3915737761164</v>
      </c>
      <c r="N159" s="30" t="n">
        <f aca="false">AVERAGE(E140:E159)</f>
        <v>32.1675</v>
      </c>
      <c r="O159" s="30" t="n">
        <f aca="false">AVERAGE(E110:E159)</f>
        <v>32.9864</v>
      </c>
      <c r="Q159" s="30" t="n">
        <f aca="false">Q158+(2/13)*(E159-Q158)</f>
        <v>31.8215115468473</v>
      </c>
      <c r="R159" s="30" t="n">
        <f aca="false">R158+(2/27)*(E159-R158)</f>
        <v>32.3260369708545</v>
      </c>
      <c r="S159" s="33" t="n">
        <f aca="false">Q159-R159</f>
        <v>-0.504525424007213</v>
      </c>
      <c r="T159" s="33" t="n">
        <f aca="false">T158+(2/10)*(S159-T158)</f>
        <v>-0.444337600602185</v>
      </c>
      <c r="U159" s="33" t="n">
        <f aca="false">S159-T159</f>
        <v>-0.0601878234050275</v>
      </c>
      <c r="V159" s="32" t="str">
        <f aca="false">IF(M159="","",IF(M159&lt;Assumptions!$B$5,"BUY",IF(M159&gt;Assumptions!$B$4,"SELL","HOLD")))</f>
        <v>HOLD</v>
      </c>
      <c r="W159" s="32" t="str">
        <f aca="false">IF(O159="","",IF(E159&gt;O159,"BUY","SELL"))</f>
        <v>SELL</v>
      </c>
      <c r="X159" s="32" t="str">
        <f aca="false">IF(T159="","",IF(S159&gt;T159,"BUY","SELL"))</f>
        <v>SELL</v>
      </c>
      <c r="Y159" s="34" t="n">
        <f aca="false">IF(OR(V159="",W159="",X159=""),"",IFERROR(IF(V159="BUY",1,IF(V159="SELL",-1,0))+IF(W159="BUY",1,IF(W159="SELL",-1,0))+IF(X159="BUY",1,IF(X159="SELL",-1,0)),0))</f>
        <v>-2</v>
      </c>
      <c r="Z159" s="32" t="str">
        <f aca="false">IF(Y159="","",IF(Y159&gt;=2,"STRONG BUY",IF(Y159=1,"BUY",IF(Y159=0,"HOLD",IF(Y159=-1,"SELL","STRONG SELL")))))</f>
        <v>STRONG SELL</v>
      </c>
    </row>
    <row r="160" customFormat="false" ht="15" hidden="false" customHeight="false" outlineLevel="0" collapsed="false">
      <c r="A160" s="24" t="n">
        <v>45992</v>
      </c>
      <c r="B160" s="25" t="n">
        <v>30.71</v>
      </c>
      <c r="C160" s="25" t="n">
        <v>30.83</v>
      </c>
      <c r="D160" s="25" t="n">
        <v>30.71</v>
      </c>
      <c r="E160" s="25" t="n">
        <v>30.77</v>
      </c>
      <c r="F160" s="26" t="n">
        <v>32362500</v>
      </c>
      <c r="G160" s="27" t="n">
        <f aca="false">E160-E159</f>
        <v>-0.449999999999999</v>
      </c>
      <c r="H160" s="28" t="n">
        <f aca="false">G160/E159</f>
        <v>-0.0144138372837924</v>
      </c>
      <c r="I160" s="29" t="n">
        <f aca="false">MAX(G160,0)</f>
        <v>0</v>
      </c>
      <c r="J160" s="29" t="n">
        <f aca="false">MAX(-G160,0)</f>
        <v>0.449999999999999</v>
      </c>
      <c r="K160" s="29" t="n">
        <f aca="false">(K159*13+I160)/14</f>
        <v>0.0819763712673782</v>
      </c>
      <c r="L160" s="29" t="n">
        <f aca="false">(L159*13+J160)/14</f>
        <v>0.195666658514878</v>
      </c>
      <c r="M160" s="31" t="n">
        <f aca="false">IF(L160=0,100,100-100/(1+K160/MAX(L160,0.000001)))</f>
        <v>29.5258164167379</v>
      </c>
      <c r="N160" s="30" t="n">
        <f aca="false">AVERAGE(E141:E160)</f>
        <v>32.079</v>
      </c>
      <c r="O160" s="30" t="n">
        <f aca="false">AVERAGE(E111:E160)</f>
        <v>32.93</v>
      </c>
      <c r="Q160" s="30" t="n">
        <f aca="false">Q159+(2/13)*(E160-Q159)</f>
        <v>31.65974053964</v>
      </c>
      <c r="R160" s="30" t="n">
        <f aca="false">R159+(2/27)*(E160-R159)</f>
        <v>32.2107749730134</v>
      </c>
      <c r="S160" s="33" t="n">
        <f aca="false">Q160-R160</f>
        <v>-0.551034433373413</v>
      </c>
      <c r="T160" s="33" t="n">
        <f aca="false">T159+(2/10)*(S160-T159)</f>
        <v>-0.465676967156431</v>
      </c>
      <c r="U160" s="33" t="n">
        <f aca="false">S160-T160</f>
        <v>-0.0853574662169825</v>
      </c>
      <c r="V160" s="32" t="str">
        <f aca="false">IF(M160="","",IF(M160&lt;Assumptions!$B$5,"BUY",IF(M160&gt;Assumptions!$B$4,"SELL","HOLD")))</f>
        <v>BUY</v>
      </c>
      <c r="W160" s="32" t="str">
        <f aca="false">IF(O160="","",IF(E160&gt;O160,"BUY","SELL"))</f>
        <v>SELL</v>
      </c>
      <c r="X160" s="32" t="str">
        <f aca="false">IF(T160="","",IF(S160&gt;T160,"BUY","SELL"))</f>
        <v>SELL</v>
      </c>
      <c r="Y160" s="34" t="n">
        <f aca="false">IF(OR(V160="",W160="",X160=""),"",IFERROR(IF(V160="BUY",1,IF(V160="SELL",-1,0))+IF(W160="BUY",1,IF(W160="SELL",-1,0))+IF(X160="BUY",1,IF(X160="SELL",-1,0)),0))</f>
        <v>-1</v>
      </c>
      <c r="Z160" s="32" t="str">
        <f aca="false">IF(Y160="","",IF(Y160&gt;=2,"STRONG BUY",IF(Y160=1,"BUY",IF(Y160=0,"HOLD",IF(Y160=-1,"SELL","STRONG SELL")))))</f>
        <v>SELL</v>
      </c>
    </row>
    <row r="161" customFormat="false" ht="15" hidden="false" customHeight="false" outlineLevel="0" collapsed="false">
      <c r="A161" s="24" t="n">
        <v>45993</v>
      </c>
      <c r="B161" s="25" t="n">
        <v>30.65</v>
      </c>
      <c r="C161" s="25" t="n">
        <v>30.77</v>
      </c>
      <c r="D161" s="25" t="n">
        <v>30.65</v>
      </c>
      <c r="E161" s="25" t="n">
        <v>30.71</v>
      </c>
      <c r="F161" s="26" t="n">
        <v>48130989</v>
      </c>
      <c r="G161" s="27" t="n">
        <f aca="false">E161-E160</f>
        <v>-0.0599999999999987</v>
      </c>
      <c r="H161" s="28" t="n">
        <f aca="false">G161/E160</f>
        <v>-0.00194995125121868</v>
      </c>
      <c r="I161" s="29" t="n">
        <f aca="false">MAX(G161,0)</f>
        <v>0</v>
      </c>
      <c r="J161" s="29" t="n">
        <f aca="false">MAX(-G161,0)</f>
        <v>0.0599999999999987</v>
      </c>
      <c r="K161" s="29" t="n">
        <f aca="false">(K160*13+I161)/14</f>
        <v>0.0761209161768511</v>
      </c>
      <c r="L161" s="29" t="n">
        <f aca="false">(L160*13+J161)/14</f>
        <v>0.185976182906673</v>
      </c>
      <c r="M161" s="31" t="n">
        <f aca="false">IF(L161=0,100,100-100/(1+K161/MAX(L161,0.000001)))</f>
        <v>29.0430212478595</v>
      </c>
      <c r="N161" s="30" t="n">
        <f aca="false">AVERAGE(E142:E161)</f>
        <v>32.012</v>
      </c>
      <c r="O161" s="30" t="n">
        <f aca="false">AVERAGE(E112:E161)</f>
        <v>32.858</v>
      </c>
      <c r="Q161" s="30" t="n">
        <f aca="false">Q160+(2/13)*(E161-Q160)</f>
        <v>31.5136266104646</v>
      </c>
      <c r="R161" s="30" t="n">
        <f aca="false">R160+(2/27)*(E161-R160)</f>
        <v>32.0996064564939</v>
      </c>
      <c r="S161" s="33" t="n">
        <f aca="false">Q161-R161</f>
        <v>-0.585979846029286</v>
      </c>
      <c r="T161" s="33" t="n">
        <f aca="false">T160+(2/10)*(S161-T160)</f>
        <v>-0.489737542931002</v>
      </c>
      <c r="U161" s="33" t="n">
        <f aca="false">S161-T161</f>
        <v>-0.0962423030982841</v>
      </c>
      <c r="V161" s="32" t="str">
        <f aca="false">IF(M161="","",IF(M161&lt;Assumptions!$B$5,"BUY",IF(M161&gt;Assumptions!$B$4,"SELL","HOLD")))</f>
        <v>BUY</v>
      </c>
      <c r="W161" s="32" t="str">
        <f aca="false">IF(O161="","",IF(E161&gt;O161,"BUY","SELL"))</f>
        <v>SELL</v>
      </c>
      <c r="X161" s="32" t="str">
        <f aca="false">IF(T161="","",IF(S161&gt;T161,"BUY","SELL"))</f>
        <v>SELL</v>
      </c>
      <c r="Y161" s="34" t="n">
        <f aca="false">IF(OR(V161="",W161="",X161=""),"",IFERROR(IF(V161="BUY",1,IF(V161="SELL",-1,0))+IF(W161="BUY",1,IF(W161="SELL",-1,0))+IF(X161="BUY",1,IF(X161="SELL",-1,0)),0))</f>
        <v>-1</v>
      </c>
      <c r="Z161" s="32" t="str">
        <f aca="false">IF(Y161="","",IF(Y161&gt;=2,"STRONG BUY",IF(Y161=1,"BUY",IF(Y161=0,"HOLD",IF(Y161=-1,"SELL","STRONG SELL")))))</f>
        <v>SELL</v>
      </c>
    </row>
    <row r="162" customFormat="false" ht="15" hidden="false" customHeight="false" outlineLevel="0" collapsed="false">
      <c r="A162" s="24" t="n">
        <v>45994</v>
      </c>
      <c r="B162" s="25" t="n">
        <v>30.64</v>
      </c>
      <c r="C162" s="25" t="n">
        <v>30.64</v>
      </c>
      <c r="D162" s="25" t="n">
        <v>30.56</v>
      </c>
      <c r="E162" s="25" t="n">
        <v>30.6</v>
      </c>
      <c r="F162" s="26" t="n">
        <v>47300189</v>
      </c>
      <c r="G162" s="27" t="n">
        <f aca="false">E162-E161</f>
        <v>-0.109999999999999</v>
      </c>
      <c r="H162" s="28" t="n">
        <f aca="false">G162/E161</f>
        <v>-0.00358189514816019</v>
      </c>
      <c r="I162" s="29" t="n">
        <f aca="false">MAX(G162,0)</f>
        <v>0</v>
      </c>
      <c r="J162" s="29" t="n">
        <f aca="false">MAX(-G162,0)</f>
        <v>0.109999999999999</v>
      </c>
      <c r="K162" s="29" t="n">
        <f aca="false">(K161*13+I162)/14</f>
        <v>0.0706837078785046</v>
      </c>
      <c r="L162" s="29" t="n">
        <f aca="false">(L161*13+J162)/14</f>
        <v>0.180549312699053</v>
      </c>
      <c r="M162" s="31" t="n">
        <f aca="false">IF(L162=0,100,100-100/(1+K162/MAX(L162,0.000001)))</f>
        <v>28.1347203946401</v>
      </c>
      <c r="N162" s="30" t="n">
        <f aca="false">AVERAGE(E143:E162)</f>
        <v>31.913</v>
      </c>
      <c r="O162" s="30" t="n">
        <f aca="false">AVERAGE(E113:E162)</f>
        <v>32.772</v>
      </c>
      <c r="Q162" s="30" t="n">
        <f aca="false">Q161+(2/13)*(E162-Q161)</f>
        <v>31.3730686703932</v>
      </c>
      <c r="R162" s="30" t="n">
        <f aca="false">R161+(2/27)*(E162-R161)</f>
        <v>31.9885244967536</v>
      </c>
      <c r="S162" s="33" t="n">
        <f aca="false">Q162-R162</f>
        <v>-0.615455826360478</v>
      </c>
      <c r="T162" s="33" t="n">
        <f aca="false">T161+(2/10)*(S162-T161)</f>
        <v>-0.514881199616897</v>
      </c>
      <c r="U162" s="33" t="n">
        <f aca="false">S162-T162</f>
        <v>-0.100574626743581</v>
      </c>
      <c r="V162" s="32" t="str">
        <f aca="false">IF(M162="","",IF(M162&lt;Assumptions!$B$5,"BUY",IF(M162&gt;Assumptions!$B$4,"SELL","HOLD")))</f>
        <v>BUY</v>
      </c>
      <c r="W162" s="32" t="str">
        <f aca="false">IF(O162="","",IF(E162&gt;O162,"BUY","SELL"))</f>
        <v>SELL</v>
      </c>
      <c r="X162" s="32" t="str">
        <f aca="false">IF(T162="","",IF(S162&gt;T162,"BUY","SELL"))</f>
        <v>SELL</v>
      </c>
      <c r="Y162" s="34" t="n">
        <f aca="false">IF(OR(V162="",W162="",X162=""),"",IFERROR(IF(V162="BUY",1,IF(V162="SELL",-1,0))+IF(W162="BUY",1,IF(W162="SELL",-1,0))+IF(X162="BUY",1,IF(X162="SELL",-1,0)),0))</f>
        <v>-1</v>
      </c>
      <c r="Z162" s="32" t="str">
        <f aca="false">IF(Y162="","",IF(Y162&gt;=2,"STRONG BUY",IF(Y162=1,"BUY",IF(Y162=0,"HOLD",IF(Y162=-1,"SELL","STRONG SELL")))))</f>
        <v>SELL</v>
      </c>
    </row>
    <row r="163" customFormat="false" ht="15" hidden="false" customHeight="false" outlineLevel="0" collapsed="false">
      <c r="A163" s="24" t="n">
        <v>45995</v>
      </c>
      <c r="B163" s="25" t="n">
        <v>30.16</v>
      </c>
      <c r="C163" s="25" t="n">
        <v>30.31</v>
      </c>
      <c r="D163" s="25" t="n">
        <v>29.99</v>
      </c>
      <c r="E163" s="25" t="n">
        <v>30.15</v>
      </c>
      <c r="F163" s="26" t="n">
        <v>65558100</v>
      </c>
      <c r="G163" s="27" t="n">
        <f aca="false">E163-E162</f>
        <v>-0.450000000000003</v>
      </c>
      <c r="H163" s="28" t="n">
        <f aca="false">G163/E162</f>
        <v>-0.0147058823529413</v>
      </c>
      <c r="I163" s="29" t="n">
        <f aca="false">MAX(G163,0)</f>
        <v>0</v>
      </c>
      <c r="J163" s="29" t="n">
        <f aca="false">MAX(-G163,0)</f>
        <v>0.450000000000003</v>
      </c>
      <c r="K163" s="29" t="n">
        <f aca="false">(K162*13+I163)/14</f>
        <v>0.0656348716014686</v>
      </c>
      <c r="L163" s="29" t="n">
        <f aca="false">(L162*13+J163)/14</f>
        <v>0.199795790363407</v>
      </c>
      <c r="M163" s="31" t="n">
        <f aca="false">IF(L163=0,100,100-100/(1+K163/MAX(L163,0.000001)))</f>
        <v>24.7276901302963</v>
      </c>
      <c r="N163" s="30" t="n">
        <f aca="false">AVERAGE(E144:E163)</f>
        <v>31.7865</v>
      </c>
      <c r="O163" s="30" t="n">
        <f aca="false">AVERAGE(E114:E163)</f>
        <v>32.688</v>
      </c>
      <c r="Q163" s="30" t="n">
        <f aca="false">Q162+(2/13)*(E163-Q162)</f>
        <v>31.1849042595634</v>
      </c>
      <c r="R163" s="30" t="n">
        <f aca="false">R162+(2/27)*(E163-R162)</f>
        <v>31.8523374969941</v>
      </c>
      <c r="S163" s="33" t="n">
        <f aca="false">Q163-R163</f>
        <v>-0.667433237430664</v>
      </c>
      <c r="T163" s="33" t="n">
        <f aca="false">T162+(2/10)*(S163-T162)</f>
        <v>-0.54539160717965</v>
      </c>
      <c r="U163" s="33" t="n">
        <f aca="false">S163-T163</f>
        <v>-0.122041630251014</v>
      </c>
      <c r="V163" s="32" t="str">
        <f aca="false">IF(M163="","",IF(M163&lt;Assumptions!$B$5,"BUY",IF(M163&gt;Assumptions!$B$4,"SELL","HOLD")))</f>
        <v>BUY</v>
      </c>
      <c r="W163" s="32" t="str">
        <f aca="false">IF(O163="","",IF(E163&gt;O163,"BUY","SELL"))</f>
        <v>SELL</v>
      </c>
      <c r="X163" s="32" t="str">
        <f aca="false">IF(T163="","",IF(S163&gt;T163,"BUY","SELL"))</f>
        <v>SELL</v>
      </c>
      <c r="Y163" s="34" t="n">
        <f aca="false">IF(OR(V163="",W163="",X163=""),"",IFERROR(IF(V163="BUY",1,IF(V163="SELL",-1,0))+IF(W163="BUY",1,IF(W163="SELL",-1,0))+IF(X163="BUY",1,IF(X163="SELL",-1,0)),0))</f>
        <v>-1</v>
      </c>
      <c r="Z163" s="32" t="str">
        <f aca="false">IF(Y163="","",IF(Y163&gt;=2,"STRONG BUY",IF(Y163=1,"BUY",IF(Y163=0,"HOLD",IF(Y163=-1,"SELL","STRONG SELL")))))</f>
        <v>SELL</v>
      </c>
    </row>
    <row r="164" customFormat="false" ht="15" hidden="false" customHeight="false" outlineLevel="0" collapsed="false">
      <c r="A164" s="24" t="n">
        <v>45996</v>
      </c>
      <c r="B164" s="25" t="n">
        <v>30.32</v>
      </c>
      <c r="C164" s="25" t="n">
        <v>30.73</v>
      </c>
      <c r="D164" s="25" t="n">
        <v>30.27</v>
      </c>
      <c r="E164" s="25" t="n">
        <v>30.5</v>
      </c>
      <c r="F164" s="26" t="n">
        <v>66134914</v>
      </c>
      <c r="G164" s="27" t="n">
        <f aca="false">E164-E163</f>
        <v>0.350000000000001</v>
      </c>
      <c r="H164" s="28" t="n">
        <f aca="false">G164/E163</f>
        <v>0.0116086235489221</v>
      </c>
      <c r="I164" s="29" t="n">
        <f aca="false">MAX(G164,0)</f>
        <v>0.350000000000001</v>
      </c>
      <c r="J164" s="29" t="n">
        <f aca="false">MAX(-G164,0)</f>
        <v>0</v>
      </c>
      <c r="K164" s="29" t="n">
        <f aca="false">(K163*13+I164)/14</f>
        <v>0.0859466664870781</v>
      </c>
      <c r="L164" s="29" t="n">
        <f aca="false">(L163*13+J164)/14</f>
        <v>0.185524662480306</v>
      </c>
      <c r="M164" s="31" t="n">
        <f aca="false">IF(L164=0,100,100-100/(1+K164/MAX(L164,0.000001)))</f>
        <v>31.6595740750965</v>
      </c>
      <c r="N164" s="30" t="n">
        <f aca="false">AVERAGE(E145:E164)</f>
        <v>31.7065</v>
      </c>
      <c r="O164" s="30" t="n">
        <f aca="false">AVERAGE(E115:E164)</f>
        <v>32.5988</v>
      </c>
      <c r="Q164" s="30" t="n">
        <f aca="false">Q163+(2/13)*(E164-Q163)</f>
        <v>31.0795343734768</v>
      </c>
      <c r="R164" s="30" t="n">
        <f aca="false">R163+(2/27)*(E164-R163)</f>
        <v>31.7521643490686</v>
      </c>
      <c r="S164" s="33" t="n">
        <f aca="false">Q164-R164</f>
        <v>-0.672629975591857</v>
      </c>
      <c r="T164" s="33" t="n">
        <f aca="false">T163+(2/10)*(S164-T163)</f>
        <v>-0.570839280862092</v>
      </c>
      <c r="U164" s="33" t="n">
        <f aca="false">S164-T164</f>
        <v>-0.101790694729765</v>
      </c>
      <c r="V164" s="32" t="str">
        <f aca="false">IF(M164="","",IF(M164&lt;Assumptions!$B$5,"BUY",IF(M164&gt;Assumptions!$B$4,"SELL","HOLD")))</f>
        <v>HOLD</v>
      </c>
      <c r="W164" s="32" t="str">
        <f aca="false">IF(O164="","",IF(E164&gt;O164,"BUY","SELL"))</f>
        <v>SELL</v>
      </c>
      <c r="X164" s="32" t="str">
        <f aca="false">IF(T164="","",IF(S164&gt;T164,"BUY","SELL"))</f>
        <v>SELL</v>
      </c>
      <c r="Y164" s="34" t="n">
        <f aca="false">IF(OR(V164="",W164="",X164=""),"",IFERROR(IF(V164="BUY",1,IF(V164="SELL",-1,0))+IF(W164="BUY",1,IF(W164="SELL",-1,0))+IF(X164="BUY",1,IF(X164="SELL",-1,0)),0))</f>
        <v>-2</v>
      </c>
      <c r="Z164" s="32" t="str">
        <f aca="false">IF(Y164="","",IF(Y164&gt;=2,"STRONG BUY",IF(Y164=1,"BUY",IF(Y164=0,"HOLD",IF(Y164=-1,"SELL","STRONG SELL")))))</f>
        <v>STRONG SELL</v>
      </c>
    </row>
    <row r="165" customFormat="false" ht="15" hidden="false" customHeight="false" outlineLevel="0" collapsed="false">
      <c r="A165" s="24" t="n">
        <v>45999</v>
      </c>
      <c r="B165" s="25" t="n">
        <v>30.75</v>
      </c>
      <c r="C165" s="25" t="n">
        <v>31.2</v>
      </c>
      <c r="D165" s="25" t="n">
        <v>30.54</v>
      </c>
      <c r="E165" s="25" t="n">
        <v>30.87</v>
      </c>
      <c r="F165" s="26" t="n">
        <v>49442262</v>
      </c>
      <c r="G165" s="27" t="n">
        <f aca="false">E165-E164</f>
        <v>0.370000000000001</v>
      </c>
      <c r="H165" s="28" t="n">
        <f aca="false">G165/E164</f>
        <v>0.0121311475409836</v>
      </c>
      <c r="I165" s="29" t="n">
        <f aca="false">MAX(G165,0)</f>
        <v>0.370000000000001</v>
      </c>
      <c r="J165" s="29" t="n">
        <f aca="false">MAX(-G165,0)</f>
        <v>0</v>
      </c>
      <c r="K165" s="29" t="n">
        <f aca="false">(K164*13+I165)/14</f>
        <v>0.10623619030943</v>
      </c>
      <c r="L165" s="29" t="n">
        <f aca="false">(L164*13+J165)/14</f>
        <v>0.17227290087457</v>
      </c>
      <c r="M165" s="31" t="n">
        <f aca="false">IF(L165=0,100,100-100/(1+K165/MAX(L165,0.000001)))</f>
        <v>38.144604134033</v>
      </c>
      <c r="N165" s="30" t="n">
        <f aca="false">AVERAGE(E146:E165)</f>
        <v>31.6385</v>
      </c>
      <c r="O165" s="30" t="n">
        <f aca="false">AVERAGE(E116:E165)</f>
        <v>32.5326</v>
      </c>
      <c r="Q165" s="30" t="n">
        <f aca="false">Q164+(2/13)*(E165-Q164)</f>
        <v>31.0472983160188</v>
      </c>
      <c r="R165" s="30" t="n">
        <f aca="false">R164+(2/27)*(E165-R164)</f>
        <v>31.6868188417302</v>
      </c>
      <c r="S165" s="33" t="n">
        <f aca="false">Q165-R165</f>
        <v>-0.639520525711401</v>
      </c>
      <c r="T165" s="33" t="n">
        <f aca="false">T164+(2/10)*(S165-T164)</f>
        <v>-0.584575529831954</v>
      </c>
      <c r="U165" s="33" t="n">
        <f aca="false">S165-T165</f>
        <v>-0.0549449958794472</v>
      </c>
      <c r="V165" s="32" t="str">
        <f aca="false">IF(M165="","",IF(M165&lt;Assumptions!$B$5,"BUY",IF(M165&gt;Assumptions!$B$4,"SELL","HOLD")))</f>
        <v>HOLD</v>
      </c>
      <c r="W165" s="32" t="str">
        <f aca="false">IF(O165="","",IF(E165&gt;O165,"BUY","SELL"))</f>
        <v>SELL</v>
      </c>
      <c r="X165" s="32" t="str">
        <f aca="false">IF(T165="","",IF(S165&gt;T165,"BUY","SELL"))</f>
        <v>SELL</v>
      </c>
      <c r="Y165" s="34" t="n">
        <f aca="false">IF(OR(V165="",W165="",X165=""),"",IFERROR(IF(V165="BUY",1,IF(V165="SELL",-1,0))+IF(W165="BUY",1,IF(W165="SELL",-1,0))+IF(X165="BUY",1,IF(X165="SELL",-1,0)),0))</f>
        <v>-2</v>
      </c>
      <c r="Z165" s="32" t="str">
        <f aca="false">IF(Y165="","",IF(Y165&gt;=2,"STRONG BUY",IF(Y165=1,"BUY",IF(Y165=0,"HOLD",IF(Y165=-1,"SELL","STRONG SELL")))))</f>
        <v>STRONG SELL</v>
      </c>
    </row>
    <row r="166" customFormat="false" ht="15" hidden="false" customHeight="false" outlineLevel="0" collapsed="false">
      <c r="A166" s="24" t="n">
        <v>46000</v>
      </c>
      <c r="B166" s="25" t="n">
        <v>30.94</v>
      </c>
      <c r="C166" s="25" t="n">
        <v>30.96</v>
      </c>
      <c r="D166" s="25" t="n">
        <v>30.82</v>
      </c>
      <c r="E166" s="25" t="n">
        <v>30.89</v>
      </c>
      <c r="F166" s="26" t="n">
        <v>59099857</v>
      </c>
      <c r="G166" s="27" t="n">
        <f aca="false">E166-E165</f>
        <v>0.0199999999999996</v>
      </c>
      <c r="H166" s="28" t="n">
        <f aca="false">G166/E165</f>
        <v>0.000647878198898593</v>
      </c>
      <c r="I166" s="29" t="n">
        <f aca="false">MAX(G166,0)</f>
        <v>0.0199999999999996</v>
      </c>
      <c r="J166" s="29" t="n">
        <f aca="false">MAX(-G166,0)</f>
        <v>0</v>
      </c>
      <c r="K166" s="29" t="n">
        <f aca="false">(K165*13+I166)/14</f>
        <v>0.100076462430185</v>
      </c>
      <c r="L166" s="29" t="n">
        <f aca="false">(L165*13+J166)/14</f>
        <v>0.159967693669244</v>
      </c>
      <c r="M166" s="31" t="n">
        <f aca="false">IF(L166=0,100,100-100/(1+K166/MAX(L166,0.000001)))</f>
        <v>38.4844112366518</v>
      </c>
      <c r="N166" s="30" t="n">
        <f aca="false">AVERAGE(E147:E166)</f>
        <v>31.5675</v>
      </c>
      <c r="O166" s="30" t="n">
        <f aca="false">AVERAGE(E117:E166)</f>
        <v>32.4744</v>
      </c>
      <c r="Q166" s="30" t="n">
        <f aca="false">Q165+(2/13)*(E166-Q165)</f>
        <v>31.0230985750928</v>
      </c>
      <c r="R166" s="30" t="n">
        <f aca="false">R165+(2/27)*(E166-R165)</f>
        <v>31.6277952238243</v>
      </c>
      <c r="S166" s="33" t="n">
        <f aca="false">Q166-R166</f>
        <v>-0.60469664873143</v>
      </c>
      <c r="T166" s="33" t="n">
        <f aca="false">T165+(2/10)*(S166-T165)</f>
        <v>-0.588599753611849</v>
      </c>
      <c r="U166" s="33" t="n">
        <f aca="false">S166-T166</f>
        <v>-0.0160968951195812</v>
      </c>
      <c r="V166" s="32" t="str">
        <f aca="false">IF(M166="","",IF(M166&lt;Assumptions!$B$5,"BUY",IF(M166&gt;Assumptions!$B$4,"SELL","HOLD")))</f>
        <v>HOLD</v>
      </c>
      <c r="W166" s="32" t="str">
        <f aca="false">IF(O166="","",IF(E166&gt;O166,"BUY","SELL"))</f>
        <v>SELL</v>
      </c>
      <c r="X166" s="32" t="str">
        <f aca="false">IF(T166="","",IF(S166&gt;T166,"BUY","SELL"))</f>
        <v>SELL</v>
      </c>
      <c r="Y166" s="34" t="n">
        <f aca="false">IF(OR(V166="",W166="",X166=""),"",IFERROR(IF(V166="BUY",1,IF(V166="SELL",-1,0))+IF(W166="BUY",1,IF(W166="SELL",-1,0))+IF(X166="BUY",1,IF(X166="SELL",-1,0)),0))</f>
        <v>-2</v>
      </c>
      <c r="Z166" s="32" t="str">
        <f aca="false">IF(Y166="","",IF(Y166&gt;=2,"STRONG BUY",IF(Y166=1,"BUY",IF(Y166=0,"HOLD",IF(Y166=-1,"SELL","STRONG SELL")))))</f>
        <v>STRONG SELL</v>
      </c>
    </row>
    <row r="167" customFormat="false" ht="15" hidden="false" customHeight="false" outlineLevel="0" collapsed="false">
      <c r="A167" s="24" t="n">
        <v>46001</v>
      </c>
      <c r="B167" s="25" t="n">
        <v>31.07</v>
      </c>
      <c r="C167" s="25" t="n">
        <v>31.07</v>
      </c>
      <c r="D167" s="25" t="n">
        <v>30.83</v>
      </c>
      <c r="E167" s="25" t="n">
        <v>30.95</v>
      </c>
      <c r="F167" s="26" t="n">
        <v>35008085</v>
      </c>
      <c r="G167" s="27" t="n">
        <f aca="false">E167-E166</f>
        <v>0.0599999999999987</v>
      </c>
      <c r="H167" s="28" t="n">
        <f aca="false">G167/E166</f>
        <v>0.0019423761735189</v>
      </c>
      <c r="I167" s="29" t="n">
        <f aca="false">MAX(G167,0)</f>
        <v>0.0599999999999987</v>
      </c>
      <c r="J167" s="29" t="n">
        <f aca="false">MAX(-G167,0)</f>
        <v>0</v>
      </c>
      <c r="K167" s="29" t="n">
        <f aca="false">(K166*13+I167)/14</f>
        <v>0.0972138579708857</v>
      </c>
      <c r="L167" s="29" t="n">
        <f aca="false">(L166*13+J167)/14</f>
        <v>0.148541429835726</v>
      </c>
      <c r="M167" s="31" t="n">
        <f aca="false">IF(L167=0,100,100-100/(1+K167/MAX(L167,0.000001)))</f>
        <v>39.5571785407053</v>
      </c>
      <c r="N167" s="30" t="n">
        <f aca="false">AVERAGE(E148:E167)</f>
        <v>31.482</v>
      </c>
      <c r="O167" s="30" t="n">
        <f aca="false">AVERAGE(E118:E167)</f>
        <v>32.4028</v>
      </c>
      <c r="Q167" s="30" t="n">
        <f aca="false">Q166+(2/13)*(E167-Q166)</f>
        <v>31.0118526404632</v>
      </c>
      <c r="R167" s="30" t="n">
        <f aca="false">R166+(2/27)*(E167-R166)</f>
        <v>31.5775881702076</v>
      </c>
      <c r="S167" s="33" t="n">
        <f aca="false">Q167-R167</f>
        <v>-0.565735529744487</v>
      </c>
      <c r="T167" s="33" t="n">
        <f aca="false">T166+(2/10)*(S167-T166)</f>
        <v>-0.584026908838376</v>
      </c>
      <c r="U167" s="33" t="n">
        <f aca="false">S167-T167</f>
        <v>0.0182913790938898</v>
      </c>
      <c r="V167" s="32" t="str">
        <f aca="false">IF(M167="","",IF(M167&lt;Assumptions!$B$5,"BUY",IF(M167&gt;Assumptions!$B$4,"SELL","HOLD")))</f>
        <v>HOLD</v>
      </c>
      <c r="W167" s="32" t="str">
        <f aca="false">IF(O167="","",IF(E167&gt;O167,"BUY","SELL"))</f>
        <v>SELL</v>
      </c>
      <c r="X167" s="32" t="str">
        <f aca="false">IF(T167="","",IF(S167&gt;T167,"BUY","SELL"))</f>
        <v>BUY</v>
      </c>
      <c r="Y167" s="34" t="n">
        <f aca="false">IF(OR(V167="",W167="",X167=""),"",IFERROR(IF(V167="BUY",1,IF(V167="SELL",-1,0))+IF(W167="BUY",1,IF(W167="SELL",-1,0))+IF(X167="BUY",1,IF(X167="SELL",-1,0)),0))</f>
        <v>0</v>
      </c>
      <c r="Z167" s="32" t="str">
        <f aca="false">IF(Y167="","",IF(Y167&gt;=2,"STRONG BUY",IF(Y167=1,"BUY",IF(Y167=0,"HOLD",IF(Y167=-1,"SELL","STRONG SELL")))))</f>
        <v>HOLD</v>
      </c>
    </row>
    <row r="168" customFormat="false" ht="15" hidden="false" customHeight="false" outlineLevel="0" collapsed="false">
      <c r="A168" s="24" t="n">
        <v>46002</v>
      </c>
      <c r="B168" s="25" t="n">
        <v>31.21</v>
      </c>
      <c r="C168" s="25" t="n">
        <v>31.21</v>
      </c>
      <c r="D168" s="25" t="n">
        <v>31.15</v>
      </c>
      <c r="E168" s="25" t="n">
        <v>31.18</v>
      </c>
      <c r="F168" s="26" t="n">
        <v>84185163</v>
      </c>
      <c r="G168" s="27" t="n">
        <f aca="false">E168-E167</f>
        <v>0.23</v>
      </c>
      <c r="H168" s="28" t="n">
        <f aca="false">G168/E167</f>
        <v>0.00743134087237481</v>
      </c>
      <c r="I168" s="29" t="n">
        <f aca="false">MAX(G168,0)</f>
        <v>0.23</v>
      </c>
      <c r="J168" s="29" t="n">
        <f aca="false">MAX(-G168,0)</f>
        <v>0</v>
      </c>
      <c r="K168" s="29" t="n">
        <f aca="false">(K167*13+I168)/14</f>
        <v>0.106698582401537</v>
      </c>
      <c r="L168" s="29" t="n">
        <f aca="false">(L167*13+J168)/14</f>
        <v>0.137931327704603</v>
      </c>
      <c r="M168" s="31" t="n">
        <f aca="false">IF(L168=0,100,100-100/(1+K168/MAX(L168,0.000001)))</f>
        <v>43.6163273555726</v>
      </c>
      <c r="N168" s="30" t="n">
        <f aca="false">AVERAGE(E149:E168)</f>
        <v>31.381</v>
      </c>
      <c r="O168" s="30" t="n">
        <f aca="false">AVERAGE(E119:E168)</f>
        <v>32.357</v>
      </c>
      <c r="Q168" s="30" t="n">
        <f aca="false">Q167+(2/13)*(E168-Q167)</f>
        <v>31.0377214650073</v>
      </c>
      <c r="R168" s="30" t="n">
        <f aca="false">R167+(2/27)*(E168-R167)</f>
        <v>31.5481371946367</v>
      </c>
      <c r="S168" s="33" t="n">
        <f aca="false">Q168-R168</f>
        <v>-0.510415729629422</v>
      </c>
      <c r="T168" s="33" t="n">
        <f aca="false">T167+(2/10)*(S168-T167)</f>
        <v>-0.569304672996586</v>
      </c>
      <c r="U168" s="33" t="n">
        <f aca="false">S168-T168</f>
        <v>0.0588889433671637</v>
      </c>
      <c r="V168" s="32" t="str">
        <f aca="false">IF(M168="","",IF(M168&lt;Assumptions!$B$5,"BUY",IF(M168&gt;Assumptions!$B$4,"SELL","HOLD")))</f>
        <v>HOLD</v>
      </c>
      <c r="W168" s="32" t="str">
        <f aca="false">IF(O168="","",IF(E168&gt;O168,"BUY","SELL"))</f>
        <v>SELL</v>
      </c>
      <c r="X168" s="32" t="str">
        <f aca="false">IF(T168="","",IF(S168&gt;T168,"BUY","SELL"))</f>
        <v>BUY</v>
      </c>
      <c r="Y168" s="34" t="n">
        <f aca="false">IF(OR(V168="",W168="",X168=""),"",IFERROR(IF(V168="BUY",1,IF(V168="SELL",-1,0))+IF(W168="BUY",1,IF(W168="SELL",-1,0))+IF(X168="BUY",1,IF(X168="SELL",-1,0)),0))</f>
        <v>0</v>
      </c>
      <c r="Z168" s="32" t="str">
        <f aca="false">IF(Y168="","",IF(Y168&gt;=2,"STRONG BUY",IF(Y168=1,"BUY",IF(Y168=0,"HOLD",IF(Y168=-1,"SELL","STRONG SELL")))))</f>
        <v>HOLD</v>
      </c>
    </row>
    <row r="169" customFormat="false" ht="15" hidden="false" customHeight="false" outlineLevel="0" collapsed="false">
      <c r="A169" s="24" t="n">
        <v>46003</v>
      </c>
      <c r="B169" s="25" t="n">
        <v>31.27</v>
      </c>
      <c r="C169" s="25" t="n">
        <v>31.27</v>
      </c>
      <c r="D169" s="25" t="n">
        <v>31.07</v>
      </c>
      <c r="E169" s="25" t="n">
        <v>31.17</v>
      </c>
      <c r="F169" s="26" t="n">
        <v>53850729</v>
      </c>
      <c r="G169" s="27" t="n">
        <f aca="false">E169-E168</f>
        <v>-0.00999999999999801</v>
      </c>
      <c r="H169" s="28" t="n">
        <f aca="false">G169/E168</f>
        <v>-0.000320718409236626</v>
      </c>
      <c r="I169" s="29" t="n">
        <f aca="false">MAX(G169,0)</f>
        <v>0</v>
      </c>
      <c r="J169" s="29" t="n">
        <f aca="false">MAX(-G169,0)</f>
        <v>0.00999999999999801</v>
      </c>
      <c r="K169" s="29" t="n">
        <f aca="false">(K168*13+I169)/14</f>
        <v>0.0990772550871413</v>
      </c>
      <c r="L169" s="29" t="n">
        <f aca="false">(L168*13+J169)/14</f>
        <v>0.128793375725703</v>
      </c>
      <c r="M169" s="31" t="n">
        <f aca="false">IF(L169=0,100,100-100/(1+K169/MAX(L169,0.000001)))</f>
        <v>43.4796071497761</v>
      </c>
      <c r="N169" s="30" t="n">
        <f aca="false">AVERAGE(E150:E169)</f>
        <v>31.288</v>
      </c>
      <c r="O169" s="30" t="n">
        <f aca="false">AVERAGE(E120:E169)</f>
        <v>32.3056</v>
      </c>
      <c r="Q169" s="30" t="n">
        <f aca="false">Q168+(2/13)*(E169-Q168)</f>
        <v>31.0580720088523</v>
      </c>
      <c r="R169" s="30" t="n">
        <f aca="false">R168+(2/27)*(E169-R168)</f>
        <v>31.520127032071</v>
      </c>
      <c r="S169" s="33" t="n">
        <f aca="false">Q169-R169</f>
        <v>-0.462055023218706</v>
      </c>
      <c r="T169" s="33" t="n">
        <f aca="false">T168+(2/10)*(S169-T168)</f>
        <v>-0.54785474304101</v>
      </c>
      <c r="U169" s="33" t="n">
        <f aca="false">S169-T169</f>
        <v>0.0857997198223033</v>
      </c>
      <c r="V169" s="32" t="str">
        <f aca="false">IF(M169="","",IF(M169&lt;Assumptions!$B$5,"BUY",IF(M169&gt;Assumptions!$B$4,"SELL","HOLD")))</f>
        <v>HOLD</v>
      </c>
      <c r="W169" s="32" t="str">
        <f aca="false">IF(O169="","",IF(E169&gt;O169,"BUY","SELL"))</f>
        <v>SELL</v>
      </c>
      <c r="X169" s="32" t="str">
        <f aca="false">IF(T169="","",IF(S169&gt;T169,"BUY","SELL"))</f>
        <v>BUY</v>
      </c>
      <c r="Y169" s="34" t="n">
        <f aca="false">IF(OR(V169="",W169="",X169=""),"",IFERROR(IF(V169="BUY",1,IF(V169="SELL",-1,0))+IF(W169="BUY",1,IF(W169="SELL",-1,0))+IF(X169="BUY",1,IF(X169="SELL",-1,0)),0))</f>
        <v>0</v>
      </c>
      <c r="Z169" s="32" t="str">
        <f aca="false">IF(Y169="","",IF(Y169&gt;=2,"STRONG BUY",IF(Y169=1,"BUY",IF(Y169=0,"HOLD",IF(Y169=-1,"SELL","STRONG SELL")))))</f>
        <v>HOLD</v>
      </c>
    </row>
    <row r="170" customFormat="false" ht="15" hidden="false" customHeight="false" outlineLevel="0" collapsed="false">
      <c r="A170" s="24" t="n">
        <v>46006</v>
      </c>
      <c r="B170" s="25" t="n">
        <v>31.44</v>
      </c>
      <c r="C170" s="25" t="n">
        <v>31.86</v>
      </c>
      <c r="D170" s="25" t="n">
        <v>31.26</v>
      </c>
      <c r="E170" s="25" t="n">
        <v>31.56</v>
      </c>
      <c r="F170" s="26" t="n">
        <v>28916511</v>
      </c>
      <c r="G170" s="27" t="n">
        <f aca="false">E170-E169</f>
        <v>0.389999999999997</v>
      </c>
      <c r="H170" s="28" t="n">
        <f aca="false">G170/E169</f>
        <v>0.0125120307988449</v>
      </c>
      <c r="I170" s="29" t="n">
        <f aca="false">MAX(G170,0)</f>
        <v>0.389999999999997</v>
      </c>
      <c r="J170" s="29" t="n">
        <f aca="false">MAX(-G170,0)</f>
        <v>0</v>
      </c>
      <c r="K170" s="29" t="n">
        <f aca="false">(K169*13+I170)/14</f>
        <v>0.119857451152345</v>
      </c>
      <c r="L170" s="29" t="n">
        <f aca="false">(L169*13+J170)/14</f>
        <v>0.119593848888152</v>
      </c>
      <c r="M170" s="31" t="n">
        <f aca="false">IF(L170=0,100,100-100/(1+K170/MAX(L170,0.000001)))</f>
        <v>50.0550429803781</v>
      </c>
      <c r="N170" s="30" t="n">
        <f aca="false">AVERAGE(E151:E170)</f>
        <v>31.2305</v>
      </c>
      <c r="O170" s="30" t="n">
        <f aca="false">AVERAGE(E121:E170)</f>
        <v>32.2736</v>
      </c>
      <c r="Q170" s="30" t="n">
        <f aca="false">Q169+(2/13)*(E170-Q169)</f>
        <v>31.1352916997981</v>
      </c>
      <c r="R170" s="30" t="n">
        <f aca="false">R169+(2/27)*(E170-R169)</f>
        <v>31.523080585251</v>
      </c>
      <c r="S170" s="33" t="n">
        <f aca="false">Q170-R170</f>
        <v>-0.387788885452835</v>
      </c>
      <c r="T170" s="33" t="n">
        <f aca="false">T169+(2/10)*(S170-T169)</f>
        <v>-0.515841571523375</v>
      </c>
      <c r="U170" s="33" t="n">
        <f aca="false">S170-T170</f>
        <v>0.12805268607054</v>
      </c>
      <c r="V170" s="32" t="str">
        <f aca="false">IF(M170="","",IF(M170&lt;Assumptions!$B$5,"BUY",IF(M170&gt;Assumptions!$B$4,"SELL","HOLD")))</f>
        <v>HOLD</v>
      </c>
      <c r="W170" s="32" t="str">
        <f aca="false">IF(O170="","",IF(E170&gt;O170,"BUY","SELL"))</f>
        <v>SELL</v>
      </c>
      <c r="X170" s="32" t="str">
        <f aca="false">IF(T170="","",IF(S170&gt;T170,"BUY","SELL"))</f>
        <v>BUY</v>
      </c>
      <c r="Y170" s="34" t="n">
        <f aca="false">IF(OR(V170="",W170="",X170=""),"",IFERROR(IF(V170="BUY",1,IF(V170="SELL",-1,0))+IF(W170="BUY",1,IF(W170="SELL",-1,0))+IF(X170="BUY",1,IF(X170="SELL",-1,0)),0))</f>
        <v>0</v>
      </c>
      <c r="Z170" s="32" t="str">
        <f aca="false">IF(Y170="","",IF(Y170&gt;=2,"STRONG BUY",IF(Y170=1,"BUY",IF(Y170=0,"HOLD",IF(Y170=-1,"SELL","STRONG SELL")))))</f>
        <v>HOLD</v>
      </c>
    </row>
    <row r="171" customFormat="false" ht="15" hidden="false" customHeight="false" outlineLevel="0" collapsed="false">
      <c r="A171" s="24" t="n">
        <v>46007</v>
      </c>
      <c r="B171" s="25" t="n">
        <v>32.25</v>
      </c>
      <c r="C171" s="25" t="n">
        <v>32.4</v>
      </c>
      <c r="D171" s="25" t="n">
        <v>32.2</v>
      </c>
      <c r="E171" s="25" t="n">
        <v>32.3</v>
      </c>
      <c r="F171" s="26" t="n">
        <v>50489103</v>
      </c>
      <c r="G171" s="27" t="n">
        <f aca="false">E171-E170</f>
        <v>0.739999999999998</v>
      </c>
      <c r="H171" s="28" t="n">
        <f aca="false">G171/E170</f>
        <v>0.0234474017743979</v>
      </c>
      <c r="I171" s="29" t="n">
        <f aca="false">MAX(G171,0)</f>
        <v>0.739999999999998</v>
      </c>
      <c r="J171" s="29" t="n">
        <f aca="false">MAX(-G171,0)</f>
        <v>0</v>
      </c>
      <c r="K171" s="29" t="n">
        <f aca="false">(K170*13+I171)/14</f>
        <v>0.164153347498606</v>
      </c>
      <c r="L171" s="29" t="n">
        <f aca="false">(L170*13+J171)/14</f>
        <v>0.111051431110427</v>
      </c>
      <c r="M171" s="31" t="n">
        <f aca="false">IF(L171=0,100,100-100/(1+K171/MAX(L171,0.000001)))</f>
        <v>59.6477097266573</v>
      </c>
      <c r="N171" s="30" t="n">
        <f aca="false">AVERAGE(E152:E171)</f>
        <v>31.2235</v>
      </c>
      <c r="O171" s="30" t="n">
        <f aca="false">AVERAGE(E122:E171)</f>
        <v>32.2576</v>
      </c>
      <c r="Q171" s="30" t="n">
        <f aca="false">Q170+(2/13)*(E171-Q170)</f>
        <v>31.3144775921369</v>
      </c>
      <c r="R171" s="30" t="n">
        <f aca="false">R170+(2/27)*(E171-R170)</f>
        <v>31.5806301715287</v>
      </c>
      <c r="S171" s="33" t="n">
        <f aca="false">Q171-R171</f>
        <v>-0.26615257939179</v>
      </c>
      <c r="T171" s="33" t="n">
        <f aca="false">T170+(2/10)*(S171-T170)</f>
        <v>-0.465903773097058</v>
      </c>
      <c r="U171" s="33" t="n">
        <f aca="false">S171-T171</f>
        <v>0.199751193705268</v>
      </c>
      <c r="V171" s="32" t="str">
        <f aca="false">IF(M171="","",IF(M171&lt;Assumptions!$B$5,"BUY",IF(M171&gt;Assumptions!$B$4,"SELL","HOLD")))</f>
        <v>HOLD</v>
      </c>
      <c r="W171" s="32" t="str">
        <f aca="false">IF(O171="","",IF(E171&gt;O171,"BUY","SELL"))</f>
        <v>BUY</v>
      </c>
      <c r="X171" s="32" t="str">
        <f aca="false">IF(T171="","",IF(S171&gt;T171,"BUY","SELL"))</f>
        <v>BUY</v>
      </c>
      <c r="Y171" s="34" t="n">
        <f aca="false">IF(OR(V171="",W171="",X171=""),"",IFERROR(IF(V171="BUY",1,IF(V171="SELL",-1,0))+IF(W171="BUY",1,IF(W171="SELL",-1,0))+IF(X171="BUY",1,IF(X171="SELL",-1,0)),0))</f>
        <v>2</v>
      </c>
      <c r="Z171" s="32" t="str">
        <f aca="false">IF(Y171="","",IF(Y171&gt;=2,"STRONG BUY",IF(Y171=1,"BUY",IF(Y171=0,"HOLD",IF(Y171=-1,"SELL","STRONG SELL")))))</f>
        <v>STRONG BUY</v>
      </c>
    </row>
    <row r="172" customFormat="false" ht="15" hidden="false" customHeight="false" outlineLevel="0" collapsed="false">
      <c r="A172" s="24" t="n">
        <v>46008</v>
      </c>
      <c r="B172" s="25" t="n">
        <v>32.39</v>
      </c>
      <c r="C172" s="25" t="n">
        <v>32.59</v>
      </c>
      <c r="D172" s="25" t="n">
        <v>32.09</v>
      </c>
      <c r="E172" s="25" t="n">
        <v>32.34</v>
      </c>
      <c r="F172" s="26" t="n">
        <v>96428596</v>
      </c>
      <c r="G172" s="27" t="n">
        <f aca="false">E172-E171</f>
        <v>0.0400000000000063</v>
      </c>
      <c r="H172" s="28" t="n">
        <f aca="false">G172/E171</f>
        <v>0.00123839009287945</v>
      </c>
      <c r="I172" s="29" t="n">
        <f aca="false">MAX(G172,0)</f>
        <v>0.0400000000000063</v>
      </c>
      <c r="J172" s="29" t="n">
        <f aca="false">MAX(-G172,0)</f>
        <v>0</v>
      </c>
      <c r="K172" s="29" t="n">
        <f aca="false">(K171*13+I172)/14</f>
        <v>0.155285251248706</v>
      </c>
      <c r="L172" s="29" t="n">
        <f aca="false">(L171*13+J172)/14</f>
        <v>0.103119186031111</v>
      </c>
      <c r="M172" s="31" t="n">
        <f aca="false">IF(L172=0,100,100-100/(1+K172/MAX(L172,0.000001)))</f>
        <v>60.0938795337145</v>
      </c>
      <c r="N172" s="30" t="n">
        <f aca="false">AVERAGE(E153:E172)</f>
        <v>31.2405</v>
      </c>
      <c r="O172" s="30" t="n">
        <f aca="false">AVERAGE(E123:E172)</f>
        <v>32.244</v>
      </c>
      <c r="Q172" s="30" t="n">
        <f aca="false">Q171+(2/13)*(E172-Q171)</f>
        <v>31.4722502702697</v>
      </c>
      <c r="R172" s="30" t="n">
        <f aca="false">R171+(2/27)*(E172-R171)</f>
        <v>31.6368797884525</v>
      </c>
      <c r="S172" s="33" t="n">
        <f aca="false">Q172-R172</f>
        <v>-0.164629518182803</v>
      </c>
      <c r="T172" s="33" t="n">
        <f aca="false">T171+(2/10)*(S172-T171)</f>
        <v>-0.405648922114207</v>
      </c>
      <c r="U172" s="33" t="n">
        <f aca="false">S172-T172</f>
        <v>0.241019403931404</v>
      </c>
      <c r="V172" s="32" t="str">
        <f aca="false">IF(M172="","",IF(M172&lt;Assumptions!$B$5,"BUY",IF(M172&gt;Assumptions!$B$4,"SELL","HOLD")))</f>
        <v>HOLD</v>
      </c>
      <c r="W172" s="32" t="str">
        <f aca="false">IF(O172="","",IF(E172&gt;O172,"BUY","SELL"))</f>
        <v>BUY</v>
      </c>
      <c r="X172" s="32" t="str">
        <f aca="false">IF(T172="","",IF(S172&gt;T172,"BUY","SELL"))</f>
        <v>BUY</v>
      </c>
      <c r="Y172" s="34" t="n">
        <f aca="false">IF(OR(V172="",W172="",X172=""),"",IFERROR(IF(V172="BUY",1,IF(V172="SELL",-1,0))+IF(W172="BUY",1,IF(W172="SELL",-1,0))+IF(X172="BUY",1,IF(X172="SELL",-1,0)),0))</f>
        <v>2</v>
      </c>
      <c r="Z172" s="32" t="str">
        <f aca="false">IF(Y172="","",IF(Y172&gt;=2,"STRONG BUY",IF(Y172=1,"BUY",IF(Y172=0,"HOLD",IF(Y172=-1,"SELL","STRONG SELL")))))</f>
        <v>STRONG BUY</v>
      </c>
    </row>
    <row r="173" customFormat="false" ht="15" hidden="false" customHeight="false" outlineLevel="0" collapsed="false">
      <c r="A173" s="24" t="n">
        <v>46009</v>
      </c>
      <c r="B173" s="25" t="n">
        <v>32.59</v>
      </c>
      <c r="C173" s="25" t="n">
        <v>32.59</v>
      </c>
      <c r="D173" s="25" t="n">
        <v>32.49</v>
      </c>
      <c r="E173" s="25" t="n">
        <v>32.54</v>
      </c>
      <c r="F173" s="26" t="n">
        <v>57252204</v>
      </c>
      <c r="G173" s="27" t="n">
        <f aca="false">E173-E172</f>
        <v>0.199999999999996</v>
      </c>
      <c r="H173" s="28" t="n">
        <f aca="false">G173/E172</f>
        <v>0.00618429189857748</v>
      </c>
      <c r="I173" s="29" t="n">
        <f aca="false">MAX(G173,0)</f>
        <v>0.199999999999996</v>
      </c>
      <c r="J173" s="29" t="n">
        <f aca="false">MAX(-G173,0)</f>
        <v>0</v>
      </c>
      <c r="K173" s="29" t="n">
        <f aca="false">(K172*13+I173)/14</f>
        <v>0.158479161873798</v>
      </c>
      <c r="L173" s="29" t="n">
        <f aca="false">(L172*13+J173)/14</f>
        <v>0.0957535298860317</v>
      </c>
      <c r="M173" s="31" t="n">
        <f aca="false">IF(L173=0,100,100-100/(1+K173/MAX(L173,0.000001)))</f>
        <v>62.336263985873</v>
      </c>
      <c r="N173" s="30" t="n">
        <f aca="false">AVERAGE(E154:E173)</f>
        <v>31.284</v>
      </c>
      <c r="O173" s="30" t="n">
        <f aca="false">AVERAGE(E124:E173)</f>
        <v>32.2184</v>
      </c>
      <c r="Q173" s="30" t="n">
        <f aca="false">Q172+(2/13)*(E173-Q172)</f>
        <v>31.6365194594589</v>
      </c>
      <c r="R173" s="30" t="n">
        <f aca="false">R172+(2/27)*(E173-R172)</f>
        <v>31.7037775819004</v>
      </c>
      <c r="S173" s="33" t="n">
        <f aca="false">Q173-R173</f>
        <v>-0.0672581224414834</v>
      </c>
      <c r="T173" s="33" t="n">
        <f aca="false">T172+(2/10)*(S173-T172)</f>
        <v>-0.337970762179662</v>
      </c>
      <c r="U173" s="33" t="n">
        <f aca="false">S173-T173</f>
        <v>0.270712639738179</v>
      </c>
      <c r="V173" s="32" t="str">
        <f aca="false">IF(M173="","",IF(M173&lt;Assumptions!$B$5,"BUY",IF(M173&gt;Assumptions!$B$4,"SELL","HOLD")))</f>
        <v>HOLD</v>
      </c>
      <c r="W173" s="32" t="str">
        <f aca="false">IF(O173="","",IF(E173&gt;O173,"BUY","SELL"))</f>
        <v>BUY</v>
      </c>
      <c r="X173" s="32" t="str">
        <f aca="false">IF(T173="","",IF(S173&gt;T173,"BUY","SELL"))</f>
        <v>BUY</v>
      </c>
      <c r="Y173" s="34" t="n">
        <f aca="false">IF(OR(V173="",W173="",X173=""),"",IFERROR(IF(V173="BUY",1,IF(V173="SELL",-1,0))+IF(W173="BUY",1,IF(W173="SELL",-1,0))+IF(X173="BUY",1,IF(X173="SELL",-1,0)),0))</f>
        <v>2</v>
      </c>
      <c r="Z173" s="32" t="str">
        <f aca="false">IF(Y173="","",IF(Y173&gt;=2,"STRONG BUY",IF(Y173=1,"BUY",IF(Y173=0,"HOLD",IF(Y173=-1,"SELL","STRONG SELL")))))</f>
        <v>STRONG BUY</v>
      </c>
    </row>
    <row r="174" customFormat="false" ht="15" hidden="false" customHeight="false" outlineLevel="0" collapsed="false">
      <c r="A174" s="24" t="n">
        <v>46010</v>
      </c>
      <c r="B174" s="25" t="n">
        <v>32.89</v>
      </c>
      <c r="C174" s="25" t="n">
        <v>33.24</v>
      </c>
      <c r="D174" s="25" t="n">
        <v>32.64</v>
      </c>
      <c r="E174" s="25" t="n">
        <v>32.94</v>
      </c>
      <c r="F174" s="26" t="n">
        <v>64792012</v>
      </c>
      <c r="G174" s="27" t="n">
        <f aca="false">E174-E173</f>
        <v>0.399999999999999</v>
      </c>
      <c r="H174" s="28" t="n">
        <f aca="false">G174/E173</f>
        <v>0.0122925629993853</v>
      </c>
      <c r="I174" s="29" t="n">
        <f aca="false">MAX(G174,0)</f>
        <v>0.399999999999999</v>
      </c>
      <c r="J174" s="29" t="n">
        <f aca="false">MAX(-G174,0)</f>
        <v>0</v>
      </c>
      <c r="K174" s="29" t="n">
        <f aca="false">(K173*13+I174)/14</f>
        <v>0.175730650311384</v>
      </c>
      <c r="L174" s="29" t="n">
        <f aca="false">(L173*13+J174)/14</f>
        <v>0.0889139920370294</v>
      </c>
      <c r="M174" s="31" t="n">
        <f aca="false">IF(L174=0,100,100-100/(1+K174/MAX(L174,0.000001)))</f>
        <v>66.4024968546421</v>
      </c>
      <c r="N174" s="30" t="n">
        <f aca="false">AVERAGE(E155:E174)</f>
        <v>31.341</v>
      </c>
      <c r="O174" s="30" t="n">
        <f aca="false">AVERAGE(E125:E174)</f>
        <v>32.2084</v>
      </c>
      <c r="Q174" s="30" t="n">
        <f aca="false">Q173+(2/13)*(E174-Q173)</f>
        <v>31.8370549272345</v>
      </c>
      <c r="R174" s="30" t="n">
        <f aca="false">R173+(2/27)*(E174-R173)</f>
        <v>31.7953496128708</v>
      </c>
      <c r="S174" s="33" t="n">
        <f aca="false">Q174-R174</f>
        <v>0.0417053143637247</v>
      </c>
      <c r="T174" s="33" t="n">
        <f aca="false">T173+(2/10)*(S174-T173)</f>
        <v>-0.262035546870985</v>
      </c>
      <c r="U174" s="33" t="n">
        <f aca="false">S174-T174</f>
        <v>0.303740861234709</v>
      </c>
      <c r="V174" s="32" t="str">
        <f aca="false">IF(M174="","",IF(M174&lt;Assumptions!$B$5,"BUY",IF(M174&gt;Assumptions!$B$4,"SELL","HOLD")))</f>
        <v>HOLD</v>
      </c>
      <c r="W174" s="32" t="str">
        <f aca="false">IF(O174="","",IF(E174&gt;O174,"BUY","SELL"))</f>
        <v>BUY</v>
      </c>
      <c r="X174" s="32" t="str">
        <f aca="false">IF(T174="","",IF(S174&gt;T174,"BUY","SELL"))</f>
        <v>BUY</v>
      </c>
      <c r="Y174" s="34" t="n">
        <f aca="false">IF(OR(V174="",W174="",X174=""),"",IFERROR(IF(V174="BUY",1,IF(V174="SELL",-1,0))+IF(W174="BUY",1,IF(W174="SELL",-1,0))+IF(X174="BUY",1,IF(X174="SELL",-1,0)),0))</f>
        <v>2</v>
      </c>
      <c r="Z174" s="32" t="str">
        <f aca="false">IF(Y174="","",IF(Y174&gt;=2,"STRONG BUY",IF(Y174=1,"BUY",IF(Y174=0,"HOLD",IF(Y174=-1,"SELL","STRONG SELL")))))</f>
        <v>STRONG BUY</v>
      </c>
    </row>
    <row r="175" customFormat="false" ht="15" hidden="false" customHeight="false" outlineLevel="0" collapsed="false">
      <c r="A175" s="24" t="n">
        <v>46013</v>
      </c>
      <c r="B175" s="25" t="n">
        <v>32.7</v>
      </c>
      <c r="C175" s="25" t="n">
        <v>33.11</v>
      </c>
      <c r="D175" s="25" t="n">
        <v>32.47</v>
      </c>
      <c r="E175" s="25" t="n">
        <v>32.79</v>
      </c>
      <c r="F175" s="26" t="n">
        <v>48689745</v>
      </c>
      <c r="G175" s="27" t="n">
        <f aca="false">E175-E174</f>
        <v>-0.149999999999999</v>
      </c>
      <c r="H175" s="28" t="n">
        <f aca="false">G175/E174</f>
        <v>-0.00455373406193074</v>
      </c>
      <c r="I175" s="29" t="n">
        <f aca="false">MAX(G175,0)</f>
        <v>0</v>
      </c>
      <c r="J175" s="29" t="n">
        <f aca="false">MAX(-G175,0)</f>
        <v>0.149999999999999</v>
      </c>
      <c r="K175" s="29" t="n">
        <f aca="false">(K174*13+I175)/14</f>
        <v>0.163178461003428</v>
      </c>
      <c r="L175" s="29" t="n">
        <f aca="false">(L174*13+J175)/14</f>
        <v>0.0932772783200986</v>
      </c>
      <c r="M175" s="31" t="n">
        <f aca="false">IF(L175=0,100,100-100/(1+K175/MAX(L175,0.000001)))</f>
        <v>63.6283131872411</v>
      </c>
      <c r="N175" s="30" t="n">
        <f aca="false">AVERAGE(E156:E175)</f>
        <v>31.39</v>
      </c>
      <c r="O175" s="30" t="n">
        <f aca="false">AVERAGE(E126:E175)</f>
        <v>32.196</v>
      </c>
      <c r="Q175" s="30" t="n">
        <f aca="false">Q174+(2/13)*(E175-Q174)</f>
        <v>31.9836618615061</v>
      </c>
      <c r="R175" s="30" t="n">
        <f aca="false">R174+(2/27)*(E175-R174)</f>
        <v>31.8690274193248</v>
      </c>
      <c r="S175" s="33" t="n">
        <f aca="false">Q175-R175</f>
        <v>0.114634442181323</v>
      </c>
      <c r="T175" s="33" t="n">
        <f aca="false">T174+(2/10)*(S175-T174)</f>
        <v>-0.186701549060523</v>
      </c>
      <c r="U175" s="33" t="n">
        <f aca="false">S175-T175</f>
        <v>0.301335991241846</v>
      </c>
      <c r="V175" s="32" t="str">
        <f aca="false">IF(M175="","",IF(M175&lt;Assumptions!$B$5,"BUY",IF(M175&gt;Assumptions!$B$4,"SELL","HOLD")))</f>
        <v>HOLD</v>
      </c>
      <c r="W175" s="32" t="str">
        <f aca="false">IF(O175="","",IF(E175&gt;O175,"BUY","SELL"))</f>
        <v>BUY</v>
      </c>
      <c r="X175" s="32" t="str">
        <f aca="false">IF(T175="","",IF(S175&gt;T175,"BUY","SELL"))</f>
        <v>BUY</v>
      </c>
      <c r="Y175" s="34" t="n">
        <f aca="false">IF(OR(V175="",W175="",X175=""),"",IFERROR(IF(V175="BUY",1,IF(V175="SELL",-1,0))+IF(W175="BUY",1,IF(W175="SELL",-1,0))+IF(X175="BUY",1,IF(X175="SELL",-1,0)),0))</f>
        <v>2</v>
      </c>
      <c r="Z175" s="32" t="str">
        <f aca="false">IF(Y175="","",IF(Y175&gt;=2,"STRONG BUY",IF(Y175=1,"BUY",IF(Y175=0,"HOLD",IF(Y175=-1,"SELL","STRONG SELL")))))</f>
        <v>STRONG BUY</v>
      </c>
    </row>
    <row r="176" customFormat="false" ht="15" hidden="false" customHeight="false" outlineLevel="0" collapsed="false">
      <c r="A176" s="24" t="n">
        <v>46014</v>
      </c>
      <c r="B176" s="25" t="n">
        <v>32.22</v>
      </c>
      <c r="C176" s="25" t="n">
        <v>32.38</v>
      </c>
      <c r="D176" s="25" t="n">
        <v>32.18</v>
      </c>
      <c r="E176" s="25" t="n">
        <v>32.28</v>
      </c>
      <c r="F176" s="26" t="n">
        <v>34683228</v>
      </c>
      <c r="G176" s="27" t="n">
        <f aca="false">E176-E175</f>
        <v>-0.509999999999998</v>
      </c>
      <c r="H176" s="28" t="n">
        <f aca="false">G176/E175</f>
        <v>-0.0155535224153705</v>
      </c>
      <c r="I176" s="29" t="n">
        <f aca="false">MAX(G176,0)</f>
        <v>0</v>
      </c>
      <c r="J176" s="29" t="n">
        <f aca="false">MAX(-G176,0)</f>
        <v>0.509999999999998</v>
      </c>
      <c r="K176" s="29" t="n">
        <f aca="false">(K175*13+I176)/14</f>
        <v>0.15152285664604</v>
      </c>
      <c r="L176" s="29" t="n">
        <f aca="false">(L175*13+J176)/14</f>
        <v>0.12304318701152</v>
      </c>
      <c r="M176" s="31" t="n">
        <f aca="false">IF(L176=0,100,100-100/(1+K176/MAX(L176,0.000001)))</f>
        <v>55.1863058619951</v>
      </c>
      <c r="N176" s="30" t="n">
        <f aca="false">AVERAGE(E157:E176)</f>
        <v>31.424</v>
      </c>
      <c r="O176" s="30" t="n">
        <f aca="false">AVERAGE(E127:E176)</f>
        <v>32.1674</v>
      </c>
      <c r="Q176" s="30" t="n">
        <f aca="false">Q175+(2/13)*(E176-Q175)</f>
        <v>32.0292523443513</v>
      </c>
      <c r="R176" s="30" t="n">
        <f aca="false">R175+(2/27)*(E176-R175)</f>
        <v>31.8994698327081</v>
      </c>
      <c r="S176" s="33" t="n">
        <f aca="false">Q176-R176</f>
        <v>0.129782511643189</v>
      </c>
      <c r="T176" s="33" t="n">
        <f aca="false">T175+(2/10)*(S176-T175)</f>
        <v>-0.123404736919781</v>
      </c>
      <c r="U176" s="33" t="n">
        <f aca="false">S176-T176</f>
        <v>0.25318724856297</v>
      </c>
      <c r="V176" s="32" t="str">
        <f aca="false">IF(M176="","",IF(M176&lt;Assumptions!$B$5,"BUY",IF(M176&gt;Assumptions!$B$4,"SELL","HOLD")))</f>
        <v>HOLD</v>
      </c>
      <c r="W176" s="32" t="str">
        <f aca="false">IF(O176="","",IF(E176&gt;O176,"BUY","SELL"))</f>
        <v>BUY</v>
      </c>
      <c r="X176" s="32" t="str">
        <f aca="false">IF(T176="","",IF(S176&gt;T176,"BUY","SELL"))</f>
        <v>BUY</v>
      </c>
      <c r="Y176" s="34" t="n">
        <f aca="false">IF(OR(V176="",W176="",X176=""),"",IFERROR(IF(V176="BUY",1,IF(V176="SELL",-1,0))+IF(W176="BUY",1,IF(W176="SELL",-1,0))+IF(X176="BUY",1,IF(X176="SELL",-1,0)),0))</f>
        <v>2</v>
      </c>
      <c r="Z176" s="32" t="str">
        <f aca="false">IF(Y176="","",IF(Y176&gt;=2,"STRONG BUY",IF(Y176=1,"BUY",IF(Y176=0,"HOLD",IF(Y176=-1,"SELL","STRONG SELL")))))</f>
        <v>STRONG BUY</v>
      </c>
    </row>
    <row r="177" customFormat="false" ht="15" hidden="false" customHeight="false" outlineLevel="0" collapsed="false">
      <c r="A177" s="24" t="n">
        <v>46015</v>
      </c>
      <c r="B177" s="25" t="n">
        <v>32.67</v>
      </c>
      <c r="C177" s="25" t="n">
        <v>33.06</v>
      </c>
      <c r="D177" s="25" t="n">
        <v>32.34</v>
      </c>
      <c r="E177" s="25" t="n">
        <v>32.7</v>
      </c>
      <c r="F177" s="26" t="n">
        <v>80346629</v>
      </c>
      <c r="G177" s="27" t="n">
        <f aca="false">E177-E176</f>
        <v>0.420000000000002</v>
      </c>
      <c r="H177" s="28" t="n">
        <f aca="false">G177/E176</f>
        <v>0.0130111524163569</v>
      </c>
      <c r="I177" s="29" t="n">
        <f aca="false">MAX(G177,0)</f>
        <v>0.420000000000002</v>
      </c>
      <c r="J177" s="29" t="n">
        <f aca="false">MAX(-G177,0)</f>
        <v>0</v>
      </c>
      <c r="K177" s="29" t="n">
        <f aca="false">(K176*13+I177)/14</f>
        <v>0.170699795457038</v>
      </c>
      <c r="L177" s="29" t="n">
        <f aca="false">(L176*13+J177)/14</f>
        <v>0.114254387939269</v>
      </c>
      <c r="M177" s="31" t="n">
        <f aca="false">IF(L177=0,100,100-100/(1+K177/MAX(L177,0.000001)))</f>
        <v>59.9042952879317</v>
      </c>
      <c r="N177" s="30" t="n">
        <f aca="false">AVERAGE(E158:E177)</f>
        <v>31.495</v>
      </c>
      <c r="O177" s="30" t="n">
        <f aca="false">AVERAGE(E128:E177)</f>
        <v>32.1496</v>
      </c>
      <c r="Q177" s="30" t="n">
        <f aca="false">Q176+(2/13)*(E177-Q176)</f>
        <v>32.1324442913742</v>
      </c>
      <c r="R177" s="30" t="n">
        <f aca="false">R176+(2/27)*(E177-R176)</f>
        <v>31.9587683636186</v>
      </c>
      <c r="S177" s="33" t="n">
        <f aca="false">Q177-R177</f>
        <v>0.17367592775555</v>
      </c>
      <c r="T177" s="33" t="n">
        <f aca="false">T176+(2/10)*(S177-T176)</f>
        <v>-0.0639886039847146</v>
      </c>
      <c r="U177" s="33" t="n">
        <f aca="false">S177-T177</f>
        <v>0.237664531740265</v>
      </c>
      <c r="V177" s="32" t="str">
        <f aca="false">IF(M177="","",IF(M177&lt;Assumptions!$B$5,"BUY",IF(M177&gt;Assumptions!$B$4,"SELL","HOLD")))</f>
        <v>HOLD</v>
      </c>
      <c r="W177" s="32" t="str">
        <f aca="false">IF(O177="","",IF(E177&gt;O177,"BUY","SELL"))</f>
        <v>BUY</v>
      </c>
      <c r="X177" s="32" t="str">
        <f aca="false">IF(T177="","",IF(S177&gt;T177,"BUY","SELL"))</f>
        <v>BUY</v>
      </c>
      <c r="Y177" s="34" t="n">
        <f aca="false">IF(OR(V177="",W177="",X177=""),"",IFERROR(IF(V177="BUY",1,IF(V177="SELL",-1,0))+IF(W177="BUY",1,IF(W177="SELL",-1,0))+IF(X177="BUY",1,IF(X177="SELL",-1,0)),0))</f>
        <v>2</v>
      </c>
      <c r="Z177" s="32" t="str">
        <f aca="false">IF(Y177="","",IF(Y177&gt;=2,"STRONG BUY",IF(Y177=1,"BUY",IF(Y177=0,"HOLD",IF(Y177=-1,"SELL","STRONG SELL")))))</f>
        <v>STRONG BUY</v>
      </c>
    </row>
    <row r="178" customFormat="false" ht="15" hidden="false" customHeight="false" outlineLevel="0" collapsed="false">
      <c r="A178" s="24" t="n">
        <v>46016</v>
      </c>
      <c r="B178" s="25" t="n">
        <v>31.96</v>
      </c>
      <c r="C178" s="25" t="n">
        <v>32.09</v>
      </c>
      <c r="D178" s="25" t="n">
        <v>31.89</v>
      </c>
      <c r="E178" s="25" t="n">
        <v>31.99</v>
      </c>
      <c r="F178" s="26" t="n">
        <v>63949935</v>
      </c>
      <c r="G178" s="27" t="n">
        <f aca="false">E178-E177</f>
        <v>-0.710000000000004</v>
      </c>
      <c r="H178" s="28" t="n">
        <f aca="false">G178/E177</f>
        <v>-0.0217125382262998</v>
      </c>
      <c r="I178" s="29" t="n">
        <f aca="false">MAX(G178,0)</f>
        <v>0</v>
      </c>
      <c r="J178" s="29" t="n">
        <f aca="false">MAX(-G178,0)</f>
        <v>0.710000000000004</v>
      </c>
      <c r="K178" s="29" t="n">
        <f aca="false">(K177*13+I178)/14</f>
        <v>0.158506952924392</v>
      </c>
      <c r="L178" s="29" t="n">
        <f aca="false">(L177*13+J178)/14</f>
        <v>0.156807645943607</v>
      </c>
      <c r="M178" s="31" t="n">
        <f aca="false">IF(L178=0,100,100-100/(1+K178/MAX(L178,0.000001)))</f>
        <v>50.269462147786</v>
      </c>
      <c r="N178" s="30" t="n">
        <f aca="false">AVERAGE(E159:E178)</f>
        <v>31.5225</v>
      </c>
      <c r="O178" s="30" t="n">
        <f aca="false">AVERAGE(E129:E178)</f>
        <v>32.1252</v>
      </c>
      <c r="Q178" s="30" t="n">
        <f aca="false">Q177+(2/13)*(E178-Q177)</f>
        <v>32.1105297850089</v>
      </c>
      <c r="R178" s="30" t="n">
        <f aca="false">R177+(2/27)*(E178-R177)</f>
        <v>31.9610818181654</v>
      </c>
      <c r="S178" s="33" t="n">
        <f aca="false">Q178-R178</f>
        <v>0.149447966843521</v>
      </c>
      <c r="T178" s="33" t="n">
        <f aca="false">T177+(2/10)*(S178-T177)</f>
        <v>-0.0213012898190675</v>
      </c>
      <c r="U178" s="33" t="n">
        <f aca="false">S178-T178</f>
        <v>0.170749256662589</v>
      </c>
      <c r="V178" s="32" t="str">
        <f aca="false">IF(M178="","",IF(M178&lt;Assumptions!$B$5,"BUY",IF(M178&gt;Assumptions!$B$4,"SELL","HOLD")))</f>
        <v>HOLD</v>
      </c>
      <c r="W178" s="32" t="str">
        <f aca="false">IF(O178="","",IF(E178&gt;O178,"BUY","SELL"))</f>
        <v>SELL</v>
      </c>
      <c r="X178" s="32" t="str">
        <f aca="false">IF(T178="","",IF(S178&gt;T178,"BUY","SELL"))</f>
        <v>BUY</v>
      </c>
      <c r="Y178" s="34" t="n">
        <f aca="false">IF(OR(V178="",W178="",X178=""),"",IFERROR(IF(V178="BUY",1,IF(V178="SELL",-1,0))+IF(W178="BUY",1,IF(W178="SELL",-1,0))+IF(X178="BUY",1,IF(X178="SELL",-1,0)),0))</f>
        <v>0</v>
      </c>
      <c r="Z178" s="32" t="str">
        <f aca="false">IF(Y178="","",IF(Y178&gt;=2,"STRONG BUY",IF(Y178=1,"BUY",IF(Y178=0,"HOLD",IF(Y178=-1,"SELL","STRONG SELL")))))</f>
        <v>HOLD</v>
      </c>
    </row>
    <row r="179" customFormat="false" ht="15" hidden="false" customHeight="false" outlineLevel="0" collapsed="false">
      <c r="A179" s="24" t="n">
        <v>46017</v>
      </c>
      <c r="B179" s="25" t="n">
        <v>32.76</v>
      </c>
      <c r="C179" s="25" t="n">
        <v>32.84</v>
      </c>
      <c r="D179" s="25" t="n">
        <v>32.76</v>
      </c>
      <c r="E179" s="25" t="n">
        <v>32.8</v>
      </c>
      <c r="F179" s="26" t="n">
        <v>37401554</v>
      </c>
      <c r="G179" s="27" t="n">
        <f aca="false">E179-E178</f>
        <v>0.809999999999999</v>
      </c>
      <c r="H179" s="28" t="n">
        <f aca="false">G179/E178</f>
        <v>0.0253204126289465</v>
      </c>
      <c r="I179" s="29" t="n">
        <f aca="false">MAX(G179,0)</f>
        <v>0.809999999999999</v>
      </c>
      <c r="J179" s="29" t="n">
        <f aca="false">MAX(-G179,0)</f>
        <v>0</v>
      </c>
      <c r="K179" s="29" t="n">
        <f aca="false">(K178*13+I179)/14</f>
        <v>0.20504217057265</v>
      </c>
      <c r="L179" s="29" t="n">
        <f aca="false">(L178*13+J179)/14</f>
        <v>0.145607099804778</v>
      </c>
      <c r="M179" s="31" t="n">
        <f aca="false">IF(L179=0,100,100-100/(1+K179/MAX(L179,0.000001)))</f>
        <v>58.4750027718435</v>
      </c>
      <c r="N179" s="30" t="n">
        <f aca="false">AVERAGE(E160:E179)</f>
        <v>31.6015</v>
      </c>
      <c r="O179" s="30" t="n">
        <f aca="false">AVERAGE(E130:E179)</f>
        <v>32.1174</v>
      </c>
      <c r="Q179" s="30" t="n">
        <f aca="false">Q178+(2/13)*(E179-Q178)</f>
        <v>32.2166021257768</v>
      </c>
      <c r="R179" s="30" t="n">
        <f aca="false">R178+(2/27)*(E179-R178)</f>
        <v>32.0232239057087</v>
      </c>
      <c r="S179" s="33" t="n">
        <f aca="false">Q179-R179</f>
        <v>0.193378220068077</v>
      </c>
      <c r="T179" s="33" t="n">
        <f aca="false">T178+(2/10)*(S179-T178)</f>
        <v>0.0216346121583614</v>
      </c>
      <c r="U179" s="33" t="n">
        <f aca="false">S179-T179</f>
        <v>0.171743607909715</v>
      </c>
      <c r="V179" s="32" t="str">
        <f aca="false">IF(M179="","",IF(M179&lt;Assumptions!$B$5,"BUY",IF(M179&gt;Assumptions!$B$4,"SELL","HOLD")))</f>
        <v>HOLD</v>
      </c>
      <c r="W179" s="32" t="str">
        <f aca="false">IF(O179="","",IF(E179&gt;O179,"BUY","SELL"))</f>
        <v>BUY</v>
      </c>
      <c r="X179" s="32" t="str">
        <f aca="false">IF(T179="","",IF(S179&gt;T179,"BUY","SELL"))</f>
        <v>BUY</v>
      </c>
      <c r="Y179" s="34" t="n">
        <f aca="false">IF(OR(V179="",W179="",X179=""),"",IFERROR(IF(V179="BUY",1,IF(V179="SELL",-1,0))+IF(W179="BUY",1,IF(W179="SELL",-1,0))+IF(X179="BUY",1,IF(X179="SELL",-1,0)),0))</f>
        <v>2</v>
      </c>
      <c r="Z179" s="32" t="str">
        <f aca="false">IF(Y179="","",IF(Y179&gt;=2,"STRONG BUY",IF(Y179=1,"BUY",IF(Y179=0,"HOLD",IF(Y179=-1,"SELL","STRONG SELL")))))</f>
        <v>STRONG BUY</v>
      </c>
    </row>
    <row r="180" customFormat="false" ht="15" hidden="false" customHeight="false" outlineLevel="0" collapsed="false">
      <c r="A180" s="24" t="n">
        <v>46020</v>
      </c>
      <c r="B180" s="25" t="n">
        <v>33.16</v>
      </c>
      <c r="C180" s="25" t="n">
        <v>33.26</v>
      </c>
      <c r="D180" s="25" t="n">
        <v>33.16</v>
      </c>
      <c r="E180" s="25" t="n">
        <v>33.21</v>
      </c>
      <c r="F180" s="26" t="n">
        <v>51541185</v>
      </c>
      <c r="G180" s="27" t="n">
        <f aca="false">E180-E179</f>
        <v>0.410000000000004</v>
      </c>
      <c r="H180" s="28" t="n">
        <f aca="false">G180/E179</f>
        <v>0.0125000000000001</v>
      </c>
      <c r="I180" s="29" t="n">
        <f aca="false">MAX(G180,0)</f>
        <v>0.410000000000004</v>
      </c>
      <c r="J180" s="29" t="n">
        <f aca="false">MAX(-G180,0)</f>
        <v>0</v>
      </c>
      <c r="K180" s="29" t="n">
        <f aca="false">(K179*13+I180)/14</f>
        <v>0.219682015531746</v>
      </c>
      <c r="L180" s="29" t="n">
        <f aca="false">(L179*13+J180)/14</f>
        <v>0.135206592675865</v>
      </c>
      <c r="M180" s="31" t="n">
        <f aca="false">IF(L180=0,100,100-100/(1+K180/MAX(L180,0.000001)))</f>
        <v>61.9016813870879</v>
      </c>
      <c r="N180" s="30" t="n">
        <f aca="false">AVERAGE(E161:E180)</f>
        <v>31.7235</v>
      </c>
      <c r="O180" s="30" t="n">
        <f aca="false">AVERAGE(E131:E180)</f>
        <v>32.1168</v>
      </c>
      <c r="Q180" s="30" t="n">
        <f aca="false">Q179+(2/13)*(E180-Q179)</f>
        <v>32.369432567965</v>
      </c>
      <c r="R180" s="30" t="n">
        <f aca="false">R179+(2/27)*(E180-R179)</f>
        <v>32.1111332460266</v>
      </c>
      <c r="S180" s="33" t="n">
        <f aca="false">Q180-R180</f>
        <v>0.258299321938395</v>
      </c>
      <c r="T180" s="33" t="n">
        <f aca="false">T179+(2/10)*(S180-T179)</f>
        <v>0.0689675541143681</v>
      </c>
      <c r="U180" s="33" t="n">
        <f aca="false">S180-T180</f>
        <v>0.189331767824027</v>
      </c>
      <c r="V180" s="32" t="str">
        <f aca="false">IF(M180="","",IF(M180&lt;Assumptions!$B$5,"BUY",IF(M180&gt;Assumptions!$B$4,"SELL","HOLD")))</f>
        <v>HOLD</v>
      </c>
      <c r="W180" s="32" t="str">
        <f aca="false">IF(O180="","",IF(E180&gt;O180,"BUY","SELL"))</f>
        <v>BUY</v>
      </c>
      <c r="X180" s="32" t="str">
        <f aca="false">IF(T180="","",IF(S180&gt;T180,"BUY","SELL"))</f>
        <v>BUY</v>
      </c>
      <c r="Y180" s="34" t="n">
        <f aca="false">IF(OR(V180="",W180="",X180=""),"",IFERROR(IF(V180="BUY",1,IF(V180="SELL",-1,0))+IF(W180="BUY",1,IF(W180="SELL",-1,0))+IF(X180="BUY",1,IF(X180="SELL",-1,0)),0))</f>
        <v>2</v>
      </c>
      <c r="Z180" s="32" t="str">
        <f aca="false">IF(Y180="","",IF(Y180&gt;=2,"STRONG BUY",IF(Y180=1,"BUY",IF(Y180=0,"HOLD",IF(Y180=-1,"SELL","STRONG SELL")))))</f>
        <v>STRONG BUY</v>
      </c>
    </row>
    <row r="181" customFormat="false" ht="15" hidden="false" customHeight="false" outlineLevel="0" collapsed="false">
      <c r="A181" s="24" t="n">
        <v>46021</v>
      </c>
      <c r="B181" s="25" t="n">
        <v>33.23</v>
      </c>
      <c r="C181" s="25" t="n">
        <v>33.75</v>
      </c>
      <c r="D181" s="25" t="n">
        <v>32.85</v>
      </c>
      <c r="E181" s="25" t="n">
        <v>33.3</v>
      </c>
      <c r="F181" s="26" t="n">
        <v>46844544</v>
      </c>
      <c r="G181" s="27" t="n">
        <f aca="false">E181-E180</f>
        <v>0.0899999999999963</v>
      </c>
      <c r="H181" s="28" t="n">
        <f aca="false">G181/E180</f>
        <v>0.00271002710027089</v>
      </c>
      <c r="I181" s="29" t="n">
        <f aca="false">MAX(G181,0)</f>
        <v>0.0899999999999963</v>
      </c>
      <c r="J181" s="29" t="n">
        <f aca="false">MAX(-G181,0)</f>
        <v>0</v>
      </c>
      <c r="K181" s="29" t="n">
        <f aca="false">(K180*13+I181)/14</f>
        <v>0.210419014422336</v>
      </c>
      <c r="L181" s="29" t="n">
        <f aca="false">(L180*13+J181)/14</f>
        <v>0.125548978913303</v>
      </c>
      <c r="M181" s="31" t="n">
        <f aca="false">IF(L181=0,100,100-100/(1+K181/MAX(L181,0.000001)))</f>
        <v>62.6306727415319</v>
      </c>
      <c r="N181" s="30" t="n">
        <f aca="false">AVERAGE(E162:E181)</f>
        <v>31.853</v>
      </c>
      <c r="O181" s="30" t="n">
        <f aca="false">AVERAGE(E132:E181)</f>
        <v>32.1096</v>
      </c>
      <c r="Q181" s="30" t="n">
        <f aca="false">Q180+(2/13)*(E181-Q180)</f>
        <v>32.5125967882781</v>
      </c>
      <c r="R181" s="30" t="n">
        <f aca="false">R180+(2/27)*(E181-R180)</f>
        <v>32.1991974500246</v>
      </c>
      <c r="S181" s="33" t="n">
        <f aca="false">Q181-R181</f>
        <v>0.313399338253447</v>
      </c>
      <c r="T181" s="33" t="n">
        <f aca="false">T180+(2/10)*(S181-T180)</f>
        <v>0.117853910942184</v>
      </c>
      <c r="U181" s="33" t="n">
        <f aca="false">S181-T181</f>
        <v>0.195545427311263</v>
      </c>
      <c r="V181" s="32" t="str">
        <f aca="false">IF(M181="","",IF(M181&lt;Assumptions!$B$5,"BUY",IF(M181&gt;Assumptions!$B$4,"SELL","HOLD")))</f>
        <v>HOLD</v>
      </c>
      <c r="W181" s="32" t="str">
        <f aca="false">IF(O181="","",IF(E181&gt;O181,"BUY","SELL"))</f>
        <v>BUY</v>
      </c>
      <c r="X181" s="32" t="str">
        <f aca="false">IF(T181="","",IF(S181&gt;T181,"BUY","SELL"))</f>
        <v>BUY</v>
      </c>
      <c r="Y181" s="34" t="n">
        <f aca="false">IF(OR(V181="",W181="",X181=""),"",IFERROR(IF(V181="BUY",1,IF(V181="SELL",-1,0))+IF(W181="BUY",1,IF(W181="SELL",-1,0))+IF(X181="BUY",1,IF(X181="SELL",-1,0)),0))</f>
        <v>2</v>
      </c>
      <c r="Z181" s="32" t="str">
        <f aca="false">IF(Y181="","",IF(Y181&gt;=2,"STRONG BUY",IF(Y181=1,"BUY",IF(Y181=0,"HOLD",IF(Y181=-1,"SELL","STRONG SELL")))))</f>
        <v>STRONG BUY</v>
      </c>
    </row>
    <row r="182" customFormat="false" ht="15" hidden="false" customHeight="false" outlineLevel="0" collapsed="false">
      <c r="A182" s="24" t="n">
        <v>46022</v>
      </c>
      <c r="B182" s="25" t="n">
        <v>33.23</v>
      </c>
      <c r="C182" s="25" t="n">
        <v>33.43</v>
      </c>
      <c r="D182" s="25" t="n">
        <v>33.23</v>
      </c>
      <c r="E182" s="25" t="n">
        <v>33.33</v>
      </c>
      <c r="F182" s="26" t="n">
        <v>34538669</v>
      </c>
      <c r="G182" s="27" t="n">
        <f aca="false">E182-E181</f>
        <v>0.0300000000000011</v>
      </c>
      <c r="H182" s="28" t="n">
        <f aca="false">G182/E181</f>
        <v>0.000900900900900935</v>
      </c>
      <c r="I182" s="29" t="n">
        <f aca="false">MAX(G182,0)</f>
        <v>0.0300000000000011</v>
      </c>
      <c r="J182" s="29" t="n">
        <f aca="false">MAX(-G182,0)</f>
        <v>0</v>
      </c>
      <c r="K182" s="29" t="n">
        <f aca="false">(K181*13+I182)/14</f>
        <v>0.197531941963598</v>
      </c>
      <c r="L182" s="29" t="n">
        <f aca="false">(L181*13+J182)/14</f>
        <v>0.11658119470521</v>
      </c>
      <c r="M182" s="31" t="n">
        <f aca="false">IF(L182=0,100,100-100/(1+K182/MAX(L182,0.000001)))</f>
        <v>62.8856035944367</v>
      </c>
      <c r="N182" s="30" t="n">
        <f aca="false">AVERAGE(E163:E182)</f>
        <v>31.9895</v>
      </c>
      <c r="O182" s="30" t="n">
        <f aca="false">AVERAGE(E133:E182)</f>
        <v>32.1118</v>
      </c>
      <c r="Q182" s="30" t="n">
        <f aca="false">Q181+(2/13)*(E182-Q181)</f>
        <v>32.638351128543</v>
      </c>
      <c r="R182" s="30" t="n">
        <f aca="false">R181+(2/27)*(E182-R181)</f>
        <v>32.2829606018746</v>
      </c>
      <c r="S182" s="33" t="n">
        <f aca="false">Q182-R182</f>
        <v>0.35539052666833</v>
      </c>
      <c r="T182" s="33" t="n">
        <f aca="false">T181+(2/10)*(S182-T181)</f>
        <v>0.165361234087413</v>
      </c>
      <c r="U182" s="33" t="n">
        <f aca="false">S182-T182</f>
        <v>0.190029292580917</v>
      </c>
      <c r="V182" s="32" t="str">
        <f aca="false">IF(M182="","",IF(M182&lt;Assumptions!$B$5,"BUY",IF(M182&gt;Assumptions!$B$4,"SELL","HOLD")))</f>
        <v>HOLD</v>
      </c>
      <c r="W182" s="32" t="str">
        <f aca="false">IF(O182="","",IF(E182&gt;O182,"BUY","SELL"))</f>
        <v>BUY</v>
      </c>
      <c r="X182" s="32" t="str">
        <f aca="false">IF(T182="","",IF(S182&gt;T182,"BUY","SELL"))</f>
        <v>BUY</v>
      </c>
      <c r="Y182" s="34" t="n">
        <f aca="false">IF(OR(V182="",W182="",X182=""),"",IFERROR(IF(V182="BUY",1,IF(V182="SELL",-1,0))+IF(W182="BUY",1,IF(W182="SELL",-1,0))+IF(X182="BUY",1,IF(X182="SELL",-1,0)),0))</f>
        <v>2</v>
      </c>
      <c r="Z182" s="32" t="str">
        <f aca="false">IF(Y182="","",IF(Y182&gt;=2,"STRONG BUY",IF(Y182=1,"BUY",IF(Y182=0,"HOLD",IF(Y182=-1,"SELL","STRONG SELL")))))</f>
        <v>STRONG BUY</v>
      </c>
    </row>
    <row r="183" customFormat="false" ht="15" hidden="false" customHeight="false" outlineLevel="0" collapsed="false">
      <c r="A183" s="24" t="n">
        <v>46023</v>
      </c>
      <c r="B183" s="25" t="n">
        <v>34.17</v>
      </c>
      <c r="C183" s="25" t="n">
        <v>34.17</v>
      </c>
      <c r="D183" s="25" t="n">
        <v>34.15</v>
      </c>
      <c r="E183" s="25" t="n">
        <v>34.16</v>
      </c>
      <c r="F183" s="26" t="n">
        <v>25527539</v>
      </c>
      <c r="G183" s="27" t="n">
        <f aca="false">E183-E182</f>
        <v>0.829999999999998</v>
      </c>
      <c r="H183" s="28" t="n">
        <f aca="false">G183/E182</f>
        <v>0.0249024902490249</v>
      </c>
      <c r="I183" s="29" t="n">
        <f aca="false">MAX(G183,0)</f>
        <v>0.829999999999998</v>
      </c>
      <c r="J183" s="29" t="n">
        <f aca="false">MAX(-G183,0)</f>
        <v>0</v>
      </c>
      <c r="K183" s="29" t="n">
        <f aca="false">(K182*13+I183)/14</f>
        <v>0.24270823182334</v>
      </c>
      <c r="L183" s="29" t="n">
        <f aca="false">(L182*13+J183)/14</f>
        <v>0.108253966511981</v>
      </c>
      <c r="M183" s="31" t="n">
        <f aca="false">IF(L183=0,100,100-100/(1+K183/MAX(L183,0.000001)))</f>
        <v>69.1550921935612</v>
      </c>
      <c r="N183" s="30" t="n">
        <f aca="false">AVERAGE(E164:E183)</f>
        <v>32.19</v>
      </c>
      <c r="O183" s="30" t="n">
        <f aca="false">AVERAGE(E134:E183)</f>
        <v>32.1346</v>
      </c>
      <c r="Q183" s="30" t="n">
        <f aca="false">Q182+(2/13)*(E183-Q182)</f>
        <v>32.872450954921</v>
      </c>
      <c r="R183" s="30" t="n">
        <f aca="false">R182+(2/27)*(E183-R182)</f>
        <v>32.4220005572913</v>
      </c>
      <c r="S183" s="33" t="n">
        <f aca="false">Q183-R183</f>
        <v>0.450450397629645</v>
      </c>
      <c r="T183" s="33" t="n">
        <f aca="false">T182+(2/10)*(S183-T182)</f>
        <v>0.222379066795859</v>
      </c>
      <c r="U183" s="33" t="n">
        <f aca="false">S183-T183</f>
        <v>0.228071330833785</v>
      </c>
      <c r="V183" s="32" t="str">
        <f aca="false">IF(M183="","",IF(M183&lt;Assumptions!$B$5,"BUY",IF(M183&gt;Assumptions!$B$4,"SELL","HOLD")))</f>
        <v>HOLD</v>
      </c>
      <c r="W183" s="32" t="str">
        <f aca="false">IF(O183="","",IF(E183&gt;O183,"BUY","SELL"))</f>
        <v>BUY</v>
      </c>
      <c r="X183" s="32" t="str">
        <f aca="false">IF(T183="","",IF(S183&gt;T183,"BUY","SELL"))</f>
        <v>BUY</v>
      </c>
      <c r="Y183" s="34" t="n">
        <f aca="false">IF(OR(V183="",W183="",X183=""),"",IFERROR(IF(V183="BUY",1,IF(V183="SELL",-1,0))+IF(W183="BUY",1,IF(W183="SELL",-1,0))+IF(X183="BUY",1,IF(X183="SELL",-1,0)),0))</f>
        <v>2</v>
      </c>
      <c r="Z183" s="32" t="str">
        <f aca="false">IF(Y183="","",IF(Y183&gt;=2,"STRONG BUY",IF(Y183=1,"BUY",IF(Y183=0,"HOLD",IF(Y183=-1,"SELL","STRONG SELL")))))</f>
        <v>STRONG BUY</v>
      </c>
    </row>
    <row r="184" customFormat="false" ht="15" hidden="false" customHeight="false" outlineLevel="0" collapsed="false">
      <c r="A184" s="24" t="n">
        <v>46024</v>
      </c>
      <c r="B184" s="25" t="n">
        <v>33.77</v>
      </c>
      <c r="C184" s="25" t="n">
        <v>33.77</v>
      </c>
      <c r="D184" s="25" t="n">
        <v>33.65</v>
      </c>
      <c r="E184" s="25" t="n">
        <v>33.71</v>
      </c>
      <c r="F184" s="26" t="n">
        <v>55853012</v>
      </c>
      <c r="G184" s="27" t="n">
        <f aca="false">E184-E183</f>
        <v>-0.449999999999996</v>
      </c>
      <c r="H184" s="28" t="n">
        <f aca="false">G184/E183</f>
        <v>-0.0131733021077282</v>
      </c>
      <c r="I184" s="29" t="n">
        <f aca="false">MAX(G184,0)</f>
        <v>0</v>
      </c>
      <c r="J184" s="29" t="n">
        <f aca="false">MAX(-G184,0)</f>
        <v>0.449999999999996</v>
      </c>
      <c r="K184" s="29" t="n">
        <f aca="false">(K183*13+I184)/14</f>
        <v>0.225371929550245</v>
      </c>
      <c r="L184" s="29" t="n">
        <f aca="false">(L183*13+J184)/14</f>
        <v>0.132664397475411</v>
      </c>
      <c r="M184" s="31" t="n">
        <f aca="false">IF(L184=0,100,100-100/(1+K184/MAX(L184,0.000001)))</f>
        <v>62.9466656142117</v>
      </c>
      <c r="N184" s="30" t="n">
        <f aca="false">AVERAGE(E165:E184)</f>
        <v>32.3505</v>
      </c>
      <c r="O184" s="30" t="n">
        <f aca="false">AVERAGE(E135:E184)</f>
        <v>32.1454</v>
      </c>
      <c r="Q184" s="30" t="n">
        <f aca="false">Q183+(2/13)*(E184-Q183)</f>
        <v>33.0013046541639</v>
      </c>
      <c r="R184" s="30" t="n">
        <f aca="false">R183+(2/27)*(E184-R183)</f>
        <v>32.5174079234179</v>
      </c>
      <c r="S184" s="33" t="n">
        <f aca="false">Q184-R184</f>
        <v>0.483896730746004</v>
      </c>
      <c r="T184" s="33" t="n">
        <f aca="false">T183+(2/10)*(S184-T183)</f>
        <v>0.274682599585888</v>
      </c>
      <c r="U184" s="33" t="n">
        <f aca="false">S184-T184</f>
        <v>0.209214131160115</v>
      </c>
      <c r="V184" s="32" t="str">
        <f aca="false">IF(M184="","",IF(M184&lt;Assumptions!$B$5,"BUY",IF(M184&gt;Assumptions!$B$4,"SELL","HOLD")))</f>
        <v>HOLD</v>
      </c>
      <c r="W184" s="32" t="str">
        <f aca="false">IF(O184="","",IF(E184&gt;O184,"BUY","SELL"))</f>
        <v>BUY</v>
      </c>
      <c r="X184" s="32" t="str">
        <f aca="false">IF(T184="","",IF(S184&gt;T184,"BUY","SELL"))</f>
        <v>BUY</v>
      </c>
      <c r="Y184" s="34" t="n">
        <f aca="false">IF(OR(V184="",W184="",X184=""),"",IFERROR(IF(V184="BUY",1,IF(V184="SELL",-1,0))+IF(W184="BUY",1,IF(W184="SELL",-1,0))+IF(X184="BUY",1,IF(X184="SELL",-1,0)),0))</f>
        <v>2</v>
      </c>
      <c r="Z184" s="32" t="str">
        <f aca="false">IF(Y184="","",IF(Y184&gt;=2,"STRONG BUY",IF(Y184=1,"BUY",IF(Y184=0,"HOLD",IF(Y184=-1,"SELL","STRONG SELL")))))</f>
        <v>STRONG BUY</v>
      </c>
    </row>
    <row r="185" customFormat="false" ht="15" hidden="false" customHeight="false" outlineLevel="0" collapsed="false">
      <c r="A185" s="24" t="n">
        <v>46027</v>
      </c>
      <c r="B185" s="25" t="n">
        <v>33.15</v>
      </c>
      <c r="C185" s="25" t="n">
        <v>33.19</v>
      </c>
      <c r="D185" s="25" t="n">
        <v>33.15</v>
      </c>
      <c r="E185" s="25" t="n">
        <v>33.17</v>
      </c>
      <c r="F185" s="26" t="n">
        <v>50232082</v>
      </c>
      <c r="G185" s="27" t="n">
        <f aca="false">E185-E184</f>
        <v>-0.539999999999999</v>
      </c>
      <c r="H185" s="28" t="n">
        <f aca="false">G185/E184</f>
        <v>-0.0160189854642539</v>
      </c>
      <c r="I185" s="29" t="n">
        <f aca="false">MAX(G185,0)</f>
        <v>0</v>
      </c>
      <c r="J185" s="29" t="n">
        <f aca="false">MAX(-G185,0)</f>
        <v>0.539999999999999</v>
      </c>
      <c r="K185" s="29" t="n">
        <f aca="false">(K184*13+I185)/14</f>
        <v>0.20927393458237</v>
      </c>
      <c r="L185" s="29" t="n">
        <f aca="false">(L184*13+J185)/14</f>
        <v>0.161759797655738</v>
      </c>
      <c r="M185" s="31" t="n">
        <f aca="false">IF(L185=0,100,100-100/(1+K185/MAX(L185,0.000001)))</f>
        <v>56.402940325671</v>
      </c>
      <c r="N185" s="30" t="n">
        <f aca="false">AVERAGE(E166:E185)</f>
        <v>32.4655</v>
      </c>
      <c r="O185" s="30" t="n">
        <f aca="false">AVERAGE(E136:E185)</f>
        <v>32.1468</v>
      </c>
      <c r="Q185" s="30" t="n">
        <f aca="false">Q184+(2/13)*(E185-Q184)</f>
        <v>33.0272577842925</v>
      </c>
      <c r="R185" s="30" t="n">
        <f aca="false">R184+(2/27)*(E185-R184)</f>
        <v>32.5657480772388</v>
      </c>
      <c r="S185" s="33" t="n">
        <f aca="false">Q185-R185</f>
        <v>0.461509707053736</v>
      </c>
      <c r="T185" s="33" t="n">
        <f aca="false">T184+(2/10)*(S185-T184)</f>
        <v>0.312048021079458</v>
      </c>
      <c r="U185" s="33" t="n">
        <f aca="false">S185-T185</f>
        <v>0.149461685974278</v>
      </c>
      <c r="V185" s="32" t="str">
        <f aca="false">IF(M185="","",IF(M185&lt;Assumptions!$B$5,"BUY",IF(M185&gt;Assumptions!$B$4,"SELL","HOLD")))</f>
        <v>HOLD</v>
      </c>
      <c r="W185" s="32" t="str">
        <f aca="false">IF(O185="","",IF(E185&gt;O185,"BUY","SELL"))</f>
        <v>BUY</v>
      </c>
      <c r="X185" s="32" t="str">
        <f aca="false">IF(T185="","",IF(S185&gt;T185,"BUY","SELL"))</f>
        <v>BUY</v>
      </c>
      <c r="Y185" s="34" t="n">
        <f aca="false">IF(OR(V185="",W185="",X185=""),"",IFERROR(IF(V185="BUY",1,IF(V185="SELL",-1,0))+IF(W185="BUY",1,IF(W185="SELL",-1,0))+IF(X185="BUY",1,IF(X185="SELL",-1,0)),0))</f>
        <v>2</v>
      </c>
      <c r="Z185" s="32" t="str">
        <f aca="false">IF(Y185="","",IF(Y185&gt;=2,"STRONG BUY",IF(Y185=1,"BUY",IF(Y185=0,"HOLD",IF(Y185=-1,"SELL","STRONG SELL")))))</f>
        <v>STRONG BUY</v>
      </c>
    </row>
    <row r="186" customFormat="false" ht="15" hidden="false" customHeight="false" outlineLevel="0" collapsed="false">
      <c r="A186" s="24" t="n">
        <v>46028</v>
      </c>
      <c r="B186" s="25" t="n">
        <v>32.88</v>
      </c>
      <c r="C186" s="25" t="n">
        <v>32.92</v>
      </c>
      <c r="D186" s="25" t="n">
        <v>32.88</v>
      </c>
      <c r="E186" s="25" t="n">
        <v>32.9</v>
      </c>
      <c r="F186" s="26" t="n">
        <v>37473793</v>
      </c>
      <c r="G186" s="27" t="n">
        <f aca="false">E186-E185</f>
        <v>-0.270000000000003</v>
      </c>
      <c r="H186" s="28" t="n">
        <f aca="false">G186/E185</f>
        <v>-0.00813988543864948</v>
      </c>
      <c r="I186" s="29" t="n">
        <f aca="false">MAX(G186,0)</f>
        <v>0</v>
      </c>
      <c r="J186" s="29" t="n">
        <f aca="false">MAX(-G186,0)</f>
        <v>0.270000000000003</v>
      </c>
      <c r="K186" s="29" t="n">
        <f aca="false">(K185*13+I186)/14</f>
        <v>0.194325796397915</v>
      </c>
      <c r="L186" s="29" t="n">
        <f aca="false">(L185*13+J186)/14</f>
        <v>0.169491240680329</v>
      </c>
      <c r="M186" s="31" t="n">
        <f aca="false">IF(L186=0,100,100-100/(1+K186/MAX(L186,0.000001)))</f>
        <v>53.4130556277722</v>
      </c>
      <c r="N186" s="30" t="n">
        <f aca="false">AVERAGE(E167:E186)</f>
        <v>32.566</v>
      </c>
      <c r="O186" s="30" t="n">
        <f aca="false">AVERAGE(E137:E186)</f>
        <v>32.1444</v>
      </c>
      <c r="Q186" s="30" t="n">
        <f aca="false">Q185+(2/13)*(E186-Q185)</f>
        <v>33.0076796636321</v>
      </c>
      <c r="R186" s="30" t="n">
        <f aca="false">R185+(2/27)*(E186-R185)</f>
        <v>32.5905074789248</v>
      </c>
      <c r="S186" s="33" t="n">
        <f aca="false">Q186-R186</f>
        <v>0.417172184707333</v>
      </c>
      <c r="T186" s="33" t="n">
        <f aca="false">T185+(2/10)*(S186-T185)</f>
        <v>0.333072853805033</v>
      </c>
      <c r="U186" s="33" t="n">
        <f aca="false">S186-T186</f>
        <v>0.0840993309023</v>
      </c>
      <c r="V186" s="32" t="str">
        <f aca="false">IF(M186="","",IF(M186&lt;Assumptions!$B$5,"BUY",IF(M186&gt;Assumptions!$B$4,"SELL","HOLD")))</f>
        <v>HOLD</v>
      </c>
      <c r="W186" s="32" t="str">
        <f aca="false">IF(O186="","",IF(E186&gt;O186,"BUY","SELL"))</f>
        <v>BUY</v>
      </c>
      <c r="X186" s="32" t="str">
        <f aca="false">IF(T186="","",IF(S186&gt;T186,"BUY","SELL"))</f>
        <v>BUY</v>
      </c>
      <c r="Y186" s="34" t="n">
        <f aca="false">IF(OR(V186="",W186="",X186=""),"",IFERROR(IF(V186="BUY",1,IF(V186="SELL",-1,0))+IF(W186="BUY",1,IF(W186="SELL",-1,0))+IF(X186="BUY",1,IF(X186="SELL",-1,0)),0))</f>
        <v>2</v>
      </c>
      <c r="Z186" s="32" t="str">
        <f aca="false">IF(Y186="","",IF(Y186&gt;=2,"STRONG BUY",IF(Y186=1,"BUY",IF(Y186=0,"HOLD",IF(Y186=-1,"SELL","STRONG SELL")))))</f>
        <v>STRONG BUY</v>
      </c>
    </row>
    <row r="187" customFormat="false" ht="15" hidden="false" customHeight="false" outlineLevel="0" collapsed="false">
      <c r="A187" s="24" t="n">
        <v>46029</v>
      </c>
      <c r="B187" s="25" t="n">
        <v>32.95</v>
      </c>
      <c r="C187" s="25" t="n">
        <v>33.16</v>
      </c>
      <c r="D187" s="25" t="n">
        <v>32.4</v>
      </c>
      <c r="E187" s="25" t="n">
        <v>32.78</v>
      </c>
      <c r="F187" s="26" t="n">
        <v>64396348</v>
      </c>
      <c r="G187" s="27" t="n">
        <f aca="false">E187-E186</f>
        <v>-0.119999999999997</v>
      </c>
      <c r="H187" s="28" t="n">
        <f aca="false">G187/E186</f>
        <v>-0.00364741641337378</v>
      </c>
      <c r="I187" s="29" t="n">
        <f aca="false">MAX(G187,0)</f>
        <v>0</v>
      </c>
      <c r="J187" s="29" t="n">
        <f aca="false">MAX(-G187,0)</f>
        <v>0.119999999999997</v>
      </c>
      <c r="K187" s="29" t="n">
        <f aca="false">(K186*13+I187)/14</f>
        <v>0.180445382369493</v>
      </c>
      <c r="L187" s="29" t="n">
        <f aca="false">(L186*13+J187)/14</f>
        <v>0.165956152060305</v>
      </c>
      <c r="M187" s="31" t="n">
        <f aca="false">IF(L187=0,100,100-100/(1+K187/MAX(L187,0.000001)))</f>
        <v>52.0913923393899</v>
      </c>
      <c r="N187" s="30" t="n">
        <f aca="false">AVERAGE(E168:E187)</f>
        <v>32.6575</v>
      </c>
      <c r="O187" s="30" t="n">
        <f aca="false">AVERAGE(E138:E187)</f>
        <v>32.1396</v>
      </c>
      <c r="Q187" s="30" t="n">
        <f aca="false">Q186+(2/13)*(E187-Q186)</f>
        <v>32.9726520230734</v>
      </c>
      <c r="R187" s="30" t="n">
        <f aca="false">R186+(2/27)*(E187-R186)</f>
        <v>32.6045439619674</v>
      </c>
      <c r="S187" s="33" t="n">
        <f aca="false">Q187-R187</f>
        <v>0.368108061105936</v>
      </c>
      <c r="T187" s="33" t="n">
        <f aca="false">T186+(2/10)*(S187-T186)</f>
        <v>0.340079895265213</v>
      </c>
      <c r="U187" s="33" t="n">
        <f aca="false">S187-T187</f>
        <v>0.0280281658407223</v>
      </c>
      <c r="V187" s="32" t="str">
        <f aca="false">IF(M187="","",IF(M187&lt;Assumptions!$B$5,"BUY",IF(M187&gt;Assumptions!$B$4,"SELL","HOLD")))</f>
        <v>HOLD</v>
      </c>
      <c r="W187" s="32" t="str">
        <f aca="false">IF(O187="","",IF(E187&gt;O187,"BUY","SELL"))</f>
        <v>BUY</v>
      </c>
      <c r="X187" s="32" t="str">
        <f aca="false">IF(T187="","",IF(S187&gt;T187,"BUY","SELL"))</f>
        <v>BUY</v>
      </c>
      <c r="Y187" s="34" t="n">
        <f aca="false">IF(OR(V187="",W187="",X187=""),"",IFERROR(IF(V187="BUY",1,IF(V187="SELL",-1,0))+IF(W187="BUY",1,IF(W187="SELL",-1,0))+IF(X187="BUY",1,IF(X187="SELL",-1,0)),0))</f>
        <v>2</v>
      </c>
      <c r="Z187" s="32" t="str">
        <f aca="false">IF(Y187="","",IF(Y187&gt;=2,"STRONG BUY",IF(Y187=1,"BUY",IF(Y187=0,"HOLD",IF(Y187=-1,"SELL","STRONG SELL")))))</f>
        <v>STRONG BUY</v>
      </c>
    </row>
    <row r="188" customFormat="false" ht="15" hidden="false" customHeight="false" outlineLevel="0" collapsed="false">
      <c r="A188" s="24" t="n">
        <v>46030</v>
      </c>
      <c r="B188" s="25" t="n">
        <v>32.42</v>
      </c>
      <c r="C188" s="25" t="n">
        <v>32.47</v>
      </c>
      <c r="D188" s="25" t="n">
        <v>32.17</v>
      </c>
      <c r="E188" s="25" t="n">
        <v>32.32</v>
      </c>
      <c r="F188" s="26" t="n">
        <v>92851331</v>
      </c>
      <c r="G188" s="27" t="n">
        <f aca="false">E188-E187</f>
        <v>-0.460000000000001</v>
      </c>
      <c r="H188" s="28" t="n">
        <f aca="false">G188/E187</f>
        <v>-0.014032946918853</v>
      </c>
      <c r="I188" s="29" t="n">
        <f aca="false">MAX(G188,0)</f>
        <v>0</v>
      </c>
      <c r="J188" s="29" t="n">
        <f aca="false">MAX(-G188,0)</f>
        <v>0.460000000000001</v>
      </c>
      <c r="K188" s="29" t="n">
        <f aca="false">(K187*13+I188)/14</f>
        <v>0.167556426485957</v>
      </c>
      <c r="L188" s="29" t="n">
        <f aca="false">(L187*13+J188)/14</f>
        <v>0.186959284055998</v>
      </c>
      <c r="M188" s="31" t="n">
        <f aca="false">IF(L188=0,100,100-100/(1+K188/MAX(L188,0.000001)))</f>
        <v>47.2634699968051</v>
      </c>
      <c r="N188" s="30" t="n">
        <f aca="false">AVERAGE(E169:E188)</f>
        <v>32.7145</v>
      </c>
      <c r="O188" s="30" t="n">
        <f aca="false">AVERAGE(E139:E188)</f>
        <v>32.132</v>
      </c>
      <c r="Q188" s="30" t="n">
        <f aca="false">Q187+(2/13)*(E188-Q187)</f>
        <v>32.8722440195236</v>
      </c>
      <c r="R188" s="30" t="n">
        <f aca="false">R187+(2/27)*(E188-R187)</f>
        <v>32.5834666314513</v>
      </c>
      <c r="S188" s="33" t="n">
        <f aca="false">Q188-R188</f>
        <v>0.288777388072297</v>
      </c>
      <c r="T188" s="33" t="n">
        <f aca="false">T187+(2/10)*(S188-T187)</f>
        <v>0.32981939382663</v>
      </c>
      <c r="U188" s="33" t="n">
        <f aca="false">S188-T188</f>
        <v>-0.0410420057543328</v>
      </c>
      <c r="V188" s="32" t="str">
        <f aca="false">IF(M188="","",IF(M188&lt;Assumptions!$B$5,"BUY",IF(M188&gt;Assumptions!$B$4,"SELL","HOLD")))</f>
        <v>HOLD</v>
      </c>
      <c r="W188" s="32" t="str">
        <f aca="false">IF(O188="","",IF(E188&gt;O188,"BUY","SELL"))</f>
        <v>BUY</v>
      </c>
      <c r="X188" s="32" t="str">
        <f aca="false">IF(T188="","",IF(S188&gt;T188,"BUY","SELL"))</f>
        <v>SELL</v>
      </c>
      <c r="Y188" s="34" t="n">
        <f aca="false">IF(OR(V188="",W188="",X188=""),"",IFERROR(IF(V188="BUY",1,IF(V188="SELL",-1,0))+IF(W188="BUY",1,IF(W188="SELL",-1,0))+IF(X188="BUY",1,IF(X188="SELL",-1,0)),0))</f>
        <v>0</v>
      </c>
      <c r="Z188" s="32" t="str">
        <f aca="false">IF(Y188="","",IF(Y188&gt;=2,"STRONG BUY",IF(Y188=1,"BUY",IF(Y188=0,"HOLD",IF(Y188=-1,"SELL","STRONG SELL")))))</f>
        <v>HOLD</v>
      </c>
    </row>
    <row r="189" customFormat="false" ht="15" hidden="false" customHeight="false" outlineLevel="0" collapsed="false">
      <c r="A189" s="24" t="n">
        <v>46031</v>
      </c>
      <c r="B189" s="25" t="n">
        <v>32.51</v>
      </c>
      <c r="C189" s="25" t="n">
        <v>32.51</v>
      </c>
      <c r="D189" s="25" t="n">
        <v>32.27</v>
      </c>
      <c r="E189" s="25" t="n">
        <v>32.39</v>
      </c>
      <c r="F189" s="26" t="n">
        <v>56343839</v>
      </c>
      <c r="G189" s="27" t="n">
        <f aca="false">E189-E188</f>
        <v>0.0700000000000003</v>
      </c>
      <c r="H189" s="28" t="n">
        <f aca="false">G189/E188</f>
        <v>0.00216584158415842</v>
      </c>
      <c r="I189" s="29" t="n">
        <f aca="false">MAX(G189,0)</f>
        <v>0.0700000000000003</v>
      </c>
      <c r="J189" s="29" t="n">
        <f aca="false">MAX(-G189,0)</f>
        <v>0</v>
      </c>
      <c r="K189" s="29" t="n">
        <f aca="false">(K188*13+I189)/14</f>
        <v>0.160588110308389</v>
      </c>
      <c r="L189" s="29" t="n">
        <f aca="false">(L188*13+J189)/14</f>
        <v>0.173605049480569</v>
      </c>
      <c r="M189" s="31" t="n">
        <f aca="false">IF(L189=0,100,100-100/(1+K189/MAX(L189,0.000001)))</f>
        <v>48.0524827048524</v>
      </c>
      <c r="N189" s="30" t="n">
        <f aca="false">AVERAGE(E170:E189)</f>
        <v>32.7755</v>
      </c>
      <c r="O189" s="30" t="n">
        <f aca="false">AVERAGE(E140:E189)</f>
        <v>32.133</v>
      </c>
      <c r="Q189" s="30" t="n">
        <f aca="false">Q188+(2/13)*(E189-Q188)</f>
        <v>32.7980526319046</v>
      </c>
      <c r="R189" s="30" t="n">
        <f aca="false">R188+(2/27)*(E189-R188)</f>
        <v>32.5691357698623</v>
      </c>
      <c r="S189" s="33" t="n">
        <f aca="false">Q189-R189</f>
        <v>0.228916862042269</v>
      </c>
      <c r="T189" s="33" t="n">
        <f aca="false">T188+(2/10)*(S189-T188)</f>
        <v>0.309638887469758</v>
      </c>
      <c r="U189" s="33" t="n">
        <f aca="false">S189-T189</f>
        <v>-0.0807220254274893</v>
      </c>
      <c r="V189" s="32" t="str">
        <f aca="false">IF(M189="","",IF(M189&lt;Assumptions!$B$5,"BUY",IF(M189&gt;Assumptions!$B$4,"SELL","HOLD")))</f>
        <v>HOLD</v>
      </c>
      <c r="W189" s="32" t="str">
        <f aca="false">IF(O189="","",IF(E189&gt;O189,"BUY","SELL"))</f>
        <v>BUY</v>
      </c>
      <c r="X189" s="32" t="str">
        <f aca="false">IF(T189="","",IF(S189&gt;T189,"BUY","SELL"))</f>
        <v>SELL</v>
      </c>
      <c r="Y189" s="34" t="n">
        <f aca="false">IF(OR(V189="",W189="",X189=""),"",IFERROR(IF(V189="BUY",1,IF(V189="SELL",-1,0))+IF(W189="BUY",1,IF(W189="SELL",-1,0))+IF(X189="BUY",1,IF(X189="SELL",-1,0)),0))</f>
        <v>0</v>
      </c>
      <c r="Z189" s="32" t="str">
        <f aca="false">IF(Y189="","",IF(Y189&gt;=2,"STRONG BUY",IF(Y189=1,"BUY",IF(Y189=0,"HOLD",IF(Y189=-1,"SELL","STRONG SELL")))))</f>
        <v>HOLD</v>
      </c>
    </row>
    <row r="190" customFormat="false" ht="15" hidden="false" customHeight="false" outlineLevel="0" collapsed="false">
      <c r="A190" s="24" t="n">
        <v>46034</v>
      </c>
      <c r="B190" s="25" t="n">
        <v>32.4</v>
      </c>
      <c r="C190" s="25" t="n">
        <v>32.5</v>
      </c>
      <c r="D190" s="25" t="n">
        <v>32.4</v>
      </c>
      <c r="E190" s="25" t="n">
        <v>32.45</v>
      </c>
      <c r="F190" s="26" t="n">
        <v>40271311</v>
      </c>
      <c r="G190" s="27" t="n">
        <f aca="false">E190-E189</f>
        <v>0.0600000000000023</v>
      </c>
      <c r="H190" s="28" t="n">
        <f aca="false">G190/E189</f>
        <v>0.00185242358752708</v>
      </c>
      <c r="I190" s="29" t="n">
        <f aca="false">MAX(G190,0)</f>
        <v>0.0600000000000023</v>
      </c>
      <c r="J190" s="29" t="n">
        <f aca="false">MAX(-G190,0)</f>
        <v>0</v>
      </c>
      <c r="K190" s="29" t="n">
        <f aca="false">(K189*13+I190)/14</f>
        <v>0.153403245286361</v>
      </c>
      <c r="L190" s="29" t="n">
        <f aca="false">(L189*13+J190)/14</f>
        <v>0.161204688803386</v>
      </c>
      <c r="M190" s="31" t="n">
        <f aca="false">IF(L190=0,100,100-100/(1+K190/MAX(L190,0.000001)))</f>
        <v>48.7601324264761</v>
      </c>
      <c r="N190" s="30" t="n">
        <f aca="false">AVERAGE(E171:E190)</f>
        <v>32.82</v>
      </c>
      <c r="O190" s="30" t="n">
        <f aca="false">AVERAGE(E141:E190)</f>
        <v>32.1312</v>
      </c>
      <c r="Q190" s="30" t="n">
        <f aca="false">Q189+(2/13)*(E190-Q189)</f>
        <v>32.74450607315</v>
      </c>
      <c r="R190" s="30" t="n">
        <f aca="false">R189+(2/27)*(E190-R189)</f>
        <v>32.5603108980207</v>
      </c>
      <c r="S190" s="33" t="n">
        <f aca="false">Q190-R190</f>
        <v>0.184195175129368</v>
      </c>
      <c r="T190" s="33" t="n">
        <f aca="false">T189+(2/10)*(S190-T189)</f>
        <v>0.28455014500168</v>
      </c>
      <c r="U190" s="33" t="n">
        <f aca="false">S190-T190</f>
        <v>-0.100354969872312</v>
      </c>
      <c r="V190" s="32" t="str">
        <f aca="false">IF(M190="","",IF(M190&lt;Assumptions!$B$5,"BUY",IF(M190&gt;Assumptions!$B$4,"SELL","HOLD")))</f>
        <v>HOLD</v>
      </c>
      <c r="W190" s="32" t="str">
        <f aca="false">IF(O190="","",IF(E190&gt;O190,"BUY","SELL"))</f>
        <v>BUY</v>
      </c>
      <c r="X190" s="32" t="str">
        <f aca="false">IF(T190="","",IF(S190&gt;T190,"BUY","SELL"))</f>
        <v>SELL</v>
      </c>
      <c r="Y190" s="34" t="n">
        <f aca="false">IF(OR(V190="",W190="",X190=""),"",IFERROR(IF(V190="BUY",1,IF(V190="SELL",-1,0))+IF(W190="BUY",1,IF(W190="SELL",-1,0))+IF(X190="BUY",1,IF(X190="SELL",-1,0)),0))</f>
        <v>0</v>
      </c>
      <c r="Z190" s="32" t="str">
        <f aca="false">IF(Y190="","",IF(Y190&gt;=2,"STRONG BUY",IF(Y190=1,"BUY",IF(Y190=0,"HOLD",IF(Y190=-1,"SELL","STRONG SELL")))))</f>
        <v>HOLD</v>
      </c>
    </row>
    <row r="191" customFormat="false" ht="15" hidden="false" customHeight="false" outlineLevel="0" collapsed="false">
      <c r="A191" s="24" t="n">
        <v>46035</v>
      </c>
      <c r="B191" s="25" t="n">
        <v>32.01</v>
      </c>
      <c r="C191" s="25" t="n">
        <v>32.17</v>
      </c>
      <c r="D191" s="25" t="n">
        <v>32.01</v>
      </c>
      <c r="E191" s="25" t="n">
        <v>32.09</v>
      </c>
      <c r="F191" s="26" t="n">
        <v>59283082</v>
      </c>
      <c r="G191" s="27" t="n">
        <f aca="false">E191-E190</f>
        <v>-0.359999999999999</v>
      </c>
      <c r="H191" s="28" t="n">
        <f aca="false">G191/E190</f>
        <v>-0.0110939907550077</v>
      </c>
      <c r="I191" s="29" t="n">
        <f aca="false">MAX(G191,0)</f>
        <v>0</v>
      </c>
      <c r="J191" s="29" t="n">
        <f aca="false">MAX(-G191,0)</f>
        <v>0.359999999999999</v>
      </c>
      <c r="K191" s="29" t="n">
        <f aca="false">(K190*13+I191)/14</f>
        <v>0.14244587062305</v>
      </c>
      <c r="L191" s="29" t="n">
        <f aca="false">(L190*13+J191)/14</f>
        <v>0.175404353888858</v>
      </c>
      <c r="M191" s="31" t="n">
        <f aca="false">IF(L191=0,100,100-100/(1+K191/MAX(L191,0.000001)))</f>
        <v>44.8154066405932</v>
      </c>
      <c r="N191" s="30" t="n">
        <f aca="false">AVERAGE(E172:E191)</f>
        <v>32.8095</v>
      </c>
      <c r="O191" s="30" t="n">
        <f aca="false">AVERAGE(E142:E191)</f>
        <v>32.132</v>
      </c>
      <c r="Q191" s="30" t="n">
        <f aca="false">Q190+(2/13)*(E191-Q190)</f>
        <v>32.643812831127</v>
      </c>
      <c r="R191" s="30" t="n">
        <f aca="false">R190+(2/27)*(E191-R190)</f>
        <v>32.5254730537228</v>
      </c>
      <c r="S191" s="33" t="n">
        <f aca="false">Q191-R191</f>
        <v>0.11833977740411</v>
      </c>
      <c r="T191" s="33" t="n">
        <f aca="false">T190+(2/10)*(S191-T190)</f>
        <v>0.251308071482166</v>
      </c>
      <c r="U191" s="33" t="n">
        <f aca="false">S191-T191</f>
        <v>-0.132968294078056</v>
      </c>
      <c r="V191" s="32" t="str">
        <f aca="false">IF(M191="","",IF(M191&lt;Assumptions!$B$5,"BUY",IF(M191&gt;Assumptions!$B$4,"SELL","HOLD")))</f>
        <v>HOLD</v>
      </c>
      <c r="W191" s="32" t="str">
        <f aca="false">IF(O191="","",IF(E191&gt;O191,"BUY","SELL"))</f>
        <v>SELL</v>
      </c>
      <c r="X191" s="32" t="str">
        <f aca="false">IF(T191="","",IF(S191&gt;T191,"BUY","SELL"))</f>
        <v>SELL</v>
      </c>
      <c r="Y191" s="34" t="n">
        <f aca="false">IF(OR(V191="",W191="",X191=""),"",IFERROR(IF(V191="BUY",1,IF(V191="SELL",-1,0))+IF(W191="BUY",1,IF(W191="SELL",-1,0))+IF(X191="BUY",1,IF(X191="SELL",-1,0)),0))</f>
        <v>-2</v>
      </c>
      <c r="Z191" s="32" t="str">
        <f aca="false">IF(Y191="","",IF(Y191&gt;=2,"STRONG BUY",IF(Y191=1,"BUY",IF(Y191=0,"HOLD",IF(Y191=-1,"SELL","STRONG SELL")))))</f>
        <v>STRONG SELL</v>
      </c>
    </row>
    <row r="192" customFormat="false" ht="15" hidden="false" customHeight="false" outlineLevel="0" collapsed="false">
      <c r="A192" s="24" t="n">
        <v>46036</v>
      </c>
      <c r="B192" s="25" t="n">
        <v>32.88</v>
      </c>
      <c r="C192" s="25" t="n">
        <v>32.88</v>
      </c>
      <c r="D192" s="25" t="n">
        <v>32.76</v>
      </c>
      <c r="E192" s="25" t="n">
        <v>32.82</v>
      </c>
      <c r="F192" s="26" t="n">
        <v>42663523</v>
      </c>
      <c r="G192" s="27" t="n">
        <f aca="false">E192-E191</f>
        <v>0.729999999999997</v>
      </c>
      <c r="H192" s="28" t="n">
        <f aca="false">G192/E191</f>
        <v>0.0227485197880959</v>
      </c>
      <c r="I192" s="29" t="n">
        <f aca="false">MAX(G192,0)</f>
        <v>0.729999999999997</v>
      </c>
      <c r="J192" s="29" t="n">
        <f aca="false">MAX(-G192,0)</f>
        <v>0</v>
      </c>
      <c r="K192" s="29" t="n">
        <f aca="false">(K191*13+I192)/14</f>
        <v>0.184414022721403</v>
      </c>
      <c r="L192" s="29" t="n">
        <f aca="false">(L191*13+J192)/14</f>
        <v>0.162875471468225</v>
      </c>
      <c r="M192" s="31" t="n">
        <f aca="false">IF(L192=0,100,100-100/(1+K192/MAX(L192,0.000001)))</f>
        <v>53.1009505921618</v>
      </c>
      <c r="N192" s="30" t="n">
        <f aca="false">AVERAGE(E173:E192)</f>
        <v>32.8335</v>
      </c>
      <c r="O192" s="30" t="n">
        <f aca="false">AVERAGE(E143:E192)</f>
        <v>32.1368</v>
      </c>
      <c r="Q192" s="30" t="n">
        <f aca="false">Q191+(2/13)*(E192-Q191)</f>
        <v>32.6709185494151</v>
      </c>
      <c r="R192" s="30" t="n">
        <f aca="false">R191+(2/27)*(E192-R191)</f>
        <v>32.5472898645582</v>
      </c>
      <c r="S192" s="33" t="n">
        <f aca="false">Q192-R192</f>
        <v>0.123628684856925</v>
      </c>
      <c r="T192" s="33" t="n">
        <f aca="false">T191+(2/10)*(S192-T191)</f>
        <v>0.225772194157118</v>
      </c>
      <c r="U192" s="33" t="n">
        <f aca="false">S192-T192</f>
        <v>-0.102143509300193</v>
      </c>
      <c r="V192" s="32" t="str">
        <f aca="false">IF(M192="","",IF(M192&lt;Assumptions!$B$5,"BUY",IF(M192&gt;Assumptions!$B$4,"SELL","HOLD")))</f>
        <v>HOLD</v>
      </c>
      <c r="W192" s="32" t="str">
        <f aca="false">IF(O192="","",IF(E192&gt;O192,"BUY","SELL"))</f>
        <v>BUY</v>
      </c>
      <c r="X192" s="32" t="str">
        <f aca="false">IF(T192="","",IF(S192&gt;T192,"BUY","SELL"))</f>
        <v>SELL</v>
      </c>
      <c r="Y192" s="34" t="n">
        <f aca="false">IF(OR(V192="",W192="",X192=""),"",IFERROR(IF(V192="BUY",1,IF(V192="SELL",-1,0))+IF(W192="BUY",1,IF(W192="SELL",-1,0))+IF(X192="BUY",1,IF(X192="SELL",-1,0)),0))</f>
        <v>0</v>
      </c>
      <c r="Z192" s="32" t="str">
        <f aca="false">IF(Y192="","",IF(Y192&gt;=2,"STRONG BUY",IF(Y192=1,"BUY",IF(Y192=0,"HOLD",IF(Y192=-1,"SELL","STRONG SELL")))))</f>
        <v>HOLD</v>
      </c>
    </row>
    <row r="193" customFormat="false" ht="15" hidden="false" customHeight="false" outlineLevel="0" collapsed="false">
      <c r="A193" s="24" t="n">
        <v>46037</v>
      </c>
      <c r="B193" s="25" t="n">
        <v>31.98</v>
      </c>
      <c r="C193" s="25" t="n">
        <v>32.77</v>
      </c>
      <c r="D193" s="25" t="n">
        <v>31.61</v>
      </c>
      <c r="E193" s="25" t="n">
        <v>32.19</v>
      </c>
      <c r="F193" s="26" t="n">
        <v>33671459</v>
      </c>
      <c r="G193" s="27" t="n">
        <f aca="false">E193-E192</f>
        <v>-0.630000000000003</v>
      </c>
      <c r="H193" s="28" t="n">
        <f aca="false">G193/E192</f>
        <v>-0.0191956124314443</v>
      </c>
      <c r="I193" s="29" t="n">
        <f aca="false">MAX(G193,0)</f>
        <v>0</v>
      </c>
      <c r="J193" s="29" t="n">
        <f aca="false">MAX(-G193,0)</f>
        <v>0.630000000000003</v>
      </c>
      <c r="K193" s="29" t="n">
        <f aca="false">(K192*13+I193)/14</f>
        <v>0.171241592527017</v>
      </c>
      <c r="L193" s="29" t="n">
        <f aca="false">(L192*13+J193)/14</f>
        <v>0.196241509220495</v>
      </c>
      <c r="M193" s="31" t="n">
        <f aca="false">IF(L193=0,100,100-100/(1+K193/MAX(L193,0.000001)))</f>
        <v>46.5984943831983</v>
      </c>
      <c r="N193" s="30" t="n">
        <f aca="false">AVERAGE(E174:E193)</f>
        <v>32.816</v>
      </c>
      <c r="O193" s="30" t="n">
        <f aca="false">AVERAGE(E144:E193)</f>
        <v>32.127</v>
      </c>
      <c r="Q193" s="30" t="n">
        <f aca="false">Q192+(2/13)*(E193-Q192)</f>
        <v>32.5969310802743</v>
      </c>
      <c r="R193" s="30" t="n">
        <f aca="false">R192+(2/27)*(E193-R192)</f>
        <v>32.520823948665</v>
      </c>
      <c r="S193" s="33" t="n">
        <f aca="false">Q193-R193</f>
        <v>0.0761071316093336</v>
      </c>
      <c r="T193" s="33" t="n">
        <f aca="false">T192+(2/10)*(S193-T192)</f>
        <v>0.195839181647561</v>
      </c>
      <c r="U193" s="33" t="n">
        <f aca="false">S193-T193</f>
        <v>-0.119732050038227</v>
      </c>
      <c r="V193" s="32" t="str">
        <f aca="false">IF(M193="","",IF(M193&lt;Assumptions!$B$5,"BUY",IF(M193&gt;Assumptions!$B$4,"SELL","HOLD")))</f>
        <v>HOLD</v>
      </c>
      <c r="W193" s="32" t="str">
        <f aca="false">IF(O193="","",IF(E193&gt;O193,"BUY","SELL"))</f>
        <v>BUY</v>
      </c>
      <c r="X193" s="32" t="str">
        <f aca="false">IF(T193="","",IF(S193&gt;T193,"BUY","SELL"))</f>
        <v>SELL</v>
      </c>
      <c r="Y193" s="34" t="n">
        <f aca="false">IF(OR(V193="",W193="",X193=""),"",IFERROR(IF(V193="BUY",1,IF(V193="SELL",-1,0))+IF(W193="BUY",1,IF(W193="SELL",-1,0))+IF(X193="BUY",1,IF(X193="SELL",-1,0)),0))</f>
        <v>0</v>
      </c>
      <c r="Z193" s="32" t="str">
        <f aca="false">IF(Y193="","",IF(Y193&gt;=2,"STRONG BUY",IF(Y193=1,"BUY",IF(Y193=0,"HOLD",IF(Y193=-1,"SELL","STRONG SELL")))))</f>
        <v>HOLD</v>
      </c>
    </row>
    <row r="194" customFormat="false" ht="15" hidden="false" customHeight="false" outlineLevel="0" collapsed="false">
      <c r="A194" s="24" t="n">
        <v>46038</v>
      </c>
      <c r="B194" s="25" t="n">
        <v>31.75</v>
      </c>
      <c r="C194" s="25" t="n">
        <v>31.75</v>
      </c>
      <c r="D194" s="25" t="n">
        <v>31.49</v>
      </c>
      <c r="E194" s="25" t="n">
        <v>31.62</v>
      </c>
      <c r="F194" s="26" t="n">
        <v>32632672</v>
      </c>
      <c r="G194" s="27" t="n">
        <f aca="false">E194-E193</f>
        <v>-0.569999999999997</v>
      </c>
      <c r="H194" s="28" t="n">
        <f aca="false">G194/E193</f>
        <v>-0.0177073625349486</v>
      </c>
      <c r="I194" s="29" t="n">
        <f aca="false">MAX(G194,0)</f>
        <v>0</v>
      </c>
      <c r="J194" s="29" t="n">
        <f aca="false">MAX(-G194,0)</f>
        <v>0.569999999999997</v>
      </c>
      <c r="K194" s="29" t="n">
        <f aca="false">(K193*13+I194)/14</f>
        <v>0.159010050203659</v>
      </c>
      <c r="L194" s="29" t="n">
        <f aca="false">(L193*13+J194)/14</f>
        <v>0.222938544276174</v>
      </c>
      <c r="M194" s="31" t="n">
        <f aca="false">IF(L194=0,100,100-100/(1+K194/MAX(L194,0.000001)))</f>
        <v>41.6312698886119</v>
      </c>
      <c r="N194" s="30" t="n">
        <f aca="false">AVERAGE(E175:E194)</f>
        <v>32.75</v>
      </c>
      <c r="O194" s="30" t="n">
        <f aca="false">AVERAGE(E145:E194)</f>
        <v>32.1174</v>
      </c>
      <c r="Q194" s="30" t="n">
        <f aca="false">Q193+(2/13)*(E194-Q193)</f>
        <v>32.4466339910014</v>
      </c>
      <c r="R194" s="30" t="n">
        <f aca="false">R193+(2/27)*(E194-R193)</f>
        <v>32.4540962487639</v>
      </c>
      <c r="S194" s="33" t="n">
        <f aca="false">Q194-R194</f>
        <v>-0.0074622577625334</v>
      </c>
      <c r="T194" s="33" t="n">
        <f aca="false">T193+(2/10)*(S194-T193)</f>
        <v>0.155178893765542</v>
      </c>
      <c r="U194" s="33" t="n">
        <f aca="false">S194-T194</f>
        <v>-0.162641151528075</v>
      </c>
      <c r="V194" s="32" t="str">
        <f aca="false">IF(M194="","",IF(M194&lt;Assumptions!$B$5,"BUY",IF(M194&gt;Assumptions!$B$4,"SELL","HOLD")))</f>
        <v>HOLD</v>
      </c>
      <c r="W194" s="32" t="str">
        <f aca="false">IF(O194="","",IF(E194&gt;O194,"BUY","SELL"))</f>
        <v>SELL</v>
      </c>
      <c r="X194" s="32" t="str">
        <f aca="false">IF(T194="","",IF(S194&gt;T194,"BUY","SELL"))</f>
        <v>SELL</v>
      </c>
      <c r="Y194" s="34" t="n">
        <f aca="false">IF(OR(V194="",W194="",X194=""),"",IFERROR(IF(V194="BUY",1,IF(V194="SELL",-1,0))+IF(W194="BUY",1,IF(W194="SELL",-1,0))+IF(X194="BUY",1,IF(X194="SELL",-1,0)),0))</f>
        <v>-2</v>
      </c>
      <c r="Z194" s="32" t="str">
        <f aca="false">IF(Y194="","",IF(Y194&gt;=2,"STRONG BUY",IF(Y194=1,"BUY",IF(Y194=0,"HOLD",IF(Y194=-1,"SELL","STRONG SELL")))))</f>
        <v>STRONG SELL</v>
      </c>
    </row>
    <row r="195" customFormat="false" ht="15" hidden="false" customHeight="false" outlineLevel="0" collapsed="false">
      <c r="A195" s="24" t="n">
        <v>46041</v>
      </c>
      <c r="B195" s="25" t="n">
        <v>31.67</v>
      </c>
      <c r="C195" s="25" t="n">
        <v>32.14</v>
      </c>
      <c r="D195" s="25" t="n">
        <v>31.44</v>
      </c>
      <c r="E195" s="25" t="n">
        <v>31.79</v>
      </c>
      <c r="F195" s="26" t="n">
        <v>72633924</v>
      </c>
      <c r="G195" s="27" t="n">
        <f aca="false">E195-E194</f>
        <v>0.169999999999998</v>
      </c>
      <c r="H195" s="28" t="n">
        <f aca="false">G195/E194</f>
        <v>0.00537634408602145</v>
      </c>
      <c r="I195" s="29" t="n">
        <f aca="false">MAX(G195,0)</f>
        <v>0.169999999999998</v>
      </c>
      <c r="J195" s="29" t="n">
        <f aca="false">MAX(-G195,0)</f>
        <v>0</v>
      </c>
      <c r="K195" s="29" t="n">
        <f aca="false">(K194*13+I195)/14</f>
        <v>0.159795046617683</v>
      </c>
      <c r="L195" s="29" t="n">
        <f aca="false">(L194*13+J195)/14</f>
        <v>0.207014362542161</v>
      </c>
      <c r="M195" s="31" t="n">
        <f aca="false">IF(L195=0,100,100-100/(1+K195/MAX(L195,0.000001)))</f>
        <v>43.563508085489</v>
      </c>
      <c r="N195" s="30" t="n">
        <f aca="false">AVERAGE(E176:E195)</f>
        <v>32.7</v>
      </c>
      <c r="O195" s="30" t="n">
        <f aca="false">AVERAGE(E146:E195)</f>
        <v>32.1086</v>
      </c>
      <c r="Q195" s="30" t="n">
        <f aca="false">Q194+(2/13)*(E195-Q194)</f>
        <v>32.3456133770011</v>
      </c>
      <c r="R195" s="30" t="n">
        <f aca="false">R194+(2/27)*(E195-R194)</f>
        <v>32.4049039340406</v>
      </c>
      <c r="S195" s="33" t="n">
        <f aca="false">Q195-R195</f>
        <v>-0.059290557039489</v>
      </c>
      <c r="T195" s="33" t="n">
        <f aca="false">T194+(2/10)*(S195-T194)</f>
        <v>0.112285003604536</v>
      </c>
      <c r="U195" s="33" t="n">
        <f aca="false">S195-T195</f>
        <v>-0.171575560644025</v>
      </c>
      <c r="V195" s="32" t="str">
        <f aca="false">IF(M195="","",IF(M195&lt;Assumptions!$B$5,"BUY",IF(M195&gt;Assumptions!$B$4,"SELL","HOLD")))</f>
        <v>HOLD</v>
      </c>
      <c r="W195" s="32" t="str">
        <f aca="false">IF(O195="","",IF(E195&gt;O195,"BUY","SELL"))</f>
        <v>SELL</v>
      </c>
      <c r="X195" s="32" t="str">
        <f aca="false">IF(T195="","",IF(S195&gt;T195,"BUY","SELL"))</f>
        <v>SELL</v>
      </c>
      <c r="Y195" s="34" t="n">
        <f aca="false">IF(OR(V195="",W195="",X195=""),"",IFERROR(IF(V195="BUY",1,IF(V195="SELL",-1,0))+IF(W195="BUY",1,IF(W195="SELL",-1,0))+IF(X195="BUY",1,IF(X195="SELL",-1,0)),0))</f>
        <v>-2</v>
      </c>
      <c r="Z195" s="32" t="str">
        <f aca="false">IF(Y195="","",IF(Y195&gt;=2,"STRONG BUY",IF(Y195=1,"BUY",IF(Y195=0,"HOLD",IF(Y195=-1,"SELL","STRONG SELL")))))</f>
        <v>STRONG SELL</v>
      </c>
    </row>
    <row r="196" customFormat="false" ht="15" hidden="false" customHeight="false" outlineLevel="0" collapsed="false">
      <c r="A196" s="24" t="n">
        <v>46042</v>
      </c>
      <c r="B196" s="25" t="n">
        <v>31.71</v>
      </c>
      <c r="C196" s="25" t="n">
        <v>31.71</v>
      </c>
      <c r="D196" s="25" t="n">
        <v>31.69</v>
      </c>
      <c r="E196" s="25" t="n">
        <v>31.7</v>
      </c>
      <c r="F196" s="26" t="n">
        <v>81184742</v>
      </c>
      <c r="G196" s="27" t="n">
        <f aca="false">E196-E195</f>
        <v>-0.0899999999999999</v>
      </c>
      <c r="H196" s="28" t="n">
        <f aca="false">G196/E195</f>
        <v>-0.00283107895564643</v>
      </c>
      <c r="I196" s="29" t="n">
        <f aca="false">MAX(G196,0)</f>
        <v>0</v>
      </c>
      <c r="J196" s="29" t="n">
        <f aca="false">MAX(-G196,0)</f>
        <v>0.0899999999999999</v>
      </c>
      <c r="K196" s="29" t="n">
        <f aca="false">(K195*13+I196)/14</f>
        <v>0.14838111471642</v>
      </c>
      <c r="L196" s="29" t="n">
        <f aca="false">(L195*13+J196)/14</f>
        <v>0.19865619378915</v>
      </c>
      <c r="M196" s="31" t="n">
        <f aca="false">IF(L196=0,100,100-100/(1+K196/MAX(L196,0.000001)))</f>
        <v>42.7565310932667</v>
      </c>
      <c r="N196" s="30" t="n">
        <f aca="false">AVERAGE(E177:E196)</f>
        <v>32.671</v>
      </c>
      <c r="O196" s="30" t="n">
        <f aca="false">AVERAGE(E147:E196)</f>
        <v>32.0964</v>
      </c>
      <c r="Q196" s="30" t="n">
        <f aca="false">Q195+(2/13)*(E196-Q195)</f>
        <v>32.2462882420779</v>
      </c>
      <c r="R196" s="30" t="n">
        <f aca="false">R195+(2/27)*(E196-R195)</f>
        <v>32.3526888278154</v>
      </c>
      <c r="S196" s="33" t="n">
        <f aca="false">Q196-R196</f>
        <v>-0.106400585737511</v>
      </c>
      <c r="T196" s="33" t="n">
        <f aca="false">T195+(2/10)*(S196-T195)</f>
        <v>0.0685478857361265</v>
      </c>
      <c r="U196" s="33" t="n">
        <f aca="false">S196-T196</f>
        <v>-0.174948471473637</v>
      </c>
      <c r="V196" s="32" t="str">
        <f aca="false">IF(M196="","",IF(M196&lt;Assumptions!$B$5,"BUY",IF(M196&gt;Assumptions!$B$4,"SELL","HOLD")))</f>
        <v>HOLD</v>
      </c>
      <c r="W196" s="32" t="str">
        <f aca="false">IF(O196="","",IF(E196&gt;O196,"BUY","SELL"))</f>
        <v>SELL</v>
      </c>
      <c r="X196" s="32" t="str">
        <f aca="false">IF(T196="","",IF(S196&gt;T196,"BUY","SELL"))</f>
        <v>SELL</v>
      </c>
      <c r="Y196" s="34" t="n">
        <f aca="false">IF(OR(V196="",W196="",X196=""),"",IFERROR(IF(V196="BUY",1,IF(V196="SELL",-1,0))+IF(W196="BUY",1,IF(W196="SELL",-1,0))+IF(X196="BUY",1,IF(X196="SELL",-1,0)),0))</f>
        <v>-2</v>
      </c>
      <c r="Z196" s="32" t="str">
        <f aca="false">IF(Y196="","",IF(Y196&gt;=2,"STRONG BUY",IF(Y196=1,"BUY",IF(Y196=0,"HOLD",IF(Y196=-1,"SELL","STRONG SELL")))))</f>
        <v>STRONG SELL</v>
      </c>
    </row>
    <row r="197" customFormat="false" ht="15" hidden="false" customHeight="false" outlineLevel="0" collapsed="false">
      <c r="A197" s="24" t="n">
        <v>46043</v>
      </c>
      <c r="B197" s="25" t="n">
        <v>32.01</v>
      </c>
      <c r="C197" s="25" t="n">
        <v>32.01</v>
      </c>
      <c r="D197" s="25" t="n">
        <v>31.77</v>
      </c>
      <c r="E197" s="25" t="n">
        <v>31.89</v>
      </c>
      <c r="F197" s="26" t="n">
        <v>30327219</v>
      </c>
      <c r="G197" s="27" t="n">
        <f aca="false">E197-E196</f>
        <v>0.190000000000001</v>
      </c>
      <c r="H197" s="28" t="n">
        <f aca="false">G197/E196</f>
        <v>0.00599369085173506</v>
      </c>
      <c r="I197" s="29" t="n">
        <f aca="false">MAX(G197,0)</f>
        <v>0.190000000000001</v>
      </c>
      <c r="J197" s="29" t="n">
        <f aca="false">MAX(-G197,0)</f>
        <v>0</v>
      </c>
      <c r="K197" s="29" t="n">
        <f aca="false">(K196*13+I197)/14</f>
        <v>0.151353892236676</v>
      </c>
      <c r="L197" s="29" t="n">
        <f aca="false">(L196*13+J197)/14</f>
        <v>0.184466465661353</v>
      </c>
      <c r="M197" s="31" t="n">
        <f aca="false">IF(L197=0,100,100-100/(1+K197/MAX(L197,0.000001)))</f>
        <v>45.0698978418199</v>
      </c>
      <c r="N197" s="30" t="n">
        <f aca="false">AVERAGE(E178:E197)</f>
        <v>32.6305</v>
      </c>
      <c r="O197" s="30" t="n">
        <f aca="false">AVERAGE(E148:E197)</f>
        <v>32.081</v>
      </c>
      <c r="Q197" s="30" t="n">
        <f aca="false">Q196+(2/13)*(E197-Q196)</f>
        <v>32.1914746663736</v>
      </c>
      <c r="R197" s="30" t="n">
        <f aca="false">R196+(2/27)*(E197-R196)</f>
        <v>32.3184155813106</v>
      </c>
      <c r="S197" s="33" t="n">
        <f aca="false">Q197-R197</f>
        <v>-0.126940914936952</v>
      </c>
      <c r="T197" s="33" t="n">
        <f aca="false">T196+(2/10)*(S197-T196)</f>
        <v>0.0294501256015107</v>
      </c>
      <c r="U197" s="33" t="n">
        <f aca="false">S197-T197</f>
        <v>-0.156391040538463</v>
      </c>
      <c r="V197" s="32" t="str">
        <f aca="false">IF(M197="","",IF(M197&lt;Assumptions!$B$5,"BUY",IF(M197&gt;Assumptions!$B$4,"SELL","HOLD")))</f>
        <v>HOLD</v>
      </c>
      <c r="W197" s="32" t="str">
        <f aca="false">IF(O197="","",IF(E197&gt;O197,"BUY","SELL"))</f>
        <v>SELL</v>
      </c>
      <c r="X197" s="32" t="str">
        <f aca="false">IF(T197="","",IF(S197&gt;T197,"BUY","SELL"))</f>
        <v>SELL</v>
      </c>
      <c r="Y197" s="34" t="n">
        <f aca="false">IF(OR(V197="",W197="",X197=""),"",IFERROR(IF(V197="BUY",1,IF(V197="SELL",-1,0))+IF(W197="BUY",1,IF(W197="SELL",-1,0))+IF(X197="BUY",1,IF(X197="SELL",-1,0)),0))</f>
        <v>-2</v>
      </c>
      <c r="Z197" s="32" t="str">
        <f aca="false">IF(Y197="","",IF(Y197&gt;=2,"STRONG BUY",IF(Y197=1,"BUY",IF(Y197=0,"HOLD",IF(Y197=-1,"SELL","STRONG SELL")))))</f>
        <v>STRONG SELL</v>
      </c>
    </row>
    <row r="198" customFormat="false" ht="15" hidden="false" customHeight="false" outlineLevel="0" collapsed="false">
      <c r="A198" s="24" t="n">
        <v>46044</v>
      </c>
      <c r="B198" s="25" t="n">
        <v>31.68</v>
      </c>
      <c r="C198" s="25" t="n">
        <v>31.68</v>
      </c>
      <c r="D198" s="25" t="n">
        <v>31.56</v>
      </c>
      <c r="E198" s="25" t="n">
        <v>31.62</v>
      </c>
      <c r="F198" s="26" t="n">
        <v>37141295</v>
      </c>
      <c r="G198" s="27" t="n">
        <f aca="false">E198-E197</f>
        <v>-0.27</v>
      </c>
      <c r="H198" s="28" t="n">
        <f aca="false">G198/E197</f>
        <v>-0.00846660395108183</v>
      </c>
      <c r="I198" s="29" t="n">
        <f aca="false">MAX(G198,0)</f>
        <v>0</v>
      </c>
      <c r="J198" s="29" t="n">
        <f aca="false">MAX(-G198,0)</f>
        <v>0.27</v>
      </c>
      <c r="K198" s="29" t="n">
        <f aca="false">(K197*13+I198)/14</f>
        <v>0.140542899934056</v>
      </c>
      <c r="L198" s="29" t="n">
        <f aca="false">(L197*13+J198)/14</f>
        <v>0.1905760038284</v>
      </c>
      <c r="M198" s="31" t="n">
        <f aca="false">IF(L198=0,100,100-100/(1+K198/MAX(L198,0.000001)))</f>
        <v>42.4448433288126</v>
      </c>
      <c r="N198" s="30" t="n">
        <f aca="false">AVERAGE(E179:E198)</f>
        <v>32.612</v>
      </c>
      <c r="O198" s="30" t="n">
        <f aca="false">AVERAGE(E149:E198)</f>
        <v>32.0494</v>
      </c>
      <c r="Q198" s="30" t="n">
        <f aca="false">Q197+(2/13)*(E198-Q197)</f>
        <v>32.1035554869315</v>
      </c>
      <c r="R198" s="30" t="n">
        <f aca="false">R197+(2/27)*(E198-R197)</f>
        <v>32.2666810938061</v>
      </c>
      <c r="S198" s="33" t="n">
        <f aca="false">Q198-R198</f>
        <v>-0.163125606874559</v>
      </c>
      <c r="T198" s="33" t="n">
        <f aca="false">T197+(2/10)*(S198-T197)</f>
        <v>-0.00906502089370314</v>
      </c>
      <c r="U198" s="33" t="n">
        <f aca="false">S198-T198</f>
        <v>-0.154060585980855</v>
      </c>
      <c r="V198" s="32" t="str">
        <f aca="false">IF(M198="","",IF(M198&lt;Assumptions!$B$5,"BUY",IF(M198&gt;Assumptions!$B$4,"SELL","HOLD")))</f>
        <v>HOLD</v>
      </c>
      <c r="W198" s="32" t="str">
        <f aca="false">IF(O198="","",IF(E198&gt;O198,"BUY","SELL"))</f>
        <v>SELL</v>
      </c>
      <c r="X198" s="32" t="str">
        <f aca="false">IF(T198="","",IF(S198&gt;T198,"BUY","SELL"))</f>
        <v>SELL</v>
      </c>
      <c r="Y198" s="34" t="n">
        <f aca="false">IF(OR(V198="",W198="",X198=""),"",IFERROR(IF(V198="BUY",1,IF(V198="SELL",-1,0))+IF(W198="BUY",1,IF(W198="SELL",-1,0))+IF(X198="BUY",1,IF(X198="SELL",-1,0)),0))</f>
        <v>-2</v>
      </c>
      <c r="Z198" s="32" t="str">
        <f aca="false">IF(Y198="","",IF(Y198&gt;=2,"STRONG BUY",IF(Y198=1,"BUY",IF(Y198=0,"HOLD",IF(Y198=-1,"SELL","STRONG SELL")))))</f>
        <v>STRONG SELL</v>
      </c>
    </row>
    <row r="199" customFormat="false" ht="15" hidden="false" customHeight="false" outlineLevel="0" collapsed="false">
      <c r="A199" s="24" t="n">
        <v>46045</v>
      </c>
      <c r="B199" s="25" t="n">
        <v>31.19</v>
      </c>
      <c r="C199" s="25" t="n">
        <v>31.29</v>
      </c>
      <c r="D199" s="25" t="n">
        <v>31.05</v>
      </c>
      <c r="E199" s="25" t="n">
        <v>31.17</v>
      </c>
      <c r="F199" s="26" t="n">
        <v>57918516</v>
      </c>
      <c r="G199" s="27" t="n">
        <f aca="false">E199-E198</f>
        <v>-0.449999999999999</v>
      </c>
      <c r="H199" s="28" t="n">
        <f aca="false">G199/E198</f>
        <v>-0.0142314990512334</v>
      </c>
      <c r="I199" s="29" t="n">
        <f aca="false">MAX(G199,0)</f>
        <v>0</v>
      </c>
      <c r="J199" s="29" t="n">
        <f aca="false">MAX(-G199,0)</f>
        <v>0.449999999999999</v>
      </c>
      <c r="K199" s="29" t="n">
        <f aca="false">(K198*13+I199)/14</f>
        <v>0.130504121367338</v>
      </c>
      <c r="L199" s="29" t="n">
        <f aca="false">(L198*13+J199)/14</f>
        <v>0.209106289269228</v>
      </c>
      <c r="M199" s="31" t="n">
        <f aca="false">IF(L199=0,100,100-100/(1+K199/MAX(L199,0.000001)))</f>
        <v>38.4275974116108</v>
      </c>
      <c r="N199" s="30" t="n">
        <f aca="false">AVERAGE(E180:E199)</f>
        <v>32.5305</v>
      </c>
      <c r="O199" s="30" t="n">
        <f aca="false">AVERAGE(E150:E199)</f>
        <v>32.0122</v>
      </c>
      <c r="Q199" s="30" t="n">
        <f aca="false">Q198+(2/13)*(E199-Q198)</f>
        <v>31.9599315658651</v>
      </c>
      <c r="R199" s="30" t="n">
        <f aca="false">R198+(2/27)*(E199-R198)</f>
        <v>32.1854454572278</v>
      </c>
      <c r="S199" s="33" t="n">
        <f aca="false">Q199-R199</f>
        <v>-0.225513891362716</v>
      </c>
      <c r="T199" s="33" t="n">
        <f aca="false">T198+(2/10)*(S199-T198)</f>
        <v>-0.0523547949875058</v>
      </c>
      <c r="U199" s="33" t="n">
        <f aca="false">S199-T199</f>
        <v>-0.173159096375211</v>
      </c>
      <c r="V199" s="32" t="str">
        <f aca="false">IF(M199="","",IF(M199&lt;Assumptions!$B$5,"BUY",IF(M199&gt;Assumptions!$B$4,"SELL","HOLD")))</f>
        <v>HOLD</v>
      </c>
      <c r="W199" s="32" t="str">
        <f aca="false">IF(O199="","",IF(E199&gt;O199,"BUY","SELL"))</f>
        <v>SELL</v>
      </c>
      <c r="X199" s="32" t="str">
        <f aca="false">IF(T199="","",IF(S199&gt;T199,"BUY","SELL"))</f>
        <v>SELL</v>
      </c>
      <c r="Y199" s="34" t="n">
        <f aca="false">IF(OR(V199="",W199="",X199=""),"",IFERROR(IF(V199="BUY",1,IF(V199="SELL",-1,0))+IF(W199="BUY",1,IF(W199="SELL",-1,0))+IF(X199="BUY",1,IF(X199="SELL",-1,0)),0))</f>
        <v>-2</v>
      </c>
      <c r="Z199" s="32" t="str">
        <f aca="false">IF(Y199="","",IF(Y199&gt;=2,"STRONG BUY",IF(Y199=1,"BUY",IF(Y199=0,"HOLD",IF(Y199=-1,"SELL","STRONG SELL")))))</f>
        <v>STRONG SELL</v>
      </c>
    </row>
    <row r="200" customFormat="false" ht="15" hidden="false" customHeight="false" outlineLevel="0" collapsed="false">
      <c r="A200" s="24" t="n">
        <v>46048</v>
      </c>
      <c r="B200" s="25" t="n">
        <v>30.82</v>
      </c>
      <c r="C200" s="25" t="n">
        <v>30.96</v>
      </c>
      <c r="D200" s="25" t="n">
        <v>30.82</v>
      </c>
      <c r="E200" s="25" t="n">
        <v>30.89</v>
      </c>
      <c r="F200" s="26" t="n">
        <v>53445636</v>
      </c>
      <c r="G200" s="27" t="n">
        <f aca="false">E200-E199</f>
        <v>-0.280000000000001</v>
      </c>
      <c r="H200" s="28" t="n">
        <f aca="false">G200/E199</f>
        <v>-0.00898299647096571</v>
      </c>
      <c r="I200" s="29" t="n">
        <f aca="false">MAX(G200,0)</f>
        <v>0</v>
      </c>
      <c r="J200" s="29" t="n">
        <f aca="false">MAX(-G200,0)</f>
        <v>0.280000000000001</v>
      </c>
      <c r="K200" s="29" t="n">
        <f aca="false">(K199*13+I200)/14</f>
        <v>0.121182398412528</v>
      </c>
      <c r="L200" s="29" t="n">
        <f aca="false">(L199*13+J200)/14</f>
        <v>0.214170125749998</v>
      </c>
      <c r="M200" s="31" t="n">
        <f aca="false">IF(L200=0,100,100-100/(1+K200/MAX(L200,0.000001)))</f>
        <v>36.135824149574</v>
      </c>
      <c r="N200" s="30" t="n">
        <f aca="false">AVERAGE(E181:E200)</f>
        <v>32.4145</v>
      </c>
      <c r="O200" s="30" t="n">
        <f aca="false">AVERAGE(E151:E200)</f>
        <v>31.9758</v>
      </c>
      <c r="Q200" s="30" t="n">
        <f aca="false">Q199+(2/13)*(E200-Q199)</f>
        <v>31.7953267095782</v>
      </c>
      <c r="R200" s="30" t="n">
        <f aca="false">R199+(2/27)*(E200-R199)</f>
        <v>32.0894865344702</v>
      </c>
      <c r="S200" s="33" t="n">
        <f aca="false">Q200-R200</f>
        <v>-0.294159824892041</v>
      </c>
      <c r="T200" s="33" t="n">
        <f aca="false">T199+(2/10)*(S200-T199)</f>
        <v>-0.100715800968413</v>
      </c>
      <c r="U200" s="33" t="n">
        <f aca="false">S200-T200</f>
        <v>-0.193444023923628</v>
      </c>
      <c r="V200" s="32" t="str">
        <f aca="false">IF(M200="","",IF(M200&lt;Assumptions!$B$5,"BUY",IF(M200&gt;Assumptions!$B$4,"SELL","HOLD")))</f>
        <v>HOLD</v>
      </c>
      <c r="W200" s="32" t="str">
        <f aca="false">IF(O200="","",IF(E200&gt;O200,"BUY","SELL"))</f>
        <v>SELL</v>
      </c>
      <c r="X200" s="32" t="str">
        <f aca="false">IF(T200="","",IF(S200&gt;T200,"BUY","SELL"))</f>
        <v>SELL</v>
      </c>
      <c r="Y200" s="34" t="n">
        <f aca="false">IF(OR(V200="",W200="",X200=""),"",IFERROR(IF(V200="BUY",1,IF(V200="SELL",-1,0))+IF(W200="BUY",1,IF(W200="SELL",-1,0))+IF(X200="BUY",1,IF(X200="SELL",-1,0)),0))</f>
        <v>-2</v>
      </c>
      <c r="Z200" s="32" t="str">
        <f aca="false">IF(Y200="","",IF(Y200&gt;=2,"STRONG BUY",IF(Y200=1,"BUY",IF(Y200=0,"HOLD",IF(Y200=-1,"SELL","STRONG SELL")))))</f>
        <v>STRONG SELL</v>
      </c>
    </row>
    <row r="201" customFormat="false" ht="15" hidden="false" customHeight="false" outlineLevel="0" collapsed="false">
      <c r="A201" s="24" t="n">
        <v>46049</v>
      </c>
      <c r="B201" s="25" t="n">
        <v>30.72</v>
      </c>
      <c r="C201" s="25" t="n">
        <v>30.72</v>
      </c>
      <c r="D201" s="25" t="n">
        <v>30.48</v>
      </c>
      <c r="E201" s="25" t="n">
        <v>30.6</v>
      </c>
      <c r="F201" s="26" t="n">
        <v>55742808</v>
      </c>
      <c r="G201" s="27" t="n">
        <f aca="false">E201-E200</f>
        <v>-0.289999999999999</v>
      </c>
      <c r="H201" s="28" t="n">
        <f aca="false">G201/E200</f>
        <v>-0.00938815150534151</v>
      </c>
      <c r="I201" s="29" t="n">
        <f aca="false">MAX(G201,0)</f>
        <v>0</v>
      </c>
      <c r="J201" s="29" t="n">
        <f aca="false">MAX(-G201,0)</f>
        <v>0.289999999999999</v>
      </c>
      <c r="K201" s="29" t="n">
        <f aca="false">(K200*13+I201)/14</f>
        <v>0.112526512811633</v>
      </c>
      <c r="L201" s="29" t="n">
        <f aca="false">(L200*13+J201)/14</f>
        <v>0.219586545339283</v>
      </c>
      <c r="M201" s="31" t="n">
        <f aca="false">IF(L201=0,100,100-100/(1+K201/MAX(L201,0.000001)))</f>
        <v>33.8819898976991</v>
      </c>
      <c r="N201" s="30" t="n">
        <f aca="false">AVERAGE(E182:E201)</f>
        <v>32.2795</v>
      </c>
      <c r="O201" s="30" t="n">
        <f aca="false">AVERAGE(E152:E201)</f>
        <v>31.939</v>
      </c>
      <c r="Q201" s="30" t="n">
        <f aca="false">Q200+(2/13)*(E201-Q200)</f>
        <v>31.61143029272</v>
      </c>
      <c r="R201" s="30" t="n">
        <f aca="false">R200+(2/27)*(E201-R200)</f>
        <v>31.9791541985835</v>
      </c>
      <c r="S201" s="33" t="n">
        <f aca="false">Q201-R201</f>
        <v>-0.367723905863542</v>
      </c>
      <c r="T201" s="33" t="n">
        <f aca="false">T200+(2/10)*(S201-T200)</f>
        <v>-0.154117421947439</v>
      </c>
      <c r="U201" s="33" t="n">
        <f aca="false">S201-T201</f>
        <v>-0.213606483916103</v>
      </c>
      <c r="V201" s="32" t="str">
        <f aca="false">IF(M201="","",IF(M201&lt;Assumptions!$B$5,"BUY",IF(M201&gt;Assumptions!$B$4,"SELL","HOLD")))</f>
        <v>HOLD</v>
      </c>
      <c r="W201" s="32" t="str">
        <f aca="false">IF(O201="","",IF(E201&gt;O201,"BUY","SELL"))</f>
        <v>SELL</v>
      </c>
      <c r="X201" s="32" t="str">
        <f aca="false">IF(T201="","",IF(S201&gt;T201,"BUY","SELL"))</f>
        <v>SELL</v>
      </c>
      <c r="Y201" s="34" t="n">
        <f aca="false">IF(OR(V201="",W201="",X201=""),"",IFERROR(IF(V201="BUY",1,IF(V201="SELL",-1,0))+IF(W201="BUY",1,IF(W201="SELL",-1,0))+IF(X201="BUY",1,IF(X201="SELL",-1,0)),0))</f>
        <v>-2</v>
      </c>
      <c r="Z201" s="32" t="str">
        <f aca="false">IF(Y201="","",IF(Y201&gt;=2,"STRONG BUY",IF(Y201=1,"BUY",IF(Y201=0,"HOLD",IF(Y201=-1,"SELL","STRONG SELL")))))</f>
        <v>STRONG SELL</v>
      </c>
    </row>
    <row r="202" customFormat="false" ht="15" hidden="false" customHeight="false" outlineLevel="0" collapsed="false">
      <c r="A202" s="24" t="n">
        <v>46050</v>
      </c>
      <c r="B202" s="25" t="n">
        <v>30.83</v>
      </c>
      <c r="C202" s="25" t="n">
        <v>31.06</v>
      </c>
      <c r="D202" s="25" t="n">
        <v>30.6</v>
      </c>
      <c r="E202" s="25" t="n">
        <v>30.83</v>
      </c>
      <c r="F202" s="26" t="n">
        <v>39139612</v>
      </c>
      <c r="G202" s="27" t="n">
        <f aca="false">E202-E201</f>
        <v>0.229999999999997</v>
      </c>
      <c r="H202" s="28" t="n">
        <f aca="false">G202/E201</f>
        <v>0.00751633986928094</v>
      </c>
      <c r="I202" s="29" t="n">
        <f aca="false">MAX(G202,0)</f>
        <v>0.229999999999997</v>
      </c>
      <c r="J202" s="29" t="n">
        <f aca="false">MAX(-G202,0)</f>
        <v>0</v>
      </c>
      <c r="K202" s="29" t="n">
        <f aca="false">(K201*13+I202)/14</f>
        <v>0.120917476182231</v>
      </c>
      <c r="L202" s="29" t="n">
        <f aca="false">(L201*13+J202)/14</f>
        <v>0.203901792100763</v>
      </c>
      <c r="M202" s="31" t="n">
        <f aca="false">IF(L202=0,100,100-100/(1+K202/MAX(L202,0.000001)))</f>
        <v>37.226078619475</v>
      </c>
      <c r="N202" s="30" t="n">
        <f aca="false">AVERAGE(E183:E202)</f>
        <v>32.1545</v>
      </c>
      <c r="O202" s="30" t="n">
        <f aca="false">AVERAGE(E153:E202)</f>
        <v>31.9156</v>
      </c>
      <c r="P202" s="30" t="n">
        <f aca="false">AVERAGE(E3:E202)</f>
        <v>36.3163</v>
      </c>
      <c r="Q202" s="30" t="n">
        <f aca="false">Q201+(2/13)*(E202-Q201)</f>
        <v>31.4912102476862</v>
      </c>
      <c r="R202" s="30" t="n">
        <f aca="false">R201+(2/27)*(E202-R201)</f>
        <v>31.8940316653551</v>
      </c>
      <c r="S202" s="33" t="n">
        <f aca="false">Q202-R202</f>
        <v>-0.402821417668978</v>
      </c>
      <c r="T202" s="33" t="n">
        <f aca="false">T201+(2/10)*(S202-T201)</f>
        <v>-0.203858221091747</v>
      </c>
      <c r="U202" s="33" t="n">
        <f aca="false">S202-T202</f>
        <v>-0.198963196577231</v>
      </c>
      <c r="V202" s="32" t="str">
        <f aca="false">IF(M202="","",IF(M202&lt;Assumptions!$B$5,"BUY",IF(M202&gt;Assumptions!$B$4,"SELL","HOLD")))</f>
        <v>HOLD</v>
      </c>
      <c r="W202" s="32" t="str">
        <f aca="false">IF(O202="","",IF(E202&gt;O202,"BUY","SELL"))</f>
        <v>SELL</v>
      </c>
      <c r="X202" s="32" t="str">
        <f aca="false">IF(T202="","",IF(S202&gt;T202,"BUY","SELL"))</f>
        <v>SELL</v>
      </c>
      <c r="Y202" s="34" t="n">
        <f aca="false">IF(OR(V202="",W202="",X202=""),"",IFERROR(IF(V202="BUY",1,IF(V202="SELL",-1,0))+IF(W202="BUY",1,IF(W202="SELL",-1,0))+IF(X202="BUY",1,IF(X202="SELL",-1,0)),0))</f>
        <v>-2</v>
      </c>
      <c r="Z202" s="32" t="str">
        <f aca="false">IF(Y202="","",IF(Y202&gt;=2,"STRONG BUY",IF(Y202=1,"BUY",IF(Y202=0,"HOLD",IF(Y202=-1,"SELL","STRONG SELL")))))</f>
        <v>STRONG SELL</v>
      </c>
    </row>
    <row r="203" customFormat="false" ht="15" hidden="false" customHeight="false" outlineLevel="0" collapsed="false">
      <c r="A203" s="24" t="n">
        <v>46051</v>
      </c>
      <c r="B203" s="25" t="n">
        <v>30.43</v>
      </c>
      <c r="C203" s="25" t="n">
        <v>30.87</v>
      </c>
      <c r="D203" s="25" t="n">
        <v>30.39</v>
      </c>
      <c r="E203" s="25" t="n">
        <v>30.63</v>
      </c>
      <c r="F203" s="26" t="n">
        <v>59795329</v>
      </c>
      <c r="G203" s="27" t="n">
        <f aca="false">E203-E202</f>
        <v>-0.199999999999999</v>
      </c>
      <c r="H203" s="28" t="n">
        <f aca="false">G203/E202</f>
        <v>-0.00648718780408691</v>
      </c>
      <c r="I203" s="29" t="n">
        <f aca="false">MAX(G203,0)</f>
        <v>0</v>
      </c>
      <c r="J203" s="29" t="n">
        <f aca="false">MAX(-G203,0)</f>
        <v>0.199999999999999</v>
      </c>
      <c r="K203" s="29" t="n">
        <f aca="false">(K202*13+I203)/14</f>
        <v>0.112280513597786</v>
      </c>
      <c r="L203" s="29" t="n">
        <f aca="false">(L202*13+J203)/14</f>
        <v>0.203623092664994</v>
      </c>
      <c r="M203" s="31" t="n">
        <f aca="false">IF(L203=0,100,100-100/(1+K203/MAX(L203,0.000001)))</f>
        <v>35.5426501539798</v>
      </c>
      <c r="N203" s="30" t="n">
        <f aca="false">AVERAGE(E184:E203)</f>
        <v>31.978</v>
      </c>
      <c r="O203" s="30" t="n">
        <f aca="false">AVERAGE(E154:E203)</f>
        <v>31.8948</v>
      </c>
      <c r="P203" s="30" t="n">
        <f aca="false">AVERAGE(E4:E203)</f>
        <v>36.28195</v>
      </c>
      <c r="Q203" s="30" t="n">
        <f aca="false">Q202+(2/13)*(E203-Q202)</f>
        <v>31.3587163634267</v>
      </c>
      <c r="R203" s="30" t="n">
        <f aca="false">R202+(2/27)*(E203-R202)</f>
        <v>31.8003996901436</v>
      </c>
      <c r="S203" s="33" t="n">
        <f aca="false">Q203-R203</f>
        <v>-0.441683326716895</v>
      </c>
      <c r="T203" s="33" t="n">
        <f aca="false">T202+(2/10)*(S203-T202)</f>
        <v>-0.251423242216776</v>
      </c>
      <c r="U203" s="33" t="n">
        <f aca="false">S203-T203</f>
        <v>-0.190260084500118</v>
      </c>
      <c r="V203" s="32" t="str">
        <f aca="false">IF(M203="","",IF(M203&lt;Assumptions!$B$5,"BUY",IF(M203&gt;Assumptions!$B$4,"SELL","HOLD")))</f>
        <v>HOLD</v>
      </c>
      <c r="W203" s="32" t="str">
        <f aca="false">IF(O203="","",IF(E203&gt;O203,"BUY","SELL"))</f>
        <v>SELL</v>
      </c>
      <c r="X203" s="32" t="str">
        <f aca="false">IF(T203="","",IF(S203&gt;T203,"BUY","SELL"))</f>
        <v>SELL</v>
      </c>
      <c r="Y203" s="34" t="n">
        <f aca="false">IF(OR(V203="",W203="",X203=""),"",IFERROR(IF(V203="BUY",1,IF(V203="SELL",-1,0))+IF(W203="BUY",1,IF(W203="SELL",-1,0))+IF(X203="BUY",1,IF(X203="SELL",-1,0)),0))</f>
        <v>-2</v>
      </c>
      <c r="Z203" s="32" t="str">
        <f aca="false">IF(Y203="","",IF(Y203&gt;=2,"STRONG BUY",IF(Y203=1,"BUY",IF(Y203=0,"HOLD",IF(Y203=-1,"SELL","STRONG SELL")))))</f>
        <v>STRONG SELL</v>
      </c>
    </row>
    <row r="204" customFormat="false" ht="15" hidden="false" customHeight="false" outlineLevel="0" collapsed="false">
      <c r="A204" s="24" t="n">
        <v>46052</v>
      </c>
      <c r="B204" s="25" t="n">
        <v>31.12</v>
      </c>
      <c r="C204" s="25" t="n">
        <v>31.16</v>
      </c>
      <c r="D204" s="25" t="n">
        <v>30.76</v>
      </c>
      <c r="E204" s="25" t="n">
        <v>30.96</v>
      </c>
      <c r="F204" s="26" t="n">
        <v>63495337</v>
      </c>
      <c r="G204" s="27" t="n">
        <f aca="false">E204-E203</f>
        <v>0.330000000000002</v>
      </c>
      <c r="H204" s="28" t="n">
        <f aca="false">G204/E203</f>
        <v>0.01077375122429</v>
      </c>
      <c r="I204" s="29" t="n">
        <f aca="false">MAX(G204,0)</f>
        <v>0.330000000000002</v>
      </c>
      <c r="J204" s="29" t="n">
        <f aca="false">MAX(-G204,0)</f>
        <v>0</v>
      </c>
      <c r="K204" s="29" t="n">
        <f aca="false">(K203*13+I204)/14</f>
        <v>0.127831905483658</v>
      </c>
      <c r="L204" s="29" t="n">
        <f aca="false">(L203*13+J204)/14</f>
        <v>0.189078586046066</v>
      </c>
      <c r="M204" s="31" t="n">
        <f aca="false">IF(L204=0,100,100-100/(1+K204/MAX(L204,0.000001)))</f>
        <v>40.3369118095821</v>
      </c>
      <c r="N204" s="30" t="n">
        <f aca="false">AVERAGE(E185:E204)</f>
        <v>31.8405</v>
      </c>
      <c r="O204" s="30" t="n">
        <f aca="false">AVERAGE(E155:E204)</f>
        <v>31.878</v>
      </c>
      <c r="P204" s="30" t="n">
        <f aca="false">AVERAGE(E5:E204)</f>
        <v>36.248</v>
      </c>
      <c r="Q204" s="30" t="n">
        <f aca="false">Q203+(2/13)*(E204-Q203)</f>
        <v>31.297375384438</v>
      </c>
      <c r="R204" s="30" t="n">
        <f aca="false">R203+(2/27)*(E204-R203)</f>
        <v>31.7381478612441</v>
      </c>
      <c r="S204" s="33" t="n">
        <f aca="false">Q204-R204</f>
        <v>-0.440772476806096</v>
      </c>
      <c r="T204" s="33" t="n">
        <f aca="false">T203+(2/10)*(S204-T203)</f>
        <v>-0.28929308913464</v>
      </c>
      <c r="U204" s="33" t="n">
        <f aca="false">S204-T204</f>
        <v>-0.151479387671456</v>
      </c>
      <c r="V204" s="32" t="str">
        <f aca="false">IF(M204="","",IF(M204&lt;Assumptions!$B$5,"BUY",IF(M204&gt;Assumptions!$B$4,"SELL","HOLD")))</f>
        <v>HOLD</v>
      </c>
      <c r="W204" s="32" t="str">
        <f aca="false">IF(O204="","",IF(E204&gt;O204,"BUY","SELL"))</f>
        <v>SELL</v>
      </c>
      <c r="X204" s="32" t="str">
        <f aca="false">IF(T204="","",IF(S204&gt;T204,"BUY","SELL"))</f>
        <v>SELL</v>
      </c>
      <c r="Y204" s="34" t="n">
        <f aca="false">IF(OR(V204="",W204="",X204=""),"",IFERROR(IF(V204="BUY",1,IF(V204="SELL",-1,0))+IF(W204="BUY",1,IF(W204="SELL",-1,0))+IF(X204="BUY",1,IF(X204="SELL",-1,0)),0))</f>
        <v>-2</v>
      </c>
      <c r="Z204" s="32" t="str">
        <f aca="false">IF(Y204="","",IF(Y204&gt;=2,"STRONG BUY",IF(Y204=1,"BUY",IF(Y204=0,"HOLD",IF(Y204=-1,"SELL","STRONG SELL")))))</f>
        <v>STRONG SELL</v>
      </c>
    </row>
    <row r="205" customFormat="false" ht="15" hidden="false" customHeight="false" outlineLevel="0" collapsed="false">
      <c r="A205" s="24" t="n">
        <v>46055</v>
      </c>
      <c r="B205" s="25" t="n">
        <v>31.26</v>
      </c>
      <c r="C205" s="25" t="n">
        <v>31.26</v>
      </c>
      <c r="D205" s="25" t="n">
        <v>31.18</v>
      </c>
      <c r="E205" s="25" t="n">
        <v>31.22</v>
      </c>
      <c r="F205" s="26" t="n">
        <v>44104598</v>
      </c>
      <c r="G205" s="27" t="n">
        <f aca="false">E205-E204</f>
        <v>0.259999999999998</v>
      </c>
      <c r="H205" s="28" t="n">
        <f aca="false">G205/E204</f>
        <v>0.0083979328165374</v>
      </c>
      <c r="I205" s="29" t="n">
        <f aca="false">MAX(G205,0)</f>
        <v>0.259999999999998</v>
      </c>
      <c r="J205" s="29" t="n">
        <f aca="false">MAX(-G205,0)</f>
        <v>0</v>
      </c>
      <c r="K205" s="29" t="n">
        <f aca="false">(K204*13+I205)/14</f>
        <v>0.137272483663397</v>
      </c>
      <c r="L205" s="29" t="n">
        <f aca="false">(L204*13+J205)/14</f>
        <v>0.175572972757062</v>
      </c>
      <c r="M205" s="31" t="n">
        <f aca="false">IF(L205=0,100,100-100/(1+K205/MAX(L205,0.000001)))</f>
        <v>43.8786886132382</v>
      </c>
      <c r="N205" s="30" t="n">
        <f aca="false">AVERAGE(E186:E205)</f>
        <v>31.743</v>
      </c>
      <c r="O205" s="30" t="n">
        <f aca="false">AVERAGE(E156:E205)</f>
        <v>31.8662</v>
      </c>
      <c r="P205" s="30" t="n">
        <f aca="false">AVERAGE(E6:E205)</f>
        <v>36.21365</v>
      </c>
      <c r="Q205" s="30" t="n">
        <f aca="false">Q204+(2/13)*(E205-Q204)</f>
        <v>31.2854714791399</v>
      </c>
      <c r="R205" s="30" t="n">
        <f aca="false">R204+(2/27)*(E205-R204)</f>
        <v>31.699766538189</v>
      </c>
      <c r="S205" s="33" t="n">
        <f aca="false">Q205-R205</f>
        <v>-0.414295059049131</v>
      </c>
      <c r="T205" s="33" t="n">
        <f aca="false">T204+(2/10)*(S205-T204)</f>
        <v>-0.314293483117538</v>
      </c>
      <c r="U205" s="33" t="n">
        <f aca="false">S205-T205</f>
        <v>-0.100001575931593</v>
      </c>
      <c r="V205" s="32" t="str">
        <f aca="false">IF(M205="","",IF(M205&lt;Assumptions!$B$5,"BUY",IF(M205&gt;Assumptions!$B$4,"SELL","HOLD")))</f>
        <v>HOLD</v>
      </c>
      <c r="W205" s="32" t="str">
        <f aca="false">IF(O205="","",IF(E205&gt;O205,"BUY","SELL"))</f>
        <v>SELL</v>
      </c>
      <c r="X205" s="32" t="str">
        <f aca="false">IF(T205="","",IF(S205&gt;T205,"BUY","SELL"))</f>
        <v>SELL</v>
      </c>
      <c r="Y205" s="34" t="n">
        <f aca="false">IF(OR(V205="",W205="",X205=""),"",IFERROR(IF(V205="BUY",1,IF(V205="SELL",-1,0))+IF(W205="BUY",1,IF(W205="SELL",-1,0))+IF(X205="BUY",1,IF(X205="SELL",-1,0)),0))</f>
        <v>-2</v>
      </c>
      <c r="Z205" s="32" t="str">
        <f aca="false">IF(Y205="","",IF(Y205&gt;=2,"STRONG BUY",IF(Y205=1,"BUY",IF(Y205=0,"HOLD",IF(Y205=-1,"SELL","STRONG SELL")))))</f>
        <v>STRONG SELL</v>
      </c>
    </row>
    <row r="206" customFormat="false" ht="15" hidden="false" customHeight="false" outlineLevel="0" collapsed="false">
      <c r="A206" s="24" t="n">
        <v>46056</v>
      </c>
      <c r="B206" s="25" t="n">
        <v>31.67</v>
      </c>
      <c r="C206" s="25" t="n">
        <v>31.81</v>
      </c>
      <c r="D206" s="25" t="n">
        <v>31.55</v>
      </c>
      <c r="E206" s="25" t="n">
        <v>31.68</v>
      </c>
      <c r="F206" s="26" t="n">
        <v>62796070</v>
      </c>
      <c r="G206" s="27" t="n">
        <f aca="false">E206-E205</f>
        <v>0.460000000000001</v>
      </c>
      <c r="H206" s="28" t="n">
        <f aca="false">G206/E205</f>
        <v>0.0147341447789879</v>
      </c>
      <c r="I206" s="29" t="n">
        <f aca="false">MAX(G206,0)</f>
        <v>0.460000000000001</v>
      </c>
      <c r="J206" s="29" t="n">
        <f aca="false">MAX(-G206,0)</f>
        <v>0</v>
      </c>
      <c r="K206" s="29" t="n">
        <f aca="false">(K205*13+I206)/14</f>
        <v>0.160324449116011</v>
      </c>
      <c r="L206" s="29" t="n">
        <f aca="false">(L205*13+J206)/14</f>
        <v>0.163032046131557</v>
      </c>
      <c r="M206" s="31" t="n">
        <f aca="false">IF(L206=0,100,100-100/(1+K206/MAX(L206,0.000001)))</f>
        <v>49.5813294219631</v>
      </c>
      <c r="N206" s="30" t="n">
        <f aca="false">AVERAGE(E187:E206)</f>
        <v>31.682</v>
      </c>
      <c r="O206" s="30" t="n">
        <f aca="false">AVERAGE(E157:E206)</f>
        <v>31.8678</v>
      </c>
      <c r="P206" s="30" t="n">
        <f aca="false">AVERAGE(E7:E206)</f>
        <v>36.18395</v>
      </c>
      <c r="Q206" s="30" t="n">
        <f aca="false">Q205+(2/13)*(E206-Q205)</f>
        <v>31.3461681746568</v>
      </c>
      <c r="R206" s="30" t="n">
        <f aca="false">R205+(2/27)*(E206-R205)</f>
        <v>31.698302350175</v>
      </c>
      <c r="S206" s="33" t="n">
        <f aca="false">Q206-R206</f>
        <v>-0.352134175518184</v>
      </c>
      <c r="T206" s="33" t="n">
        <f aca="false">T205+(2/10)*(S206-T205)</f>
        <v>-0.321861621597668</v>
      </c>
      <c r="U206" s="33" t="n">
        <f aca="false">S206-T206</f>
        <v>-0.0302725539205168</v>
      </c>
      <c r="V206" s="32" t="str">
        <f aca="false">IF(M206="","",IF(M206&lt;Assumptions!$B$5,"BUY",IF(M206&gt;Assumptions!$B$4,"SELL","HOLD")))</f>
        <v>HOLD</v>
      </c>
      <c r="W206" s="32" t="str">
        <f aca="false">IF(O206="","",IF(E206&gt;O206,"BUY","SELL"))</f>
        <v>SELL</v>
      </c>
      <c r="X206" s="32" t="str">
        <f aca="false">IF(T206="","",IF(S206&gt;T206,"BUY","SELL"))</f>
        <v>SELL</v>
      </c>
      <c r="Y206" s="34" t="n">
        <f aca="false">IF(OR(V206="",W206="",X206=""),"",IFERROR(IF(V206="BUY",1,IF(V206="SELL",-1,0))+IF(W206="BUY",1,IF(W206="SELL",-1,0))+IF(X206="BUY",1,IF(X206="SELL",-1,0)),0))</f>
        <v>-2</v>
      </c>
      <c r="Z206" s="32" t="str">
        <f aca="false">IF(Y206="","",IF(Y206&gt;=2,"STRONG BUY",IF(Y206=1,"BUY",IF(Y206=0,"HOLD",IF(Y206=-1,"SELL","STRONG SELL")))))</f>
        <v>STRONG SELL</v>
      </c>
    </row>
    <row r="207" customFormat="false" ht="15" hidden="false" customHeight="false" outlineLevel="0" collapsed="false">
      <c r="A207" s="24" t="n">
        <v>46057</v>
      </c>
      <c r="B207" s="25" t="n">
        <v>32.08</v>
      </c>
      <c r="C207" s="25" t="n">
        <v>32.1</v>
      </c>
      <c r="D207" s="25" t="n">
        <v>32.08</v>
      </c>
      <c r="E207" s="25" t="n">
        <v>32.09</v>
      </c>
      <c r="F207" s="26" t="n">
        <v>41010990</v>
      </c>
      <c r="G207" s="27" t="n">
        <f aca="false">E207-E206</f>
        <v>0.410000000000004</v>
      </c>
      <c r="H207" s="28" t="n">
        <f aca="false">G207/E206</f>
        <v>0.0129419191919193</v>
      </c>
      <c r="I207" s="29" t="n">
        <f aca="false">MAX(G207,0)</f>
        <v>0.410000000000004</v>
      </c>
      <c r="J207" s="29" t="n">
        <f aca="false">MAX(-G207,0)</f>
        <v>0</v>
      </c>
      <c r="K207" s="29" t="n">
        <f aca="false">(K206*13+I207)/14</f>
        <v>0.178158417036296</v>
      </c>
      <c r="L207" s="29" t="n">
        <f aca="false">(L206*13+J207)/14</f>
        <v>0.151386899979303</v>
      </c>
      <c r="M207" s="31" t="n">
        <f aca="false">IF(L207=0,100,100-100/(1+K207/MAX(L207,0.000001)))</f>
        <v>54.0618870417336</v>
      </c>
      <c r="N207" s="30" t="n">
        <f aca="false">AVERAGE(E188:E207)</f>
        <v>31.6475</v>
      </c>
      <c r="O207" s="30" t="n">
        <f aca="false">AVERAGE(E158:E207)</f>
        <v>31.884</v>
      </c>
      <c r="P207" s="30" t="n">
        <f aca="false">AVERAGE(E8:E207)</f>
        <v>36.15825</v>
      </c>
      <c r="Q207" s="30" t="n">
        <f aca="false">Q206+(2/13)*(E207-Q206)</f>
        <v>31.4606038400942</v>
      </c>
      <c r="R207" s="30" t="n">
        <f aca="false">R206+(2/27)*(E207-R206)</f>
        <v>31.7273169909028</v>
      </c>
      <c r="S207" s="33" t="n">
        <f aca="false">Q207-R207</f>
        <v>-0.266713150808549</v>
      </c>
      <c r="T207" s="33" t="n">
        <f aca="false">T206+(2/10)*(S207-T206)</f>
        <v>-0.310831927439844</v>
      </c>
      <c r="U207" s="33" t="n">
        <f aca="false">S207-T207</f>
        <v>0.0441187766312949</v>
      </c>
      <c r="V207" s="32" t="str">
        <f aca="false">IF(M207="","",IF(M207&lt;Assumptions!$B$5,"BUY",IF(M207&gt;Assumptions!$B$4,"SELL","HOLD")))</f>
        <v>HOLD</v>
      </c>
      <c r="W207" s="32" t="str">
        <f aca="false">IF(O207="","",IF(E207&gt;O207,"BUY","SELL"))</f>
        <v>BUY</v>
      </c>
      <c r="X207" s="32" t="str">
        <f aca="false">IF(T207="","",IF(S207&gt;T207,"BUY","SELL"))</f>
        <v>BUY</v>
      </c>
      <c r="Y207" s="34" t="n">
        <f aca="false">IF(OR(V207="",W207="",X207=""),"",IFERROR(IF(V207="BUY",1,IF(V207="SELL",-1,0))+IF(W207="BUY",1,IF(W207="SELL",-1,0))+IF(X207="BUY",1,IF(X207="SELL",-1,0)),0))</f>
        <v>2</v>
      </c>
      <c r="Z207" s="32" t="str">
        <f aca="false">IF(Y207="","",IF(Y207&gt;=2,"STRONG BUY",IF(Y207=1,"BUY",IF(Y207=0,"HOLD",IF(Y207=-1,"SELL","STRONG SELL")))))</f>
        <v>STRONG BUY</v>
      </c>
    </row>
    <row r="208" customFormat="false" ht="15" hidden="false" customHeight="false" outlineLevel="0" collapsed="false">
      <c r="A208" s="24" t="n">
        <v>46058</v>
      </c>
      <c r="B208" s="25" t="n">
        <v>32.64</v>
      </c>
      <c r="C208" s="25" t="n">
        <v>32.75</v>
      </c>
      <c r="D208" s="25" t="n">
        <v>32.15</v>
      </c>
      <c r="E208" s="25" t="n">
        <v>32.45</v>
      </c>
      <c r="F208" s="26" t="n">
        <v>51829609</v>
      </c>
      <c r="G208" s="27" t="n">
        <f aca="false">E208-E207</f>
        <v>0.359999999999999</v>
      </c>
      <c r="H208" s="28" t="n">
        <f aca="false">G208/E207</f>
        <v>0.0112184481146775</v>
      </c>
      <c r="I208" s="29" t="n">
        <f aca="false">MAX(G208,0)</f>
        <v>0.359999999999999</v>
      </c>
      <c r="J208" s="29" t="n">
        <f aca="false">MAX(-G208,0)</f>
        <v>0</v>
      </c>
      <c r="K208" s="29" t="n">
        <f aca="false">(K207*13+I208)/14</f>
        <v>0.191147101533704</v>
      </c>
      <c r="L208" s="29" t="n">
        <f aca="false">(L207*13+J208)/14</f>
        <v>0.140573549980781</v>
      </c>
      <c r="M208" s="31" t="n">
        <f aca="false">IF(L208=0,100,100-100/(1+K208/MAX(L208,0.000001)))</f>
        <v>57.6229127312434</v>
      </c>
      <c r="N208" s="30" t="n">
        <f aca="false">AVERAGE(E189:E208)</f>
        <v>31.654</v>
      </c>
      <c r="O208" s="30" t="n">
        <f aca="false">AVERAGE(E159:E208)</f>
        <v>31.9042</v>
      </c>
      <c r="P208" s="30" t="n">
        <f aca="false">AVERAGE(E9:E208)</f>
        <v>36.1375</v>
      </c>
      <c r="Q208" s="30" t="n">
        <f aca="false">Q207+(2/13)*(E208-Q207)</f>
        <v>31.6128186339259</v>
      </c>
      <c r="R208" s="30" t="n">
        <f aca="false">R207+(2/27)*(E208-R207)</f>
        <v>31.7808490656507</v>
      </c>
      <c r="S208" s="33" t="n">
        <f aca="false">Q208-R208</f>
        <v>-0.168030431724834</v>
      </c>
      <c r="T208" s="33" t="n">
        <f aca="false">T207+(2/10)*(S208-T207)</f>
        <v>-0.282271628296842</v>
      </c>
      <c r="U208" s="33" t="n">
        <f aca="false">S208-T208</f>
        <v>0.114241196572008</v>
      </c>
      <c r="V208" s="32" t="str">
        <f aca="false">IF(M208="","",IF(M208&lt;Assumptions!$B$5,"BUY",IF(M208&gt;Assumptions!$B$4,"SELL","HOLD")))</f>
        <v>HOLD</v>
      </c>
      <c r="W208" s="32" t="str">
        <f aca="false">IF(O208="","",IF(E208&gt;O208,"BUY","SELL"))</f>
        <v>BUY</v>
      </c>
      <c r="X208" s="32" t="str">
        <f aca="false">IF(T208="","",IF(S208&gt;T208,"BUY","SELL"))</f>
        <v>BUY</v>
      </c>
      <c r="Y208" s="34" t="n">
        <f aca="false">IF(OR(V208="",W208="",X208=""),"",IFERROR(IF(V208="BUY",1,IF(V208="SELL",-1,0))+IF(W208="BUY",1,IF(W208="SELL",-1,0))+IF(X208="BUY",1,IF(X208="SELL",-1,0)),0))</f>
        <v>2</v>
      </c>
      <c r="Z208" s="32" t="str">
        <f aca="false">IF(Y208="","",IF(Y208&gt;=2,"STRONG BUY",IF(Y208=1,"BUY",IF(Y208=0,"HOLD",IF(Y208=-1,"SELL","STRONG SELL")))))</f>
        <v>STRONG BUY</v>
      </c>
    </row>
    <row r="209" customFormat="false" ht="15" hidden="false" customHeight="false" outlineLevel="0" collapsed="false">
      <c r="A209" s="24" t="n">
        <v>46059</v>
      </c>
      <c r="B209" s="25" t="n">
        <v>32.78</v>
      </c>
      <c r="C209" s="25" t="n">
        <v>32.82</v>
      </c>
      <c r="D209" s="25" t="n">
        <v>32.78</v>
      </c>
      <c r="E209" s="25" t="n">
        <v>32.8</v>
      </c>
      <c r="F209" s="26" t="n">
        <v>61034815</v>
      </c>
      <c r="G209" s="27" t="n">
        <f aca="false">E209-E208</f>
        <v>0.349999999999994</v>
      </c>
      <c r="H209" s="28" t="n">
        <f aca="false">G209/E208</f>
        <v>0.0107858243451462</v>
      </c>
      <c r="I209" s="29" t="n">
        <f aca="false">MAX(G209,0)</f>
        <v>0.349999999999994</v>
      </c>
      <c r="J209" s="29" t="n">
        <f aca="false">MAX(-G209,0)</f>
        <v>0</v>
      </c>
      <c r="K209" s="29" t="n">
        <f aca="false">(K208*13+I209)/14</f>
        <v>0.202493737138439</v>
      </c>
      <c r="L209" s="29" t="n">
        <f aca="false">(L208*13+J209)/14</f>
        <v>0.130532582125011</v>
      </c>
      <c r="M209" s="31" t="n">
        <f aca="false">IF(L209=0,100,100-100/(1+K209/MAX(L209,0.000001)))</f>
        <v>60.8041243065388</v>
      </c>
      <c r="N209" s="30" t="n">
        <f aca="false">AVERAGE(E190:E209)</f>
        <v>31.6745</v>
      </c>
      <c r="O209" s="30" t="n">
        <f aca="false">AVERAGE(E160:E209)</f>
        <v>31.9358</v>
      </c>
      <c r="P209" s="30" t="n">
        <f aca="false">AVERAGE(E10:E209)</f>
        <v>36.1189</v>
      </c>
      <c r="Q209" s="30" t="n">
        <f aca="false">Q208+(2/13)*(E209-Q208)</f>
        <v>31.7954619210142</v>
      </c>
      <c r="R209" s="30" t="n">
        <f aca="false">R208+(2/27)*(E209-R208)</f>
        <v>31.8563417274544</v>
      </c>
      <c r="S209" s="33" t="n">
        <f aca="false">Q209-R209</f>
        <v>-0.060879806440159</v>
      </c>
      <c r="T209" s="33" t="n">
        <f aca="false">T208+(2/10)*(S209-T208)</f>
        <v>-0.237993263925505</v>
      </c>
      <c r="U209" s="33" t="n">
        <f aca="false">S209-T209</f>
        <v>0.177113457485346</v>
      </c>
      <c r="V209" s="32" t="str">
        <f aca="false">IF(M209="","",IF(M209&lt;Assumptions!$B$5,"BUY",IF(M209&gt;Assumptions!$B$4,"SELL","HOLD")))</f>
        <v>HOLD</v>
      </c>
      <c r="W209" s="32" t="str">
        <f aca="false">IF(O209="","",IF(E209&gt;O209,"BUY","SELL"))</f>
        <v>BUY</v>
      </c>
      <c r="X209" s="32" t="str">
        <f aca="false">IF(T209="","",IF(S209&gt;T209,"BUY","SELL"))</f>
        <v>BUY</v>
      </c>
      <c r="Y209" s="34" t="n">
        <f aca="false">IF(OR(V209="",W209="",X209=""),"",IFERROR(IF(V209="BUY",1,IF(V209="SELL",-1,0))+IF(W209="BUY",1,IF(W209="SELL",-1,0))+IF(X209="BUY",1,IF(X209="SELL",-1,0)),0))</f>
        <v>2</v>
      </c>
      <c r="Z209" s="32" t="str">
        <f aca="false">IF(Y209="","",IF(Y209&gt;=2,"STRONG BUY",IF(Y209=1,"BUY",IF(Y209=0,"HOLD",IF(Y209=-1,"SELL","STRONG SELL")))))</f>
        <v>STRONG BUY</v>
      </c>
    </row>
    <row r="210" customFormat="false" ht="15" hidden="false" customHeight="false" outlineLevel="0" collapsed="false">
      <c r="A210" s="24" t="n">
        <v>46062</v>
      </c>
      <c r="B210" s="25" t="n">
        <v>32.46</v>
      </c>
      <c r="C210" s="25" t="n">
        <v>32.68</v>
      </c>
      <c r="D210" s="25" t="n">
        <v>32.46</v>
      </c>
      <c r="E210" s="25" t="n">
        <v>32.57</v>
      </c>
      <c r="F210" s="26" t="n">
        <v>61578877</v>
      </c>
      <c r="G210" s="27" t="n">
        <f aca="false">E210-E209</f>
        <v>-0.229999999999997</v>
      </c>
      <c r="H210" s="28" t="n">
        <f aca="false">G210/E209</f>
        <v>-0.00701219512195113</v>
      </c>
      <c r="I210" s="29" t="n">
        <f aca="false">MAX(G210,0)</f>
        <v>0</v>
      </c>
      <c r="J210" s="29" t="n">
        <f aca="false">MAX(-G210,0)</f>
        <v>0.229999999999997</v>
      </c>
      <c r="K210" s="29" t="n">
        <f aca="false">(K209*13+I210)/14</f>
        <v>0.188029898771408</v>
      </c>
      <c r="L210" s="29" t="n">
        <f aca="false">(L209*13+J210)/14</f>
        <v>0.13763739768751</v>
      </c>
      <c r="M210" s="31" t="n">
        <f aca="false">IF(L210=0,100,100-100/(1+K210/MAX(L210,0.000001)))</f>
        <v>57.7368071083328</v>
      </c>
      <c r="N210" s="30" t="n">
        <f aca="false">AVERAGE(E191:E210)</f>
        <v>31.6805</v>
      </c>
      <c r="O210" s="30" t="n">
        <f aca="false">AVERAGE(E161:E210)</f>
        <v>31.9718</v>
      </c>
      <c r="P210" s="30" t="n">
        <f aca="false">AVERAGE(E11:E210)</f>
        <v>36.09945</v>
      </c>
      <c r="Q210" s="30" t="n">
        <f aca="false">Q209+(2/13)*(E210-Q209)</f>
        <v>31.9146216254736</v>
      </c>
      <c r="R210" s="30" t="n">
        <f aca="false">R209+(2/27)*(E210-R209)</f>
        <v>31.9092053031985</v>
      </c>
      <c r="S210" s="33" t="n">
        <f aca="false">Q210-R210</f>
        <v>0.00541632227507094</v>
      </c>
      <c r="T210" s="33" t="n">
        <f aca="false">T209+(2/10)*(S210-T209)</f>
        <v>-0.18931134668539</v>
      </c>
      <c r="U210" s="33" t="n">
        <f aca="false">S210-T210</f>
        <v>0.194727668960461</v>
      </c>
      <c r="V210" s="32" t="str">
        <f aca="false">IF(M210="","",IF(M210&lt;Assumptions!$B$5,"BUY",IF(M210&gt;Assumptions!$B$4,"SELL","HOLD")))</f>
        <v>HOLD</v>
      </c>
      <c r="W210" s="32" t="str">
        <f aca="false">IF(O210="","",IF(E210&gt;O210,"BUY","SELL"))</f>
        <v>BUY</v>
      </c>
      <c r="X210" s="32" t="str">
        <f aca="false">IF(T210="","",IF(S210&gt;T210,"BUY","SELL"))</f>
        <v>BUY</v>
      </c>
      <c r="Y210" s="34" t="n">
        <f aca="false">IF(OR(V210="",W210="",X210=""),"",IFERROR(IF(V210="BUY",1,IF(V210="SELL",-1,0))+IF(W210="BUY",1,IF(W210="SELL",-1,0))+IF(X210="BUY",1,IF(X210="SELL",-1,0)),0))</f>
        <v>2</v>
      </c>
      <c r="Z210" s="32" t="str">
        <f aca="false">IF(Y210="","",IF(Y210&gt;=2,"STRONG BUY",IF(Y210=1,"BUY",IF(Y210=0,"HOLD",IF(Y210=-1,"SELL","STRONG SELL")))))</f>
        <v>STRONG BUY</v>
      </c>
    </row>
    <row r="211" customFormat="false" ht="15" hidden="false" customHeight="false" outlineLevel="0" collapsed="false">
      <c r="A211" s="24" t="n">
        <v>46063</v>
      </c>
      <c r="B211" s="25" t="n">
        <v>32.33</v>
      </c>
      <c r="C211" s="25" t="n">
        <v>32.69</v>
      </c>
      <c r="D211" s="25" t="n">
        <v>32.21</v>
      </c>
      <c r="E211" s="25" t="n">
        <v>32.45</v>
      </c>
      <c r="F211" s="26" t="n">
        <v>46730276</v>
      </c>
      <c r="G211" s="27" t="n">
        <f aca="false">E211-E210</f>
        <v>-0.119999999999997</v>
      </c>
      <c r="H211" s="28" t="n">
        <f aca="false">G211/E210</f>
        <v>-0.0036843721215842</v>
      </c>
      <c r="I211" s="29" t="n">
        <f aca="false">MAX(G211,0)</f>
        <v>0</v>
      </c>
      <c r="J211" s="29" t="n">
        <f aca="false">MAX(-G211,0)</f>
        <v>0.119999999999997</v>
      </c>
      <c r="K211" s="29" t="n">
        <f aca="false">(K210*13+I211)/14</f>
        <v>0.174599191716307</v>
      </c>
      <c r="L211" s="29" t="n">
        <f aca="false">(L210*13+J211)/14</f>
        <v>0.136377583566974</v>
      </c>
      <c r="M211" s="31" t="n">
        <f aca="false">IF(L211=0,100,100-100/(1+K211/MAX(L211,0.000001)))</f>
        <v>56.1454120029568</v>
      </c>
      <c r="N211" s="30" t="n">
        <f aca="false">AVERAGE(E192:E211)</f>
        <v>31.6985</v>
      </c>
      <c r="O211" s="30" t="n">
        <f aca="false">AVERAGE(E162:E211)</f>
        <v>32.0066</v>
      </c>
      <c r="P211" s="30" t="n">
        <f aca="false">AVERAGE(E12:E211)</f>
        <v>36.07895</v>
      </c>
      <c r="Q211" s="30" t="n">
        <f aca="false">Q210+(2/13)*(E211-Q210)</f>
        <v>31.9969875292469</v>
      </c>
      <c r="R211" s="30" t="n">
        <f aca="false">R210+(2/27)*(E211-R210)</f>
        <v>31.9492641696282</v>
      </c>
      <c r="S211" s="33" t="n">
        <f aca="false">Q211-R211</f>
        <v>0.0477233596186295</v>
      </c>
      <c r="T211" s="33" t="n">
        <f aca="false">T210+(2/10)*(S211-T210)</f>
        <v>-0.141904405424586</v>
      </c>
      <c r="U211" s="33" t="n">
        <f aca="false">S211-T211</f>
        <v>0.189627765043216</v>
      </c>
      <c r="V211" s="32" t="str">
        <f aca="false">IF(M211="","",IF(M211&lt;Assumptions!$B$5,"BUY",IF(M211&gt;Assumptions!$B$4,"SELL","HOLD")))</f>
        <v>HOLD</v>
      </c>
      <c r="W211" s="32" t="str">
        <f aca="false">IF(O211="","",IF(E211&gt;O211,"BUY","SELL"))</f>
        <v>BUY</v>
      </c>
      <c r="X211" s="32" t="str">
        <f aca="false">IF(T211="","",IF(S211&gt;T211,"BUY","SELL"))</f>
        <v>BUY</v>
      </c>
      <c r="Y211" s="34" t="n">
        <f aca="false">IF(OR(V211="",W211="",X211=""),"",IFERROR(IF(V211="BUY",1,IF(V211="SELL",-1,0))+IF(W211="BUY",1,IF(W211="SELL",-1,0))+IF(X211="BUY",1,IF(X211="SELL",-1,0)),0))</f>
        <v>2</v>
      </c>
      <c r="Z211" s="32" t="str">
        <f aca="false">IF(Y211="","",IF(Y211&gt;=2,"STRONG BUY",IF(Y211=1,"BUY",IF(Y211=0,"HOLD",IF(Y211=-1,"SELL","STRONG SELL")))))</f>
        <v>STRONG BUY</v>
      </c>
    </row>
    <row r="212" customFormat="false" ht="15" hidden="false" customHeight="false" outlineLevel="0" collapsed="false">
      <c r="A212" s="24" t="n">
        <v>46064</v>
      </c>
      <c r="B212" s="25" t="n">
        <v>31.72</v>
      </c>
      <c r="C212" s="25" t="n">
        <v>31.72</v>
      </c>
      <c r="D212" s="25" t="n">
        <v>31.54</v>
      </c>
      <c r="E212" s="25" t="n">
        <v>31.63</v>
      </c>
      <c r="F212" s="26" t="n">
        <v>42640635</v>
      </c>
      <c r="G212" s="27" t="n">
        <f aca="false">E212-E211</f>
        <v>-0.820000000000004</v>
      </c>
      <c r="H212" s="28" t="n">
        <f aca="false">G212/E211</f>
        <v>-0.0252696456086288</v>
      </c>
      <c r="I212" s="29" t="n">
        <f aca="false">MAX(G212,0)</f>
        <v>0</v>
      </c>
      <c r="J212" s="29" t="n">
        <f aca="false">MAX(-G212,0)</f>
        <v>0.820000000000004</v>
      </c>
      <c r="K212" s="29" t="n">
        <f aca="false">(K211*13+I212)/14</f>
        <v>0.162127820879428</v>
      </c>
      <c r="L212" s="29" t="n">
        <f aca="false">(L211*13+J212)/14</f>
        <v>0.185207756169333</v>
      </c>
      <c r="M212" s="31" t="n">
        <f aca="false">IF(L212=0,100,100-100/(1+K212/MAX(L212,0.000001)))</f>
        <v>46.6775739637715</v>
      </c>
      <c r="N212" s="30" t="n">
        <f aca="false">AVERAGE(E193:E212)</f>
        <v>31.639</v>
      </c>
      <c r="O212" s="30" t="n">
        <f aca="false">AVERAGE(E163:E212)</f>
        <v>32.0272</v>
      </c>
      <c r="P212" s="30" t="n">
        <f aca="false">AVERAGE(E13:E212)</f>
        <v>36.0562</v>
      </c>
      <c r="Q212" s="30" t="n">
        <f aca="false">Q211+(2/13)*(E212-Q211)</f>
        <v>31.9405279093627</v>
      </c>
      <c r="R212" s="30" t="n">
        <f aca="false">R211+(2/27)*(E212-R211)</f>
        <v>31.925614971878</v>
      </c>
      <c r="S212" s="33" t="n">
        <f aca="false">Q212-R212</f>
        <v>0.0149129374847341</v>
      </c>
      <c r="T212" s="33" t="n">
        <f aca="false">T211+(2/10)*(S212-T211)</f>
        <v>-0.110540936842722</v>
      </c>
      <c r="U212" s="33" t="n">
        <f aca="false">S212-T212</f>
        <v>0.125453874327456</v>
      </c>
      <c r="V212" s="32" t="str">
        <f aca="false">IF(M212="","",IF(M212&lt;Assumptions!$B$5,"BUY",IF(M212&gt;Assumptions!$B$4,"SELL","HOLD")))</f>
        <v>HOLD</v>
      </c>
      <c r="W212" s="32" t="str">
        <f aca="false">IF(O212="","",IF(E212&gt;O212,"BUY","SELL"))</f>
        <v>SELL</v>
      </c>
      <c r="X212" s="32" t="str">
        <f aca="false">IF(T212="","",IF(S212&gt;T212,"BUY","SELL"))</f>
        <v>BUY</v>
      </c>
      <c r="Y212" s="34" t="n">
        <f aca="false">IF(OR(V212="",W212="",X212=""),"",IFERROR(IF(V212="BUY",1,IF(V212="SELL",-1,0))+IF(W212="BUY",1,IF(W212="SELL",-1,0))+IF(X212="BUY",1,IF(X212="SELL",-1,0)),0))</f>
        <v>0</v>
      </c>
      <c r="Z212" s="32" t="str">
        <f aca="false">IF(Y212="","",IF(Y212&gt;=2,"STRONG BUY",IF(Y212=1,"BUY",IF(Y212=0,"HOLD",IF(Y212=-1,"SELL","STRONG SELL")))))</f>
        <v>HOLD</v>
      </c>
    </row>
    <row r="213" customFormat="false" ht="15" hidden="false" customHeight="false" outlineLevel="0" collapsed="false">
      <c r="A213" s="24" t="n">
        <v>46065</v>
      </c>
      <c r="B213" s="25" t="n">
        <v>31.7</v>
      </c>
      <c r="C213" s="25" t="n">
        <v>31.86</v>
      </c>
      <c r="D213" s="25" t="n">
        <v>31.66</v>
      </c>
      <c r="E213" s="25" t="n">
        <v>31.76</v>
      </c>
      <c r="F213" s="26" t="n">
        <v>56741570</v>
      </c>
      <c r="G213" s="27" t="n">
        <f aca="false">E213-E212</f>
        <v>0.130000000000003</v>
      </c>
      <c r="H213" s="28" t="n">
        <f aca="false">G213/E212</f>
        <v>0.00411002213088848</v>
      </c>
      <c r="I213" s="29" t="n">
        <f aca="false">MAX(G213,0)</f>
        <v>0.130000000000003</v>
      </c>
      <c r="J213" s="29" t="n">
        <f aca="false">MAX(-G213,0)</f>
        <v>0</v>
      </c>
      <c r="K213" s="29" t="n">
        <f aca="false">(K212*13+I213)/14</f>
        <v>0.159832976530898</v>
      </c>
      <c r="L213" s="29" t="n">
        <f aca="false">(L212*13+J213)/14</f>
        <v>0.171978630728666</v>
      </c>
      <c r="M213" s="31" t="n">
        <f aca="false">IF(L213=0,100,100-100/(1+K213/MAX(L213,0.000001)))</f>
        <v>48.1697966659334</v>
      </c>
      <c r="N213" s="30" t="n">
        <f aca="false">AVERAGE(E194:E213)</f>
        <v>31.6175</v>
      </c>
      <c r="O213" s="30" t="n">
        <f aca="false">AVERAGE(E164:E213)</f>
        <v>32.0594</v>
      </c>
      <c r="P213" s="30" t="n">
        <f aca="false">AVERAGE(E14:E213)</f>
        <v>36.03175</v>
      </c>
      <c r="Q213" s="30" t="n">
        <f aca="false">Q212+(2/13)*(E213-Q212)</f>
        <v>31.9127543848454</v>
      </c>
      <c r="R213" s="30" t="n">
        <f aca="false">R212+(2/27)*(E213-R212)</f>
        <v>31.9133471961833</v>
      </c>
      <c r="S213" s="33" t="n">
        <f aca="false">Q213-R213</f>
        <v>-0.000592811337941868</v>
      </c>
      <c r="T213" s="33" t="n">
        <f aca="false">T212+(2/10)*(S213-T212)</f>
        <v>-0.088551311741766</v>
      </c>
      <c r="U213" s="33" t="n">
        <f aca="false">S213-T213</f>
        <v>0.0879585004038242</v>
      </c>
      <c r="V213" s="32" t="str">
        <f aca="false">IF(M213="","",IF(M213&lt;Assumptions!$B$5,"BUY",IF(M213&gt;Assumptions!$B$4,"SELL","HOLD")))</f>
        <v>HOLD</v>
      </c>
      <c r="W213" s="32" t="str">
        <f aca="false">IF(O213="","",IF(E213&gt;O213,"BUY","SELL"))</f>
        <v>SELL</v>
      </c>
      <c r="X213" s="32" t="str">
        <f aca="false">IF(T213="","",IF(S213&gt;T213,"BUY","SELL"))</f>
        <v>BUY</v>
      </c>
      <c r="Y213" s="34" t="n">
        <f aca="false">IF(OR(V213="",W213="",X213=""),"",IFERROR(IF(V213="BUY",1,IF(V213="SELL",-1,0))+IF(W213="BUY",1,IF(W213="SELL",-1,0))+IF(X213="BUY",1,IF(X213="SELL",-1,0)),0))</f>
        <v>0</v>
      </c>
      <c r="Z213" s="32" t="str">
        <f aca="false">IF(Y213="","",IF(Y213&gt;=2,"STRONG BUY",IF(Y213=1,"BUY",IF(Y213=0,"HOLD",IF(Y213=-1,"SELL","STRONG SELL")))))</f>
        <v>HOLD</v>
      </c>
    </row>
    <row r="214" customFormat="false" ht="15" hidden="false" customHeight="false" outlineLevel="0" collapsed="false">
      <c r="A214" s="24" t="n">
        <v>46066</v>
      </c>
      <c r="B214" s="25" t="n">
        <v>31.46</v>
      </c>
      <c r="C214" s="25" t="n">
        <v>31.54</v>
      </c>
      <c r="D214" s="25" t="n">
        <v>31.38</v>
      </c>
      <c r="E214" s="25" t="n">
        <v>31.46</v>
      </c>
      <c r="F214" s="26" t="n">
        <v>26126080</v>
      </c>
      <c r="G214" s="27" t="n">
        <f aca="false">E214-E213</f>
        <v>-0.300000000000001</v>
      </c>
      <c r="H214" s="28" t="n">
        <f aca="false">G214/E213</f>
        <v>-0.00944584382871539</v>
      </c>
      <c r="I214" s="29" t="n">
        <f aca="false">MAX(G214,0)</f>
        <v>0</v>
      </c>
      <c r="J214" s="29" t="n">
        <f aca="false">MAX(-G214,0)</f>
        <v>0.300000000000001</v>
      </c>
      <c r="K214" s="29" t="n">
        <f aca="false">(K213*13+I214)/14</f>
        <v>0.148416335350119</v>
      </c>
      <c r="L214" s="29" t="n">
        <f aca="false">(L213*13+J214)/14</f>
        <v>0.181123014248047</v>
      </c>
      <c r="M214" s="31" t="n">
        <f aca="false">IF(L214=0,100,100-100/(1+K214/MAX(L214,0.000001)))</f>
        <v>45.0375154078246</v>
      </c>
      <c r="N214" s="30" t="n">
        <f aca="false">AVERAGE(E195:E214)</f>
        <v>31.6095</v>
      </c>
      <c r="O214" s="30" t="n">
        <f aca="false">AVERAGE(E165:E214)</f>
        <v>32.0786</v>
      </c>
      <c r="P214" s="30" t="n">
        <f aca="false">AVERAGE(E15:E214)</f>
        <v>36.0034</v>
      </c>
      <c r="Q214" s="30" t="n">
        <f aca="false">Q213+(2/13)*(E214-Q213)</f>
        <v>31.8430998640999</v>
      </c>
      <c r="R214" s="30" t="n">
        <f aca="false">R213+(2/27)*(E214-R213)</f>
        <v>31.879765922392</v>
      </c>
      <c r="S214" s="33" t="n">
        <f aca="false">Q214-R214</f>
        <v>-0.0366660582920311</v>
      </c>
      <c r="T214" s="33" t="n">
        <f aca="false">T213+(2/10)*(S214-T213)</f>
        <v>-0.078174261051819</v>
      </c>
      <c r="U214" s="33" t="n">
        <f aca="false">S214-T214</f>
        <v>0.041508202759788</v>
      </c>
      <c r="V214" s="32" t="str">
        <f aca="false">IF(M214="","",IF(M214&lt;Assumptions!$B$5,"BUY",IF(M214&gt;Assumptions!$B$4,"SELL","HOLD")))</f>
        <v>HOLD</v>
      </c>
      <c r="W214" s="32" t="str">
        <f aca="false">IF(O214="","",IF(E214&gt;O214,"BUY","SELL"))</f>
        <v>SELL</v>
      </c>
      <c r="X214" s="32" t="str">
        <f aca="false">IF(T214="","",IF(S214&gt;T214,"BUY","SELL"))</f>
        <v>BUY</v>
      </c>
      <c r="Y214" s="34" t="n">
        <f aca="false">IF(OR(V214="",W214="",X214=""),"",IFERROR(IF(V214="BUY",1,IF(V214="SELL",-1,0))+IF(W214="BUY",1,IF(W214="SELL",-1,0))+IF(X214="BUY",1,IF(X214="SELL",-1,0)),0))</f>
        <v>0</v>
      </c>
      <c r="Z214" s="32" t="str">
        <f aca="false">IF(Y214="","",IF(Y214&gt;=2,"STRONG BUY",IF(Y214=1,"BUY",IF(Y214=0,"HOLD",IF(Y214=-1,"SELL","STRONG SELL")))))</f>
        <v>HOLD</v>
      </c>
    </row>
    <row r="215" customFormat="false" ht="15" hidden="false" customHeight="false" outlineLevel="0" collapsed="false">
      <c r="A215" s="24" t="n">
        <v>46069</v>
      </c>
      <c r="B215" s="25" t="n">
        <v>31.72</v>
      </c>
      <c r="C215" s="25" t="n">
        <v>31.85</v>
      </c>
      <c r="D215" s="25" t="n">
        <v>31.43</v>
      </c>
      <c r="E215" s="25" t="n">
        <v>31.64</v>
      </c>
      <c r="F215" s="26" t="n">
        <v>28630956</v>
      </c>
      <c r="G215" s="27" t="n">
        <f aca="false">E215-E214</f>
        <v>0.18</v>
      </c>
      <c r="H215" s="28" t="n">
        <f aca="false">G215/E214</f>
        <v>0.00572155117609662</v>
      </c>
      <c r="I215" s="29" t="n">
        <f aca="false">MAX(G215,0)</f>
        <v>0.18</v>
      </c>
      <c r="J215" s="29" t="n">
        <f aca="false">MAX(-G215,0)</f>
        <v>0</v>
      </c>
      <c r="K215" s="29" t="n">
        <f aca="false">(K214*13+I215)/14</f>
        <v>0.150672311396539</v>
      </c>
      <c r="L215" s="29" t="n">
        <f aca="false">(L214*13+J215)/14</f>
        <v>0.168185656087473</v>
      </c>
      <c r="M215" s="31" t="n">
        <f aca="false">IF(L215=0,100,100-100/(1+K215/MAX(L215,0.000001)))</f>
        <v>47.2537388936641</v>
      </c>
      <c r="N215" s="30" t="n">
        <f aca="false">AVERAGE(E196:E215)</f>
        <v>31.602</v>
      </c>
      <c r="O215" s="30" t="n">
        <f aca="false">AVERAGE(E166:E215)</f>
        <v>32.094</v>
      </c>
      <c r="P215" s="30" t="n">
        <f aca="false">AVERAGE(E16:E215)</f>
        <v>35.97185</v>
      </c>
      <c r="Q215" s="30" t="n">
        <f aca="false">Q214+(2/13)*(E215-Q214)</f>
        <v>31.8118537311615</v>
      </c>
      <c r="R215" s="30" t="n">
        <f aca="false">R214+(2/27)*(E215-R214)</f>
        <v>31.8620054836963</v>
      </c>
      <c r="S215" s="33" t="n">
        <f aca="false">Q215-R215</f>
        <v>-0.0501517525347808</v>
      </c>
      <c r="T215" s="33" t="n">
        <f aca="false">T214+(2/10)*(S215-T214)</f>
        <v>-0.0725697593484114</v>
      </c>
      <c r="U215" s="33" t="n">
        <f aca="false">S215-T215</f>
        <v>0.0224180068136306</v>
      </c>
      <c r="V215" s="32" t="str">
        <f aca="false">IF(M215="","",IF(M215&lt;Assumptions!$B$5,"BUY",IF(M215&gt;Assumptions!$B$4,"SELL","HOLD")))</f>
        <v>HOLD</v>
      </c>
      <c r="W215" s="32" t="str">
        <f aca="false">IF(O215="","",IF(E215&gt;O215,"BUY","SELL"))</f>
        <v>SELL</v>
      </c>
      <c r="X215" s="32" t="str">
        <f aca="false">IF(T215="","",IF(S215&gt;T215,"BUY","SELL"))</f>
        <v>BUY</v>
      </c>
      <c r="Y215" s="34" t="n">
        <f aca="false">IF(OR(V215="",W215="",X215=""),"",IFERROR(IF(V215="BUY",1,IF(V215="SELL",-1,0))+IF(W215="BUY",1,IF(W215="SELL",-1,0))+IF(X215="BUY",1,IF(X215="SELL",-1,0)),0))</f>
        <v>0</v>
      </c>
      <c r="Z215" s="32" t="str">
        <f aca="false">IF(Y215="","",IF(Y215&gt;=2,"STRONG BUY",IF(Y215=1,"BUY",IF(Y215=0,"HOLD",IF(Y215=-1,"SELL","STRONG SELL")))))</f>
        <v>HOLD</v>
      </c>
    </row>
    <row r="216" customFormat="false" ht="15" hidden="false" customHeight="false" outlineLevel="0" collapsed="false">
      <c r="A216" s="24" t="n">
        <v>46070</v>
      </c>
      <c r="B216" s="25" t="n">
        <v>31.84</v>
      </c>
      <c r="C216" s="25" t="n">
        <v>31.92</v>
      </c>
      <c r="D216" s="25" t="n">
        <v>31.84</v>
      </c>
      <c r="E216" s="25" t="n">
        <v>31.88</v>
      </c>
      <c r="F216" s="26" t="n">
        <v>39461001</v>
      </c>
      <c r="G216" s="27" t="n">
        <f aca="false">E216-E215</f>
        <v>0.239999999999998</v>
      </c>
      <c r="H216" s="28" t="n">
        <f aca="false">G216/E215</f>
        <v>0.00758533501896329</v>
      </c>
      <c r="I216" s="29" t="n">
        <f aca="false">MAX(G216,0)</f>
        <v>0.239999999999998</v>
      </c>
      <c r="J216" s="29" t="n">
        <f aca="false">MAX(-G216,0)</f>
        <v>0</v>
      </c>
      <c r="K216" s="29" t="n">
        <f aca="false">(K215*13+I216)/14</f>
        <v>0.157052860582501</v>
      </c>
      <c r="L216" s="29" t="n">
        <f aca="false">(L215*13+J216)/14</f>
        <v>0.156172394938367</v>
      </c>
      <c r="M216" s="31" t="n">
        <f aca="false">IF(L216=0,100,100-100/(1+K216/MAX(L216,0.000001)))</f>
        <v>50.1405483160464</v>
      </c>
      <c r="N216" s="30" t="n">
        <f aca="false">AVERAGE(E197:E216)</f>
        <v>31.611</v>
      </c>
      <c r="O216" s="30" t="n">
        <f aca="false">AVERAGE(E167:E216)</f>
        <v>32.1138</v>
      </c>
      <c r="P216" s="30" t="n">
        <f aca="false">AVERAGE(E17:E216)</f>
        <v>35.9396</v>
      </c>
      <c r="Q216" s="30" t="n">
        <f aca="false">Q215+(2/13)*(E216-Q215)</f>
        <v>31.8223377725213</v>
      </c>
      <c r="R216" s="30" t="n">
        <f aca="false">R215+(2/27)*(E216-R215)</f>
        <v>31.8633384108299</v>
      </c>
      <c r="S216" s="33" t="n">
        <f aca="false">Q216-R216</f>
        <v>-0.0410006383086206</v>
      </c>
      <c r="T216" s="33" t="n">
        <f aca="false">T215+(2/10)*(S216-T215)</f>
        <v>-0.0662559351404532</v>
      </c>
      <c r="U216" s="33" t="n">
        <f aca="false">S216-T216</f>
        <v>0.0252552968318327</v>
      </c>
      <c r="V216" s="32" t="str">
        <f aca="false">IF(M216="","",IF(M216&lt;Assumptions!$B$5,"BUY",IF(M216&gt;Assumptions!$B$4,"SELL","HOLD")))</f>
        <v>HOLD</v>
      </c>
      <c r="W216" s="32" t="str">
        <f aca="false">IF(O216="","",IF(E216&gt;O216,"BUY","SELL"))</f>
        <v>SELL</v>
      </c>
      <c r="X216" s="32" t="str">
        <f aca="false">IF(T216="","",IF(S216&gt;T216,"BUY","SELL"))</f>
        <v>BUY</v>
      </c>
      <c r="Y216" s="34" t="n">
        <f aca="false">IF(OR(V216="",W216="",X216=""),"",IFERROR(IF(V216="BUY",1,IF(V216="SELL",-1,0))+IF(W216="BUY",1,IF(W216="SELL",-1,0))+IF(X216="BUY",1,IF(X216="SELL",-1,0)),0))</f>
        <v>0</v>
      </c>
      <c r="Z216" s="32" t="str">
        <f aca="false">IF(Y216="","",IF(Y216&gt;=2,"STRONG BUY",IF(Y216=1,"BUY",IF(Y216=0,"HOLD",IF(Y216=-1,"SELL","STRONG SELL")))))</f>
        <v>HOLD</v>
      </c>
    </row>
    <row r="217" customFormat="false" ht="15" hidden="false" customHeight="false" outlineLevel="0" collapsed="false">
      <c r="A217" s="24" t="n">
        <v>46071</v>
      </c>
      <c r="B217" s="25" t="n">
        <v>31.3</v>
      </c>
      <c r="C217" s="25" t="n">
        <v>31.3</v>
      </c>
      <c r="D217" s="25" t="n">
        <v>31.28</v>
      </c>
      <c r="E217" s="25" t="n">
        <v>31.29</v>
      </c>
      <c r="F217" s="26" t="n">
        <v>55054290</v>
      </c>
      <c r="G217" s="27" t="n">
        <f aca="false">E217-E216</f>
        <v>-0.59</v>
      </c>
      <c r="H217" s="28" t="n">
        <f aca="false">G217/E216</f>
        <v>-0.0185069008782936</v>
      </c>
      <c r="I217" s="29" t="n">
        <f aca="false">MAX(G217,0)</f>
        <v>0</v>
      </c>
      <c r="J217" s="29" t="n">
        <f aca="false">MAX(-G217,0)</f>
        <v>0.59</v>
      </c>
      <c r="K217" s="29" t="n">
        <f aca="false">(K216*13+I217)/14</f>
        <v>0.145834799112322</v>
      </c>
      <c r="L217" s="29" t="n">
        <f aca="false">(L216*13+J217)/14</f>
        <v>0.187160081014198</v>
      </c>
      <c r="M217" s="31" t="n">
        <f aca="false">IF(L217=0,100,100-100/(1+K217/MAX(L217,0.000001)))</f>
        <v>43.7949073141643</v>
      </c>
      <c r="N217" s="30" t="n">
        <f aca="false">AVERAGE(E198:E217)</f>
        <v>31.581</v>
      </c>
      <c r="O217" s="30" t="n">
        <f aca="false">AVERAGE(E168:E217)</f>
        <v>32.1206</v>
      </c>
      <c r="P217" s="30" t="n">
        <f aca="false">AVERAGE(E18:E217)</f>
        <v>35.9039</v>
      </c>
      <c r="Q217" s="30" t="n">
        <f aca="false">Q216+(2/13)*(E217-Q216)</f>
        <v>31.7404396536718</v>
      </c>
      <c r="R217" s="30" t="n">
        <f aca="false">R216+(2/27)*(E217-R216)</f>
        <v>31.8208688989166</v>
      </c>
      <c r="S217" s="33" t="n">
        <f aca="false">Q217-R217</f>
        <v>-0.0804292452447193</v>
      </c>
      <c r="T217" s="33" t="n">
        <f aca="false">T216+(2/10)*(S217-T216)</f>
        <v>-0.0690905971613064</v>
      </c>
      <c r="U217" s="33" t="n">
        <f aca="false">S217-T217</f>
        <v>-0.0113386480834129</v>
      </c>
      <c r="V217" s="32" t="str">
        <f aca="false">IF(M217="","",IF(M217&lt;Assumptions!$B$5,"BUY",IF(M217&gt;Assumptions!$B$4,"SELL","HOLD")))</f>
        <v>HOLD</v>
      </c>
      <c r="W217" s="32" t="str">
        <f aca="false">IF(O217="","",IF(E217&gt;O217,"BUY","SELL"))</f>
        <v>SELL</v>
      </c>
      <c r="X217" s="32" t="str">
        <f aca="false">IF(T217="","",IF(S217&gt;T217,"BUY","SELL"))</f>
        <v>SELL</v>
      </c>
      <c r="Y217" s="34" t="n">
        <f aca="false">IF(OR(V217="",W217="",X217=""),"",IFERROR(IF(V217="BUY",1,IF(V217="SELL",-1,0))+IF(W217="BUY",1,IF(W217="SELL",-1,0))+IF(X217="BUY",1,IF(X217="SELL",-1,0)),0))</f>
        <v>-2</v>
      </c>
      <c r="Z217" s="32" t="str">
        <f aca="false">IF(Y217="","",IF(Y217&gt;=2,"STRONG BUY",IF(Y217=1,"BUY",IF(Y217=0,"HOLD",IF(Y217=-1,"SELL","STRONG SELL")))))</f>
        <v>STRONG SELL</v>
      </c>
    </row>
    <row r="218" customFormat="false" ht="15" hidden="false" customHeight="false" outlineLevel="0" collapsed="false">
      <c r="A218" s="24" t="n">
        <v>46072</v>
      </c>
      <c r="B218" s="25" t="n">
        <v>30.8</v>
      </c>
      <c r="C218" s="25" t="n">
        <v>30.9</v>
      </c>
      <c r="D218" s="25" t="n">
        <v>30.8</v>
      </c>
      <c r="E218" s="25" t="n">
        <v>30.85</v>
      </c>
      <c r="F218" s="26" t="n">
        <v>58964172</v>
      </c>
      <c r="G218" s="27" t="n">
        <f aca="false">E218-E217</f>
        <v>-0.439999999999998</v>
      </c>
      <c r="H218" s="28" t="n">
        <f aca="false">G218/E217</f>
        <v>-0.0140620006391818</v>
      </c>
      <c r="I218" s="29" t="n">
        <f aca="false">MAX(G218,0)</f>
        <v>0</v>
      </c>
      <c r="J218" s="29" t="n">
        <f aca="false">MAX(-G218,0)</f>
        <v>0.439999999999998</v>
      </c>
      <c r="K218" s="29" t="n">
        <f aca="false">(K217*13+I218)/14</f>
        <v>0.135418027747156</v>
      </c>
      <c r="L218" s="29" t="n">
        <f aca="false">(L217*13+J218)/14</f>
        <v>0.20522007522747</v>
      </c>
      <c r="M218" s="31" t="n">
        <f aca="false">IF(L218=0,100,100-100/(1+K218/MAX(L218,0.000001)))</f>
        <v>39.7542220217341</v>
      </c>
      <c r="N218" s="30" t="n">
        <f aca="false">AVERAGE(E199:E218)</f>
        <v>31.5425</v>
      </c>
      <c r="O218" s="30" t="n">
        <f aca="false">AVERAGE(E169:E218)</f>
        <v>32.114</v>
      </c>
      <c r="P218" s="30" t="n">
        <f aca="false">AVERAGE(E19:E218)</f>
        <v>35.86415</v>
      </c>
      <c r="Q218" s="30" t="n">
        <f aca="false">Q217+(2/13)*(E218-Q217)</f>
        <v>31.6034489377223</v>
      </c>
      <c r="R218" s="30" t="n">
        <f aca="false">R217+(2/27)*(E218-R217)</f>
        <v>31.748952684182</v>
      </c>
      <c r="S218" s="33" t="n">
        <f aca="false">Q218-R218</f>
        <v>-0.145503746459671</v>
      </c>
      <c r="T218" s="33" t="n">
        <f aca="false">T217+(2/10)*(S218-T217)</f>
        <v>-0.0843732270209793</v>
      </c>
      <c r="U218" s="33" t="n">
        <f aca="false">S218-T218</f>
        <v>-0.0611305194386914</v>
      </c>
      <c r="V218" s="32" t="str">
        <f aca="false">IF(M218="","",IF(M218&lt;Assumptions!$B$5,"BUY",IF(M218&gt;Assumptions!$B$4,"SELL","HOLD")))</f>
        <v>HOLD</v>
      </c>
      <c r="W218" s="32" t="str">
        <f aca="false">IF(O218="","",IF(E218&gt;O218,"BUY","SELL"))</f>
        <v>SELL</v>
      </c>
      <c r="X218" s="32" t="str">
        <f aca="false">IF(T218="","",IF(S218&gt;T218,"BUY","SELL"))</f>
        <v>SELL</v>
      </c>
      <c r="Y218" s="34" t="n">
        <f aca="false">IF(OR(V218="",W218="",X218=""),"",IFERROR(IF(V218="BUY",1,IF(V218="SELL",-1,0))+IF(W218="BUY",1,IF(W218="SELL",-1,0))+IF(X218="BUY",1,IF(X218="SELL",-1,0)),0))</f>
        <v>-2</v>
      </c>
      <c r="Z218" s="32" t="str">
        <f aca="false">IF(Y218="","",IF(Y218&gt;=2,"STRONG BUY",IF(Y218=1,"BUY",IF(Y218=0,"HOLD",IF(Y218=-1,"SELL","STRONG SELL")))))</f>
        <v>STRONG SELL</v>
      </c>
    </row>
    <row r="219" customFormat="false" ht="15" hidden="false" customHeight="false" outlineLevel="0" collapsed="false">
      <c r="A219" s="24" t="n">
        <v>46073</v>
      </c>
      <c r="B219" s="25" t="n">
        <v>30.77</v>
      </c>
      <c r="C219" s="25" t="n">
        <v>30.91</v>
      </c>
      <c r="D219" s="25" t="n">
        <v>30.49</v>
      </c>
      <c r="E219" s="25" t="n">
        <v>30.7</v>
      </c>
      <c r="F219" s="26" t="n">
        <v>70404196</v>
      </c>
      <c r="G219" s="27" t="n">
        <f aca="false">E219-E218</f>
        <v>-0.150000000000002</v>
      </c>
      <c r="H219" s="28" t="n">
        <f aca="false">G219/E218</f>
        <v>-0.00486223662884934</v>
      </c>
      <c r="I219" s="29" t="n">
        <f aca="false">MAX(G219,0)</f>
        <v>0</v>
      </c>
      <c r="J219" s="29" t="n">
        <f aca="false">MAX(-G219,0)</f>
        <v>0.150000000000002</v>
      </c>
      <c r="K219" s="29" t="n">
        <f aca="false">(K218*13+I219)/14</f>
        <v>0.125745311479502</v>
      </c>
      <c r="L219" s="29" t="n">
        <f aca="false">(L218*13+J219)/14</f>
        <v>0.201275784139793</v>
      </c>
      <c r="M219" s="31" t="n">
        <f aca="false">IF(L219=0,100,100-100/(1+K219/MAX(L219,0.000001)))</f>
        <v>38.4517430722236</v>
      </c>
      <c r="N219" s="30" t="n">
        <f aca="false">AVERAGE(E200:E219)</f>
        <v>31.519</v>
      </c>
      <c r="O219" s="30" t="n">
        <f aca="false">AVERAGE(E170:E219)</f>
        <v>32.1046</v>
      </c>
      <c r="P219" s="30" t="n">
        <f aca="false">AVERAGE(E20:E219)</f>
        <v>35.82195</v>
      </c>
      <c r="Q219" s="30" t="n">
        <f aca="false">Q218+(2/13)*(E219-Q218)</f>
        <v>31.4644567934573</v>
      </c>
      <c r="R219" s="30" t="n">
        <f aca="false">R218+(2/27)*(E219-R218)</f>
        <v>31.6712524853537</v>
      </c>
      <c r="S219" s="33" t="n">
        <f aca="false">Q219-R219</f>
        <v>-0.206795691896346</v>
      </c>
      <c r="T219" s="33" t="n">
        <f aca="false">T218+(2/10)*(S219-T218)</f>
        <v>-0.108857719996053</v>
      </c>
      <c r="U219" s="33" t="n">
        <f aca="false">S219-T219</f>
        <v>-0.0979379719002934</v>
      </c>
      <c r="V219" s="32" t="str">
        <f aca="false">IF(M219="","",IF(M219&lt;Assumptions!$B$5,"BUY",IF(M219&gt;Assumptions!$B$4,"SELL","HOLD")))</f>
        <v>HOLD</v>
      </c>
      <c r="W219" s="32" t="str">
        <f aca="false">IF(O219="","",IF(E219&gt;O219,"BUY","SELL"))</f>
        <v>SELL</v>
      </c>
      <c r="X219" s="32" t="str">
        <f aca="false">IF(T219="","",IF(S219&gt;T219,"BUY","SELL"))</f>
        <v>SELL</v>
      </c>
      <c r="Y219" s="34" t="n">
        <f aca="false">IF(OR(V219="",W219="",X219=""),"",IFERROR(IF(V219="BUY",1,IF(V219="SELL",-1,0))+IF(W219="BUY",1,IF(W219="SELL",-1,0))+IF(X219="BUY",1,IF(X219="SELL",-1,0)),0))</f>
        <v>-2</v>
      </c>
      <c r="Z219" s="32" t="str">
        <f aca="false">IF(Y219="","",IF(Y219&gt;=2,"STRONG BUY",IF(Y219=1,"BUY",IF(Y219=0,"HOLD",IF(Y219=-1,"SELL","STRONG SELL")))))</f>
        <v>STRONG SELL</v>
      </c>
    </row>
    <row r="220" customFormat="false" ht="15" hidden="false" customHeight="false" outlineLevel="0" collapsed="false">
      <c r="A220" s="24" t="n">
        <v>46076</v>
      </c>
      <c r="B220" s="25" t="n">
        <v>30.39</v>
      </c>
      <c r="C220" s="25" t="n">
        <v>30.57</v>
      </c>
      <c r="D220" s="25" t="n">
        <v>30.39</v>
      </c>
      <c r="E220" s="25" t="n">
        <v>30.48</v>
      </c>
      <c r="F220" s="26" t="n">
        <v>49213379</v>
      </c>
      <c r="G220" s="27" t="n">
        <f aca="false">E220-E219</f>
        <v>-0.219999999999999</v>
      </c>
      <c r="H220" s="28" t="n">
        <f aca="false">G220/E219</f>
        <v>-0.00716612377850159</v>
      </c>
      <c r="I220" s="29" t="n">
        <f aca="false">MAX(G220,0)</f>
        <v>0</v>
      </c>
      <c r="J220" s="29" t="n">
        <f aca="false">MAX(-G220,0)</f>
        <v>0.219999999999999</v>
      </c>
      <c r="K220" s="29" t="n">
        <f aca="false">(K219*13+I220)/14</f>
        <v>0.116763503516681</v>
      </c>
      <c r="L220" s="29" t="n">
        <f aca="false">(L219*13+J220)/14</f>
        <v>0.202613228129808</v>
      </c>
      <c r="M220" s="31" t="n">
        <f aca="false">IF(L220=0,100,100-100/(1+K220/MAX(L220,0.000001)))</f>
        <v>36.5598028744071</v>
      </c>
      <c r="N220" s="30" t="n">
        <f aca="false">AVERAGE(E201:E220)</f>
        <v>31.4985</v>
      </c>
      <c r="O220" s="30" t="n">
        <f aca="false">AVERAGE(E171:E220)</f>
        <v>32.083</v>
      </c>
      <c r="P220" s="30" t="n">
        <f aca="false">AVERAGE(E21:E220)</f>
        <v>35.7804</v>
      </c>
      <c r="Q220" s="30" t="n">
        <f aca="false">Q219+(2/13)*(E220-Q219)</f>
        <v>31.3130019021562</v>
      </c>
      <c r="R220" s="30" t="n">
        <f aca="false">R219+(2/27)*(E220-R219)</f>
        <v>31.5830115605127</v>
      </c>
      <c r="S220" s="33" t="n">
        <f aca="false">Q220-R220</f>
        <v>-0.270009658356464</v>
      </c>
      <c r="T220" s="33" t="n">
        <f aca="false">T219+(2/10)*(S220-T219)</f>
        <v>-0.141088107668135</v>
      </c>
      <c r="U220" s="33" t="n">
        <f aca="false">S220-T220</f>
        <v>-0.128921550688329</v>
      </c>
      <c r="V220" s="32" t="str">
        <f aca="false">IF(M220="","",IF(M220&lt;Assumptions!$B$5,"BUY",IF(M220&gt;Assumptions!$B$4,"SELL","HOLD")))</f>
        <v>HOLD</v>
      </c>
      <c r="W220" s="32" t="str">
        <f aca="false">IF(O220="","",IF(E220&gt;O220,"BUY","SELL"))</f>
        <v>SELL</v>
      </c>
      <c r="X220" s="32" t="str">
        <f aca="false">IF(T220="","",IF(S220&gt;T220,"BUY","SELL"))</f>
        <v>SELL</v>
      </c>
      <c r="Y220" s="34" t="n">
        <f aca="false">IF(OR(V220="",W220="",X220=""),"",IFERROR(IF(V220="BUY",1,IF(V220="SELL",-1,0))+IF(W220="BUY",1,IF(W220="SELL",-1,0))+IF(X220="BUY",1,IF(X220="SELL",-1,0)),0))</f>
        <v>-2</v>
      </c>
      <c r="Z220" s="32" t="str">
        <f aca="false">IF(Y220="","",IF(Y220&gt;=2,"STRONG BUY",IF(Y220=1,"BUY",IF(Y220=0,"HOLD",IF(Y220=-1,"SELL","STRONG SELL")))))</f>
        <v>STRONG SELL</v>
      </c>
    </row>
    <row r="221" customFormat="false" ht="15" hidden="false" customHeight="false" outlineLevel="0" collapsed="false">
      <c r="A221" s="24" t="n">
        <v>46077</v>
      </c>
      <c r="B221" s="25" t="n">
        <v>30.64</v>
      </c>
      <c r="C221" s="25" t="n">
        <v>30.65</v>
      </c>
      <c r="D221" s="25" t="n">
        <v>30.45</v>
      </c>
      <c r="E221" s="25" t="n">
        <v>30.55</v>
      </c>
      <c r="F221" s="26" t="n">
        <v>41371162</v>
      </c>
      <c r="G221" s="27" t="n">
        <f aca="false">E221-E220</f>
        <v>0.0700000000000003</v>
      </c>
      <c r="H221" s="28" t="n">
        <f aca="false">G221/E220</f>
        <v>0.0022965879265092</v>
      </c>
      <c r="I221" s="29" t="n">
        <f aca="false">MAX(G221,0)</f>
        <v>0.0700000000000003</v>
      </c>
      <c r="J221" s="29" t="n">
        <f aca="false">MAX(-G221,0)</f>
        <v>0</v>
      </c>
      <c r="K221" s="29" t="n">
        <f aca="false">(K220*13+I221)/14</f>
        <v>0.113423253265489</v>
      </c>
      <c r="L221" s="29" t="n">
        <f aca="false">(L220*13+J221)/14</f>
        <v>0.188140854691965</v>
      </c>
      <c r="M221" s="31" t="n">
        <f aca="false">IF(L221=0,100,100-100/(1+K221/MAX(L221,0.000001)))</f>
        <v>37.6116554565212</v>
      </c>
      <c r="N221" s="30" t="n">
        <f aca="false">AVERAGE(E202:E221)</f>
        <v>31.496</v>
      </c>
      <c r="O221" s="30" t="n">
        <f aca="false">AVERAGE(E172:E221)</f>
        <v>32.048</v>
      </c>
      <c r="P221" s="30" t="n">
        <f aca="false">AVERAGE(E22:E221)</f>
        <v>35.73565</v>
      </c>
      <c r="Q221" s="30" t="n">
        <f aca="false">Q220+(2/13)*(E221-Q220)</f>
        <v>31.1956169941322</v>
      </c>
      <c r="R221" s="30" t="n">
        <f aca="false">R220+(2/27)*(E221-R220)</f>
        <v>31.5064921856599</v>
      </c>
      <c r="S221" s="33" t="n">
        <f aca="false">Q221-R221</f>
        <v>-0.310875191527707</v>
      </c>
      <c r="T221" s="33" t="n">
        <f aca="false">T220+(2/10)*(S221-T220)</f>
        <v>-0.175045524440049</v>
      </c>
      <c r="U221" s="33" t="n">
        <f aca="false">S221-T221</f>
        <v>-0.135829667087657</v>
      </c>
      <c r="V221" s="32" t="str">
        <f aca="false">IF(M221="","",IF(M221&lt;Assumptions!$B$5,"BUY",IF(M221&gt;Assumptions!$B$4,"SELL","HOLD")))</f>
        <v>HOLD</v>
      </c>
      <c r="W221" s="32" t="str">
        <f aca="false">IF(O221="","",IF(E221&gt;O221,"BUY","SELL"))</f>
        <v>SELL</v>
      </c>
      <c r="X221" s="32" t="str">
        <f aca="false">IF(T221="","",IF(S221&gt;T221,"BUY","SELL"))</f>
        <v>SELL</v>
      </c>
      <c r="Y221" s="34" t="n">
        <f aca="false">IF(OR(V221="",W221="",X221=""),"",IFERROR(IF(V221="BUY",1,IF(V221="SELL",-1,0))+IF(W221="BUY",1,IF(W221="SELL",-1,0))+IF(X221="BUY",1,IF(X221="SELL",-1,0)),0))</f>
        <v>-2</v>
      </c>
      <c r="Z221" s="32" t="str">
        <f aca="false">IF(Y221="","",IF(Y221&gt;=2,"STRONG BUY",IF(Y221=1,"BUY",IF(Y221=0,"HOLD",IF(Y221=-1,"SELL","STRONG SELL")))))</f>
        <v>STRONG SELL</v>
      </c>
    </row>
    <row r="222" customFormat="false" ht="15" hidden="false" customHeight="false" outlineLevel="0" collapsed="false">
      <c r="A222" s="24" t="n">
        <v>46078</v>
      </c>
      <c r="B222" s="25" t="n">
        <v>30.07</v>
      </c>
      <c r="C222" s="25" t="n">
        <v>30.07</v>
      </c>
      <c r="D222" s="25" t="n">
        <v>30.05</v>
      </c>
      <c r="E222" s="25" t="n">
        <v>30.06</v>
      </c>
      <c r="F222" s="26" t="n">
        <v>72247627</v>
      </c>
      <c r="G222" s="27" t="n">
        <f aca="false">E222-E221</f>
        <v>-0.490000000000002</v>
      </c>
      <c r="H222" s="28" t="n">
        <f aca="false">G222/E221</f>
        <v>-0.0160392798690672</v>
      </c>
      <c r="I222" s="29" t="n">
        <f aca="false">MAX(G222,0)</f>
        <v>0</v>
      </c>
      <c r="J222" s="29" t="n">
        <f aca="false">MAX(-G222,0)</f>
        <v>0.490000000000002</v>
      </c>
      <c r="K222" s="29" t="n">
        <f aca="false">(K221*13+I222)/14</f>
        <v>0.105321592317954</v>
      </c>
      <c r="L222" s="29" t="n">
        <f aca="false">(L221*13+J222)/14</f>
        <v>0.209702222213967</v>
      </c>
      <c r="M222" s="31" t="n">
        <f aca="false">IF(L222=0,100,100-100/(1+K222/MAX(L222,0.000001)))</f>
        <v>33.4328985490974</v>
      </c>
      <c r="N222" s="30" t="n">
        <f aca="false">AVERAGE(E203:E222)</f>
        <v>31.4575</v>
      </c>
      <c r="O222" s="30" t="n">
        <f aca="false">AVERAGE(E173:E222)</f>
        <v>32.0024</v>
      </c>
      <c r="P222" s="30" t="n">
        <f aca="false">AVERAGE(E23:E222)</f>
        <v>35.6836</v>
      </c>
      <c r="Q222" s="30" t="n">
        <f aca="false">Q221+(2/13)*(E222-Q221)</f>
        <v>31.0209066873426</v>
      </c>
      <c r="R222" s="30" t="n">
        <f aca="false">R221+(2/27)*(E222-R221)</f>
        <v>31.3993446163518</v>
      </c>
      <c r="S222" s="33" t="n">
        <f aca="false">Q222-R222</f>
        <v>-0.378437929009134</v>
      </c>
      <c r="T222" s="33" t="n">
        <f aca="false">T221+(2/10)*(S222-T221)</f>
        <v>-0.215724005353866</v>
      </c>
      <c r="U222" s="33" t="n">
        <f aca="false">S222-T222</f>
        <v>-0.162713923655268</v>
      </c>
      <c r="V222" s="32" t="str">
        <f aca="false">IF(M222="","",IF(M222&lt;Assumptions!$B$5,"BUY",IF(M222&gt;Assumptions!$B$4,"SELL","HOLD")))</f>
        <v>HOLD</v>
      </c>
      <c r="W222" s="32" t="str">
        <f aca="false">IF(O222="","",IF(E222&gt;O222,"BUY","SELL"))</f>
        <v>SELL</v>
      </c>
      <c r="X222" s="32" t="str">
        <f aca="false">IF(T222="","",IF(S222&gt;T222,"BUY","SELL"))</f>
        <v>SELL</v>
      </c>
      <c r="Y222" s="34" t="n">
        <f aca="false">IF(OR(V222="",W222="",X222=""),"",IFERROR(IF(V222="BUY",1,IF(V222="SELL",-1,0))+IF(W222="BUY",1,IF(W222="SELL",-1,0))+IF(X222="BUY",1,IF(X222="SELL",-1,0)),0))</f>
        <v>-2</v>
      </c>
      <c r="Z222" s="32" t="str">
        <f aca="false">IF(Y222="","",IF(Y222&gt;=2,"STRONG BUY",IF(Y222=1,"BUY",IF(Y222=0,"HOLD",IF(Y222=-1,"SELL","STRONG SELL")))))</f>
        <v>STRONG SELL</v>
      </c>
    </row>
    <row r="223" customFormat="false" ht="15" hidden="false" customHeight="false" outlineLevel="0" collapsed="false">
      <c r="A223" s="24" t="n">
        <v>46079</v>
      </c>
      <c r="B223" s="25" t="n">
        <v>30.16</v>
      </c>
      <c r="C223" s="25" t="n">
        <v>30.26</v>
      </c>
      <c r="D223" s="25" t="n">
        <v>29.9</v>
      </c>
      <c r="E223" s="25" t="n">
        <v>30.08</v>
      </c>
      <c r="F223" s="26" t="n">
        <v>56933894</v>
      </c>
      <c r="G223" s="27" t="n">
        <f aca="false">E223-E222</f>
        <v>0.0199999999999996</v>
      </c>
      <c r="H223" s="28" t="n">
        <f aca="false">G223/E222</f>
        <v>0.000665335994677298</v>
      </c>
      <c r="I223" s="29" t="n">
        <f aca="false">MAX(G223,0)</f>
        <v>0.0199999999999996</v>
      </c>
      <c r="J223" s="29" t="n">
        <f aca="false">MAX(-G223,0)</f>
        <v>0</v>
      </c>
      <c r="K223" s="29" t="n">
        <f aca="false">(K222*13+I223)/14</f>
        <v>0.0992271928666717</v>
      </c>
      <c r="L223" s="29" t="n">
        <f aca="false">(L222*13+J223)/14</f>
        <v>0.194723492055827</v>
      </c>
      <c r="M223" s="31" t="n">
        <f aca="false">IF(L223=0,100,100-100/(1+K223/MAX(L223,0.000001)))</f>
        <v>33.7564081175158</v>
      </c>
      <c r="N223" s="30" t="n">
        <f aca="false">AVERAGE(E204:E223)</f>
        <v>31.43</v>
      </c>
      <c r="O223" s="30" t="n">
        <f aca="false">AVERAGE(E174:E223)</f>
        <v>31.9532</v>
      </c>
      <c r="P223" s="30" t="n">
        <f aca="false">AVERAGE(E24:E223)</f>
        <v>35.62595</v>
      </c>
      <c r="Q223" s="30" t="n">
        <f aca="false">Q222+(2/13)*(E223-Q222)</f>
        <v>30.8761518123668</v>
      </c>
      <c r="R223" s="30" t="n">
        <f aca="false">R222+(2/27)*(E223-R222)</f>
        <v>31.3016153855109</v>
      </c>
      <c r="S223" s="33" t="n">
        <f aca="false">Q223-R223</f>
        <v>-0.425463573144054</v>
      </c>
      <c r="T223" s="33" t="n">
        <f aca="false">T222+(2/10)*(S223-T222)</f>
        <v>-0.257671918911904</v>
      </c>
      <c r="U223" s="33" t="n">
        <f aca="false">S223-T223</f>
        <v>-0.16779165423215</v>
      </c>
      <c r="V223" s="32" t="str">
        <f aca="false">IF(M223="","",IF(M223&lt;Assumptions!$B$5,"BUY",IF(M223&gt;Assumptions!$B$4,"SELL","HOLD")))</f>
        <v>HOLD</v>
      </c>
      <c r="W223" s="32" t="str">
        <f aca="false">IF(O223="","",IF(E223&gt;O223,"BUY","SELL"))</f>
        <v>SELL</v>
      </c>
      <c r="X223" s="32" t="str">
        <f aca="false">IF(T223="","",IF(S223&gt;T223,"BUY","SELL"))</f>
        <v>SELL</v>
      </c>
      <c r="Y223" s="34" t="n">
        <f aca="false">IF(OR(V223="",W223="",X223=""),"",IFERROR(IF(V223="BUY",1,IF(V223="SELL",-1,0))+IF(W223="BUY",1,IF(W223="SELL",-1,0))+IF(X223="BUY",1,IF(X223="SELL",-1,0)),0))</f>
        <v>-2</v>
      </c>
      <c r="Z223" s="32" t="str">
        <f aca="false">IF(Y223="","",IF(Y223&gt;=2,"STRONG BUY",IF(Y223=1,"BUY",IF(Y223=0,"HOLD",IF(Y223=-1,"SELL","STRONG SELL")))))</f>
        <v>STRONG SELL</v>
      </c>
    </row>
    <row r="224" customFormat="false" ht="15" hidden="false" customHeight="false" outlineLevel="0" collapsed="false">
      <c r="A224" s="24" t="n">
        <v>46080</v>
      </c>
      <c r="B224" s="25" t="n">
        <v>29.25</v>
      </c>
      <c r="C224" s="25" t="n">
        <v>29.56</v>
      </c>
      <c r="D224" s="25" t="n">
        <v>29.2</v>
      </c>
      <c r="E224" s="25" t="n">
        <v>29.38</v>
      </c>
      <c r="F224" s="26" t="n">
        <v>48392543</v>
      </c>
      <c r="G224" s="27" t="n">
        <f aca="false">E224-E223</f>
        <v>-0.699999999999999</v>
      </c>
      <c r="H224" s="28" t="n">
        <f aca="false">G224/E223</f>
        <v>-0.0232712765957447</v>
      </c>
      <c r="I224" s="29" t="n">
        <f aca="false">MAX(G224,0)</f>
        <v>0</v>
      </c>
      <c r="J224" s="29" t="n">
        <f aca="false">MAX(-G224,0)</f>
        <v>0.699999999999999</v>
      </c>
      <c r="K224" s="29" t="n">
        <f aca="false">(K223*13+I224)/14</f>
        <v>0.092139536233338</v>
      </c>
      <c r="L224" s="29" t="n">
        <f aca="false">(L223*13+J224)/14</f>
        <v>0.230814671194696</v>
      </c>
      <c r="M224" s="31" t="n">
        <f aca="false">IF(L224=0,100,100-100/(1+K224/MAX(L224,0.000001)))</f>
        <v>28.5302170134662</v>
      </c>
      <c r="N224" s="30" t="n">
        <f aca="false">AVERAGE(E205:E224)</f>
        <v>31.351</v>
      </c>
      <c r="O224" s="30" t="n">
        <f aca="false">AVERAGE(E175:E224)</f>
        <v>31.882</v>
      </c>
      <c r="P224" s="30" t="n">
        <f aca="false">AVERAGE(E25:E224)</f>
        <v>35.5647</v>
      </c>
      <c r="Q224" s="30" t="n">
        <f aca="false">Q223+(2/13)*(E224-Q223)</f>
        <v>30.6459746104642</v>
      </c>
      <c r="R224" s="30" t="n">
        <f aca="false">R223+(2/27)*(E224-R223)</f>
        <v>31.1592735051027</v>
      </c>
      <c r="S224" s="33" t="n">
        <f aca="false">Q224-R224</f>
        <v>-0.513298894638428</v>
      </c>
      <c r="T224" s="33" t="n">
        <f aca="false">T223+(2/10)*(S224-T223)</f>
        <v>-0.308797314057209</v>
      </c>
      <c r="U224" s="33" t="n">
        <f aca="false">S224-T224</f>
        <v>-0.204501580581219</v>
      </c>
      <c r="V224" s="32" t="str">
        <f aca="false">IF(M224="","",IF(M224&lt;Assumptions!$B$5,"BUY",IF(M224&gt;Assumptions!$B$4,"SELL","HOLD")))</f>
        <v>BUY</v>
      </c>
      <c r="W224" s="32" t="str">
        <f aca="false">IF(O224="","",IF(E224&gt;O224,"BUY","SELL"))</f>
        <v>SELL</v>
      </c>
      <c r="X224" s="32" t="str">
        <f aca="false">IF(T224="","",IF(S224&gt;T224,"BUY","SELL"))</f>
        <v>SELL</v>
      </c>
      <c r="Y224" s="34" t="n">
        <f aca="false">IF(OR(V224="",W224="",X224=""),"",IFERROR(IF(V224="BUY",1,IF(V224="SELL",-1,0))+IF(W224="BUY",1,IF(W224="SELL",-1,0))+IF(X224="BUY",1,IF(X224="SELL",-1,0)),0))</f>
        <v>-1</v>
      </c>
      <c r="Z224" s="32" t="str">
        <f aca="false">IF(Y224="","",IF(Y224&gt;=2,"STRONG BUY",IF(Y224=1,"BUY",IF(Y224=0,"HOLD",IF(Y224=-1,"SELL","STRONG SELL")))))</f>
        <v>SELL</v>
      </c>
    </row>
    <row r="225" customFormat="false" ht="15" hidden="false" customHeight="false" outlineLevel="0" collapsed="false">
      <c r="A225" s="24" t="n">
        <v>46083</v>
      </c>
      <c r="B225" s="25" t="n">
        <v>28.56</v>
      </c>
      <c r="C225" s="25" t="n">
        <v>28.69</v>
      </c>
      <c r="D225" s="25" t="n">
        <v>28.33</v>
      </c>
      <c r="E225" s="25" t="n">
        <v>28.51</v>
      </c>
      <c r="F225" s="26" t="n">
        <v>59819178</v>
      </c>
      <c r="G225" s="27" t="n">
        <f aca="false">E225-E224</f>
        <v>-0.869999999999997</v>
      </c>
      <c r="H225" s="28" t="n">
        <f aca="false">G225/E224</f>
        <v>-0.0296119809394145</v>
      </c>
      <c r="I225" s="29" t="n">
        <f aca="false">MAX(G225,0)</f>
        <v>0</v>
      </c>
      <c r="J225" s="29" t="n">
        <f aca="false">MAX(-G225,0)</f>
        <v>0.869999999999997</v>
      </c>
      <c r="K225" s="29" t="n">
        <f aca="false">(K224*13+I225)/14</f>
        <v>0.0855581407880995</v>
      </c>
      <c r="L225" s="29" t="n">
        <f aca="false">(L224*13+J225)/14</f>
        <v>0.276470766109361</v>
      </c>
      <c r="M225" s="31" t="n">
        <f aca="false">IF(L225=0,100,100-100/(1+K225/MAX(L225,0.000001)))</f>
        <v>23.6329583516746</v>
      </c>
      <c r="N225" s="30" t="n">
        <f aca="false">AVERAGE(E206:E225)</f>
        <v>31.2155</v>
      </c>
      <c r="O225" s="30" t="n">
        <f aca="false">AVERAGE(E176:E225)</f>
        <v>31.7964</v>
      </c>
      <c r="P225" s="30" t="n">
        <f aca="false">AVERAGE(E26:E225)</f>
        <v>35.49815</v>
      </c>
      <c r="Q225" s="30" t="n">
        <f aca="false">Q224+(2/13)*(E225-Q224)</f>
        <v>30.3173631319313</v>
      </c>
      <c r="R225" s="30" t="n">
        <f aca="false">R224+(2/27)*(E225-R224)</f>
        <v>30.9630310232432</v>
      </c>
      <c r="S225" s="33" t="n">
        <f aca="false">Q225-R225</f>
        <v>-0.645667891311931</v>
      </c>
      <c r="T225" s="33" t="n">
        <f aca="false">T224+(2/10)*(S225-T224)</f>
        <v>-0.376171429508153</v>
      </c>
      <c r="U225" s="33" t="n">
        <f aca="false">S225-T225</f>
        <v>-0.269496461803777</v>
      </c>
      <c r="V225" s="32" t="str">
        <f aca="false">IF(M225="","",IF(M225&lt;Assumptions!$B$5,"BUY",IF(M225&gt;Assumptions!$B$4,"SELL","HOLD")))</f>
        <v>BUY</v>
      </c>
      <c r="W225" s="32" t="str">
        <f aca="false">IF(O225="","",IF(E225&gt;O225,"BUY","SELL"))</f>
        <v>SELL</v>
      </c>
      <c r="X225" s="32" t="str">
        <f aca="false">IF(T225="","",IF(S225&gt;T225,"BUY","SELL"))</f>
        <v>SELL</v>
      </c>
      <c r="Y225" s="34" t="n">
        <f aca="false">IF(OR(V225="",W225="",X225=""),"",IFERROR(IF(V225="BUY",1,IF(V225="SELL",-1,0))+IF(W225="BUY",1,IF(W225="SELL",-1,0))+IF(X225="BUY",1,IF(X225="SELL",-1,0)),0))</f>
        <v>-1</v>
      </c>
      <c r="Z225" s="32" t="str">
        <f aca="false">IF(Y225="","",IF(Y225&gt;=2,"STRONG BUY",IF(Y225=1,"BUY",IF(Y225=0,"HOLD",IF(Y225=-1,"SELL","STRONG SELL")))))</f>
        <v>SELL</v>
      </c>
    </row>
    <row r="226" customFormat="false" ht="15" hidden="false" customHeight="false" outlineLevel="0" collapsed="false">
      <c r="A226" s="24" t="n">
        <v>46084</v>
      </c>
      <c r="B226" s="25" t="n">
        <v>28.63</v>
      </c>
      <c r="C226" s="25" t="n">
        <v>29.06</v>
      </c>
      <c r="D226" s="25" t="n">
        <v>28.54</v>
      </c>
      <c r="E226" s="25" t="n">
        <v>28.8</v>
      </c>
      <c r="F226" s="26" t="n">
        <v>69597966</v>
      </c>
      <c r="G226" s="27" t="n">
        <f aca="false">E226-E225</f>
        <v>0.289999999999999</v>
      </c>
      <c r="H226" s="28" t="n">
        <f aca="false">G226/E225</f>
        <v>0.0101718695194668</v>
      </c>
      <c r="I226" s="29" t="n">
        <f aca="false">MAX(G226,0)</f>
        <v>0.289999999999999</v>
      </c>
      <c r="J226" s="29" t="n">
        <f aca="false">MAX(-G226,0)</f>
        <v>0</v>
      </c>
      <c r="K226" s="29" t="n">
        <f aca="false">(K225*13+I226)/14</f>
        <v>0.100161130731807</v>
      </c>
      <c r="L226" s="29" t="n">
        <f aca="false">(L225*13+J226)/14</f>
        <v>0.256722854244406</v>
      </c>
      <c r="M226" s="31" t="n">
        <f aca="false">IF(L226=0,100,100-100/(1+K226/MAX(L226,0.000001)))</f>
        <v>28.0654596306647</v>
      </c>
      <c r="N226" s="30" t="n">
        <f aca="false">AVERAGE(E207:E226)</f>
        <v>31.0715</v>
      </c>
      <c r="O226" s="30" t="n">
        <f aca="false">AVERAGE(E177:E226)</f>
        <v>31.7268</v>
      </c>
      <c r="P226" s="30" t="n">
        <f aca="false">AVERAGE(E27:E226)</f>
        <v>35.4318</v>
      </c>
      <c r="Q226" s="30" t="n">
        <f aca="false">Q225+(2/13)*(E226-Q225)</f>
        <v>30.0839226500957</v>
      </c>
      <c r="R226" s="30" t="n">
        <f aca="false">R225+(2/27)*(E226-R225)</f>
        <v>30.802806503003</v>
      </c>
      <c r="S226" s="33" t="n">
        <f aca="false">Q226-R226</f>
        <v>-0.718883852907275</v>
      </c>
      <c r="T226" s="33" t="n">
        <f aca="false">T225+(2/10)*(S226-T225)</f>
        <v>-0.444713914187978</v>
      </c>
      <c r="U226" s="33" t="n">
        <f aca="false">S226-T226</f>
        <v>-0.274169938719298</v>
      </c>
      <c r="V226" s="32" t="str">
        <f aca="false">IF(M226="","",IF(M226&lt;Assumptions!$B$5,"BUY",IF(M226&gt;Assumptions!$B$4,"SELL","HOLD")))</f>
        <v>BUY</v>
      </c>
      <c r="W226" s="32" t="str">
        <f aca="false">IF(O226="","",IF(E226&gt;O226,"BUY","SELL"))</f>
        <v>SELL</v>
      </c>
      <c r="X226" s="32" t="str">
        <f aca="false">IF(T226="","",IF(S226&gt;T226,"BUY","SELL"))</f>
        <v>SELL</v>
      </c>
      <c r="Y226" s="34" t="n">
        <f aca="false">IF(OR(V226="",W226="",X226=""),"",IFERROR(IF(V226="BUY",1,IF(V226="SELL",-1,0))+IF(W226="BUY",1,IF(W226="SELL",-1,0))+IF(X226="BUY",1,IF(X226="SELL",-1,0)),0))</f>
        <v>-1</v>
      </c>
      <c r="Z226" s="32" t="str">
        <f aca="false">IF(Y226="","",IF(Y226&gt;=2,"STRONG BUY",IF(Y226=1,"BUY",IF(Y226=0,"HOLD",IF(Y226=-1,"SELL","STRONG SELL")))))</f>
        <v>SELL</v>
      </c>
    </row>
    <row r="227" customFormat="false" ht="15" hidden="false" customHeight="false" outlineLevel="0" collapsed="false">
      <c r="A227" s="24" t="n">
        <v>46085</v>
      </c>
      <c r="B227" s="25" t="n">
        <v>28.27</v>
      </c>
      <c r="C227" s="25" t="n">
        <v>28.29</v>
      </c>
      <c r="D227" s="25" t="n">
        <v>28.27</v>
      </c>
      <c r="E227" s="25" t="n">
        <v>28.28</v>
      </c>
      <c r="F227" s="26" t="n">
        <v>65437929</v>
      </c>
      <c r="G227" s="27" t="n">
        <f aca="false">E227-E226</f>
        <v>-0.52</v>
      </c>
      <c r="H227" s="28" t="n">
        <f aca="false">G227/E226</f>
        <v>-0.0180555555555555</v>
      </c>
      <c r="I227" s="29" t="n">
        <f aca="false">MAX(G227,0)</f>
        <v>0</v>
      </c>
      <c r="J227" s="29" t="n">
        <f aca="false">MAX(-G227,0)</f>
        <v>0.52</v>
      </c>
      <c r="K227" s="29" t="n">
        <f aca="false">(K226*13+I227)/14</f>
        <v>0.0930067642509633</v>
      </c>
      <c r="L227" s="29" t="n">
        <f aca="false">(L226*13+J227)/14</f>
        <v>0.27552836465552</v>
      </c>
      <c r="M227" s="31" t="n">
        <f aca="false">IF(L227=0,100,100-100/(1+K227/MAX(L227,0.000001)))</f>
        <v>25.2368789176035</v>
      </c>
      <c r="N227" s="30" t="n">
        <f aca="false">AVERAGE(E208:E227)</f>
        <v>30.881</v>
      </c>
      <c r="O227" s="30" t="n">
        <f aca="false">AVERAGE(E178:E227)</f>
        <v>31.6384</v>
      </c>
      <c r="P227" s="30" t="n">
        <f aca="false">AVERAGE(E28:E227)</f>
        <v>35.36285</v>
      </c>
      <c r="Q227" s="30" t="n">
        <f aca="false">Q226+(2/13)*(E227-Q226)</f>
        <v>29.8063960885425</v>
      </c>
      <c r="R227" s="30" t="n">
        <f aca="false">R226+(2/27)*(E227-R226)</f>
        <v>30.615931947225</v>
      </c>
      <c r="S227" s="33" t="n">
        <f aca="false">Q227-R227</f>
        <v>-0.809535858682462</v>
      </c>
      <c r="T227" s="33" t="n">
        <f aca="false">T226+(2/10)*(S227-T226)</f>
        <v>-0.517678303086875</v>
      </c>
      <c r="U227" s="33" t="n">
        <f aca="false">S227-T227</f>
        <v>-0.291857555595588</v>
      </c>
      <c r="V227" s="32" t="str">
        <f aca="false">IF(M227="","",IF(M227&lt;Assumptions!$B$5,"BUY",IF(M227&gt;Assumptions!$B$4,"SELL","HOLD")))</f>
        <v>BUY</v>
      </c>
      <c r="W227" s="32" t="str">
        <f aca="false">IF(O227="","",IF(E227&gt;O227,"BUY","SELL"))</f>
        <v>SELL</v>
      </c>
      <c r="X227" s="32" t="str">
        <f aca="false">IF(T227="","",IF(S227&gt;T227,"BUY","SELL"))</f>
        <v>SELL</v>
      </c>
      <c r="Y227" s="34" t="n">
        <f aca="false">IF(OR(V227="",W227="",X227=""),"",IFERROR(IF(V227="BUY",1,IF(V227="SELL",-1,0))+IF(W227="BUY",1,IF(W227="SELL",-1,0))+IF(X227="BUY",1,IF(X227="SELL",-1,0)),0))</f>
        <v>-1</v>
      </c>
      <c r="Z227" s="32" t="str">
        <f aca="false">IF(Y227="","",IF(Y227&gt;=2,"STRONG BUY",IF(Y227=1,"BUY",IF(Y227=0,"HOLD",IF(Y227=-1,"SELL","STRONG SELL")))))</f>
        <v>SELL</v>
      </c>
    </row>
    <row r="228" customFormat="false" ht="15" hidden="false" customHeight="false" outlineLevel="0" collapsed="false">
      <c r="A228" s="24" t="n">
        <v>46086</v>
      </c>
      <c r="B228" s="25" t="n">
        <v>28.1</v>
      </c>
      <c r="C228" s="25" t="n">
        <v>28.1</v>
      </c>
      <c r="D228" s="25" t="n">
        <v>28.02</v>
      </c>
      <c r="E228" s="25" t="n">
        <v>28.06</v>
      </c>
      <c r="F228" s="26" t="n">
        <v>71875007</v>
      </c>
      <c r="G228" s="27" t="n">
        <f aca="false">E228-E227</f>
        <v>-0.220000000000002</v>
      </c>
      <c r="H228" s="28" t="n">
        <f aca="false">G228/E227</f>
        <v>-0.00777934936350786</v>
      </c>
      <c r="I228" s="29" t="n">
        <f aca="false">MAX(G228,0)</f>
        <v>0</v>
      </c>
      <c r="J228" s="29" t="n">
        <f aca="false">MAX(-G228,0)</f>
        <v>0.220000000000002</v>
      </c>
      <c r="K228" s="29" t="n">
        <f aca="false">(K227*13+I228)/14</f>
        <v>0.0863634239473231</v>
      </c>
      <c r="L228" s="29" t="n">
        <f aca="false">(L227*13+J228)/14</f>
        <v>0.271562052894412</v>
      </c>
      <c r="M228" s="31" t="n">
        <f aca="false">IF(L228=0,100,100-100/(1+K228/MAX(L228,0.000001)))</f>
        <v>24.1288842329351</v>
      </c>
      <c r="N228" s="30" t="n">
        <f aca="false">AVERAGE(E209:E228)</f>
        <v>30.6615</v>
      </c>
      <c r="O228" s="30" t="n">
        <f aca="false">AVERAGE(E179:E228)</f>
        <v>31.5598</v>
      </c>
      <c r="P228" s="30" t="n">
        <f aca="false">AVERAGE(E29:E228)</f>
        <v>35.29095</v>
      </c>
      <c r="Q228" s="30" t="n">
        <f aca="false">Q227+(2/13)*(E228-Q227)</f>
        <v>29.5377197672283</v>
      </c>
      <c r="R228" s="30" t="n">
        <f aca="false">R227+(2/27)*(E228-R227)</f>
        <v>30.4266036548379</v>
      </c>
      <c r="S228" s="33" t="n">
        <f aca="false">Q228-R228</f>
        <v>-0.888883887609659</v>
      </c>
      <c r="T228" s="33" t="n">
        <f aca="false">T227+(2/10)*(S228-T227)</f>
        <v>-0.591919419991431</v>
      </c>
      <c r="U228" s="33" t="n">
        <f aca="false">S228-T228</f>
        <v>-0.296964467618227</v>
      </c>
      <c r="V228" s="32" t="str">
        <f aca="false">IF(M228="","",IF(M228&lt;Assumptions!$B$5,"BUY",IF(M228&gt;Assumptions!$B$4,"SELL","HOLD")))</f>
        <v>BUY</v>
      </c>
      <c r="W228" s="32" t="str">
        <f aca="false">IF(O228="","",IF(E228&gt;O228,"BUY","SELL"))</f>
        <v>SELL</v>
      </c>
      <c r="X228" s="32" t="str">
        <f aca="false">IF(T228="","",IF(S228&gt;T228,"BUY","SELL"))</f>
        <v>SELL</v>
      </c>
      <c r="Y228" s="34" t="n">
        <f aca="false">IF(OR(V228="",W228="",X228=""),"",IFERROR(IF(V228="BUY",1,IF(V228="SELL",-1,0))+IF(W228="BUY",1,IF(W228="SELL",-1,0))+IF(X228="BUY",1,IF(X228="SELL",-1,0)),0))</f>
        <v>-1</v>
      </c>
      <c r="Z228" s="32" t="str">
        <f aca="false">IF(Y228="","",IF(Y228&gt;=2,"STRONG BUY",IF(Y228=1,"BUY",IF(Y228=0,"HOLD",IF(Y228=-1,"SELL","STRONG SELL")))))</f>
        <v>SELL</v>
      </c>
    </row>
    <row r="229" customFormat="false" ht="15" hidden="false" customHeight="false" outlineLevel="0" collapsed="false">
      <c r="A229" s="24" t="n">
        <v>46087</v>
      </c>
      <c r="B229" s="25" t="n">
        <v>27.49</v>
      </c>
      <c r="C229" s="25" t="n">
        <v>27.57</v>
      </c>
      <c r="D229" s="25" t="n">
        <v>27.45</v>
      </c>
      <c r="E229" s="25" t="n">
        <v>27.51</v>
      </c>
      <c r="F229" s="26" t="n">
        <v>54065171</v>
      </c>
      <c r="G229" s="27" t="n">
        <f aca="false">E229-E228</f>
        <v>-0.549999999999997</v>
      </c>
      <c r="H229" s="28" t="n">
        <f aca="false">G229/E228</f>
        <v>-0.0196008553100498</v>
      </c>
      <c r="I229" s="29" t="n">
        <f aca="false">MAX(G229,0)</f>
        <v>0</v>
      </c>
      <c r="J229" s="29" t="n">
        <f aca="false">MAX(-G229,0)</f>
        <v>0.549999999999997</v>
      </c>
      <c r="K229" s="29" t="n">
        <f aca="false">(K228*13+I229)/14</f>
        <v>0.0801946079510857</v>
      </c>
      <c r="L229" s="29" t="n">
        <f aca="false">(L228*13+J229)/14</f>
        <v>0.291450477687668</v>
      </c>
      <c r="M229" s="31" t="n">
        <f aca="false">IF(L229=0,100,100-100/(1+K229/MAX(L229,0.000001)))</f>
        <v>21.5782775152949</v>
      </c>
      <c r="N229" s="30" t="n">
        <f aca="false">AVERAGE(E210:E229)</f>
        <v>30.397</v>
      </c>
      <c r="O229" s="30" t="n">
        <f aca="false">AVERAGE(E180:E229)</f>
        <v>31.454</v>
      </c>
      <c r="P229" s="30" t="n">
        <f aca="false">AVERAGE(E30:E229)</f>
        <v>35.21665</v>
      </c>
      <c r="Q229" s="30" t="n">
        <f aca="false">Q228+(2/13)*(E229-Q228)</f>
        <v>29.2257628799624</v>
      </c>
      <c r="R229" s="30" t="n">
        <f aca="false">R228+(2/27)*(E229-R228)</f>
        <v>30.2105589396648</v>
      </c>
      <c r="S229" s="33" t="n">
        <f aca="false">Q229-R229</f>
        <v>-0.984796059702369</v>
      </c>
      <c r="T229" s="33" t="n">
        <f aca="false">T228+(2/10)*(S229-T228)</f>
        <v>-0.670494747933619</v>
      </c>
      <c r="U229" s="33" t="n">
        <f aca="false">S229-T229</f>
        <v>-0.31430131176875</v>
      </c>
      <c r="V229" s="32" t="str">
        <f aca="false">IF(M229="","",IF(M229&lt;Assumptions!$B$5,"BUY",IF(M229&gt;Assumptions!$B$4,"SELL","HOLD")))</f>
        <v>BUY</v>
      </c>
      <c r="W229" s="32" t="str">
        <f aca="false">IF(O229="","",IF(E229&gt;O229,"BUY","SELL"))</f>
        <v>SELL</v>
      </c>
      <c r="X229" s="32" t="str">
        <f aca="false">IF(T229="","",IF(S229&gt;T229,"BUY","SELL"))</f>
        <v>SELL</v>
      </c>
      <c r="Y229" s="34" t="n">
        <f aca="false">IF(OR(V229="",W229="",X229=""),"",IFERROR(IF(V229="BUY",1,IF(V229="SELL",-1,0))+IF(W229="BUY",1,IF(W229="SELL",-1,0))+IF(X229="BUY",1,IF(X229="SELL",-1,0)),0))</f>
        <v>-1</v>
      </c>
      <c r="Z229" s="32" t="str">
        <f aca="false">IF(Y229="","",IF(Y229&gt;=2,"STRONG BUY",IF(Y229=1,"BUY",IF(Y229=0,"HOLD",IF(Y229=-1,"SELL","STRONG SELL")))))</f>
        <v>SELL</v>
      </c>
    </row>
    <row r="230" customFormat="false" ht="15" hidden="false" customHeight="false" outlineLevel="0" collapsed="false">
      <c r="A230" s="24" t="n">
        <v>46090</v>
      </c>
      <c r="B230" s="25" t="n">
        <v>26.96</v>
      </c>
      <c r="C230" s="25" t="n">
        <v>27</v>
      </c>
      <c r="D230" s="25" t="n">
        <v>26.96</v>
      </c>
      <c r="E230" s="25" t="n">
        <v>26.98</v>
      </c>
      <c r="F230" s="26" t="n">
        <v>66231637</v>
      </c>
      <c r="G230" s="27" t="n">
        <f aca="false">E230-E229</f>
        <v>-0.530000000000001</v>
      </c>
      <c r="H230" s="28" t="n">
        <f aca="false">G230/E229</f>
        <v>-0.0192657215557979</v>
      </c>
      <c r="I230" s="29" t="n">
        <f aca="false">MAX(G230,0)</f>
        <v>0</v>
      </c>
      <c r="J230" s="29" t="n">
        <f aca="false">MAX(-G230,0)</f>
        <v>0.530000000000001</v>
      </c>
      <c r="K230" s="29" t="n">
        <f aca="false">(K229*13+I230)/14</f>
        <v>0.0744664216688653</v>
      </c>
      <c r="L230" s="29" t="n">
        <f aca="false">(L229*13+J230)/14</f>
        <v>0.308489729281406</v>
      </c>
      <c r="M230" s="31" t="n">
        <f aca="false">IF(L230=0,100,100-100/(1+K230/MAX(L230,0.000001)))</f>
        <v>19.4451561840915</v>
      </c>
      <c r="N230" s="30" t="n">
        <f aca="false">AVERAGE(E211:E230)</f>
        <v>30.1175</v>
      </c>
      <c r="O230" s="30" t="n">
        <f aca="false">AVERAGE(E181:E230)</f>
        <v>31.3294</v>
      </c>
      <c r="P230" s="30" t="n">
        <f aca="false">AVERAGE(E31:E230)</f>
        <v>35.14025</v>
      </c>
      <c r="Q230" s="30" t="n">
        <f aca="false">Q229+(2/13)*(E230-Q229)</f>
        <v>28.8802608984297</v>
      </c>
      <c r="R230" s="30" t="n">
        <f aca="false">R229+(2/27)*(E230-R229)</f>
        <v>29.9712582774674</v>
      </c>
      <c r="S230" s="33" t="n">
        <f aca="false">Q230-R230</f>
        <v>-1.09099737903765</v>
      </c>
      <c r="T230" s="33" t="n">
        <f aca="false">T229+(2/10)*(S230-T229)</f>
        <v>-0.754595274154426</v>
      </c>
      <c r="U230" s="33" t="n">
        <f aca="false">S230-T230</f>
        <v>-0.336402104883227</v>
      </c>
      <c r="V230" s="32" t="str">
        <f aca="false">IF(M230="","",IF(M230&lt;Assumptions!$B$5,"BUY",IF(M230&gt;Assumptions!$B$4,"SELL","HOLD")))</f>
        <v>BUY</v>
      </c>
      <c r="W230" s="32" t="str">
        <f aca="false">IF(O230="","",IF(E230&gt;O230,"BUY","SELL"))</f>
        <v>SELL</v>
      </c>
      <c r="X230" s="32" t="str">
        <f aca="false">IF(T230="","",IF(S230&gt;T230,"BUY","SELL"))</f>
        <v>SELL</v>
      </c>
      <c r="Y230" s="34" t="n">
        <f aca="false">IF(OR(V230="",W230="",X230=""),"",IFERROR(IF(V230="BUY",1,IF(V230="SELL",-1,0))+IF(W230="BUY",1,IF(W230="SELL",-1,0))+IF(X230="BUY",1,IF(X230="SELL",-1,0)),0))</f>
        <v>-1</v>
      </c>
      <c r="Z230" s="32" t="str">
        <f aca="false">IF(Y230="","",IF(Y230&gt;=2,"STRONG BUY",IF(Y230=1,"BUY",IF(Y230=0,"HOLD",IF(Y230=-1,"SELL","STRONG SELL")))))</f>
        <v>SELL</v>
      </c>
    </row>
    <row r="231" customFormat="false" ht="15" hidden="false" customHeight="false" outlineLevel="0" collapsed="false">
      <c r="A231" s="24" t="n">
        <v>46091</v>
      </c>
      <c r="B231" s="25" t="n">
        <v>26.79</v>
      </c>
      <c r="C231" s="25" t="n">
        <v>26.87</v>
      </c>
      <c r="D231" s="25" t="n">
        <v>26.79</v>
      </c>
      <c r="E231" s="25" t="n">
        <v>26.83</v>
      </c>
      <c r="F231" s="26" t="n">
        <v>38878343</v>
      </c>
      <c r="G231" s="27" t="n">
        <f aca="false">E231-E230</f>
        <v>-0.150000000000002</v>
      </c>
      <c r="H231" s="28" t="n">
        <f aca="false">G231/E230</f>
        <v>-0.00555967383246857</v>
      </c>
      <c r="I231" s="29" t="n">
        <f aca="false">MAX(G231,0)</f>
        <v>0</v>
      </c>
      <c r="J231" s="29" t="n">
        <f aca="false">MAX(-G231,0)</f>
        <v>0.150000000000002</v>
      </c>
      <c r="K231" s="29" t="n">
        <f aca="false">(K230*13+I231)/14</f>
        <v>0.0691473915496607</v>
      </c>
      <c r="L231" s="29" t="n">
        <f aca="false">(L230*13+J231)/14</f>
        <v>0.297169034332734</v>
      </c>
      <c r="M231" s="31" t="n">
        <f aca="false">IF(L231=0,100,100-100/(1+K231/MAX(L231,0.000001)))</f>
        <v>18.8764103010385</v>
      </c>
      <c r="N231" s="30" t="n">
        <f aca="false">AVERAGE(E212:E231)</f>
        <v>29.8365</v>
      </c>
      <c r="O231" s="30" t="n">
        <f aca="false">AVERAGE(E182:E231)</f>
        <v>31.2</v>
      </c>
      <c r="P231" s="30" t="n">
        <f aca="false">AVERAGE(E32:E231)</f>
        <v>35.0578</v>
      </c>
      <c r="Q231" s="30" t="n">
        <f aca="false">Q230+(2/13)*(E231-Q230)</f>
        <v>28.5648361448251</v>
      </c>
      <c r="R231" s="30" t="n">
        <f aca="false">R230+(2/27)*(E231-R230)</f>
        <v>29.7385724791365</v>
      </c>
      <c r="S231" s="33" t="n">
        <f aca="false">Q231-R231</f>
        <v>-1.17373633431131</v>
      </c>
      <c r="T231" s="33" t="n">
        <f aca="false">T230+(2/10)*(S231-T230)</f>
        <v>-0.838423486185802</v>
      </c>
      <c r="U231" s="33" t="n">
        <f aca="false">S231-T231</f>
        <v>-0.335312848125506</v>
      </c>
      <c r="V231" s="32" t="str">
        <f aca="false">IF(M231="","",IF(M231&lt;Assumptions!$B$5,"BUY",IF(M231&gt;Assumptions!$B$4,"SELL","HOLD")))</f>
        <v>BUY</v>
      </c>
      <c r="W231" s="32" t="str">
        <f aca="false">IF(O231="","",IF(E231&gt;O231,"BUY","SELL"))</f>
        <v>SELL</v>
      </c>
      <c r="X231" s="32" t="str">
        <f aca="false">IF(T231="","",IF(S231&gt;T231,"BUY","SELL"))</f>
        <v>SELL</v>
      </c>
      <c r="Y231" s="34" t="n">
        <f aca="false">IF(OR(V231="",W231="",X231=""),"",IFERROR(IF(V231="BUY",1,IF(V231="SELL",-1,0))+IF(W231="BUY",1,IF(W231="SELL",-1,0))+IF(X231="BUY",1,IF(X231="SELL",-1,0)),0))</f>
        <v>-1</v>
      </c>
      <c r="Z231" s="32" t="str">
        <f aca="false">IF(Y231="","",IF(Y231&gt;=2,"STRONG BUY",IF(Y231=1,"BUY",IF(Y231=0,"HOLD",IF(Y231=-1,"SELL","STRONG SELL")))))</f>
        <v>SELL</v>
      </c>
    </row>
    <row r="232" customFormat="false" ht="15" hidden="false" customHeight="false" outlineLevel="0" collapsed="false">
      <c r="A232" s="24" t="n">
        <v>46092</v>
      </c>
      <c r="B232" s="25" t="n">
        <v>26.78</v>
      </c>
      <c r="C232" s="25" t="n">
        <v>26.81</v>
      </c>
      <c r="D232" s="25" t="n">
        <v>26.55</v>
      </c>
      <c r="E232" s="25" t="n">
        <v>26.68</v>
      </c>
      <c r="F232" s="26" t="n">
        <v>49229034</v>
      </c>
      <c r="G232" s="27" t="n">
        <f aca="false">E232-E231</f>
        <v>-0.149999999999999</v>
      </c>
      <c r="H232" s="28" t="n">
        <f aca="false">G232/E231</f>
        <v>-0.00559075661572861</v>
      </c>
      <c r="I232" s="29" t="n">
        <f aca="false">MAX(G232,0)</f>
        <v>0</v>
      </c>
      <c r="J232" s="29" t="n">
        <f aca="false">MAX(-G232,0)</f>
        <v>0.149999999999999</v>
      </c>
      <c r="K232" s="29" t="n">
        <f aca="false">(K231*13+I232)/14</f>
        <v>0.0642082921532563</v>
      </c>
      <c r="L232" s="29" t="n">
        <f aca="false">(L231*13+J232)/14</f>
        <v>0.286656960451825</v>
      </c>
      <c r="M232" s="31" t="n">
        <f aca="false">IF(L232=0,100,100-100/(1+K232/MAX(L232,0.000001)))</f>
        <v>18.2999860135841</v>
      </c>
      <c r="N232" s="30" t="n">
        <f aca="false">AVERAGE(E213:E232)</f>
        <v>29.589</v>
      </c>
      <c r="O232" s="30" t="n">
        <f aca="false">AVERAGE(E183:E232)</f>
        <v>31.067</v>
      </c>
      <c r="P232" s="30" t="n">
        <f aca="false">AVERAGE(E33:E232)</f>
        <v>34.9741</v>
      </c>
      <c r="Q232" s="30" t="n">
        <f aca="false">Q231+(2/13)*(E232-Q231)</f>
        <v>28.2748613533136</v>
      </c>
      <c r="R232" s="30" t="n">
        <f aca="false">R231+(2/27)*(E232-R231)</f>
        <v>29.512011554756</v>
      </c>
      <c r="S232" s="33" t="n">
        <f aca="false">Q232-R232</f>
        <v>-1.23715020144239</v>
      </c>
      <c r="T232" s="33" t="n">
        <f aca="false">T231+(2/10)*(S232-T231)</f>
        <v>-0.918168829237119</v>
      </c>
      <c r="U232" s="33" t="n">
        <f aca="false">S232-T232</f>
        <v>-0.31898137220527</v>
      </c>
      <c r="V232" s="32" t="str">
        <f aca="false">IF(M232="","",IF(M232&lt;Assumptions!$B$5,"BUY",IF(M232&gt;Assumptions!$B$4,"SELL","HOLD")))</f>
        <v>BUY</v>
      </c>
      <c r="W232" s="32" t="str">
        <f aca="false">IF(O232="","",IF(E232&gt;O232,"BUY","SELL"))</f>
        <v>SELL</v>
      </c>
      <c r="X232" s="32" t="str">
        <f aca="false">IF(T232="","",IF(S232&gt;T232,"BUY","SELL"))</f>
        <v>SELL</v>
      </c>
      <c r="Y232" s="34" t="n">
        <f aca="false">IF(OR(V232="",W232="",X232=""),"",IFERROR(IF(V232="BUY",1,IF(V232="SELL",-1,0))+IF(W232="BUY",1,IF(W232="SELL",-1,0))+IF(X232="BUY",1,IF(X232="SELL",-1,0)),0))</f>
        <v>-1</v>
      </c>
      <c r="Z232" s="32" t="str">
        <f aca="false">IF(Y232="","",IF(Y232&gt;=2,"STRONG BUY",IF(Y232=1,"BUY",IF(Y232=0,"HOLD",IF(Y232=-1,"SELL","STRONG SELL")))))</f>
        <v>SELL</v>
      </c>
    </row>
    <row r="233" customFormat="false" ht="15" hidden="false" customHeight="false" outlineLevel="0" collapsed="false">
      <c r="A233" s="24" t="n">
        <v>46093</v>
      </c>
      <c r="B233" s="25" t="n">
        <v>26.88</v>
      </c>
      <c r="C233" s="25" t="n">
        <v>27.29</v>
      </c>
      <c r="D233" s="25" t="n">
        <v>26.81</v>
      </c>
      <c r="E233" s="25" t="n">
        <v>27.05</v>
      </c>
      <c r="F233" s="26" t="n">
        <v>31173742</v>
      </c>
      <c r="G233" s="27" t="n">
        <f aca="false">E233-E232</f>
        <v>0.370000000000001</v>
      </c>
      <c r="H233" s="28" t="n">
        <f aca="false">G233/E232</f>
        <v>0.0138680659670165</v>
      </c>
      <c r="I233" s="29" t="n">
        <f aca="false">MAX(G233,0)</f>
        <v>0.370000000000001</v>
      </c>
      <c r="J233" s="29" t="n">
        <f aca="false">MAX(-G233,0)</f>
        <v>0</v>
      </c>
      <c r="K233" s="29" t="n">
        <f aca="false">(K232*13+I233)/14</f>
        <v>0.0860505569994524</v>
      </c>
      <c r="L233" s="29" t="n">
        <f aca="false">(L232*13+J233)/14</f>
        <v>0.266181463276694</v>
      </c>
      <c r="M233" s="31" t="n">
        <f aca="false">IF(L233=0,100,100-100/(1+K233/MAX(L233,0.000001)))</f>
        <v>24.4300779162523</v>
      </c>
      <c r="N233" s="30" t="n">
        <f aca="false">AVERAGE(E214:E233)</f>
        <v>29.3535</v>
      </c>
      <c r="O233" s="30" t="n">
        <f aca="false">AVERAGE(E184:E233)</f>
        <v>30.9248</v>
      </c>
      <c r="P233" s="30" t="n">
        <f aca="false">AVERAGE(E34:E233)</f>
        <v>34.892</v>
      </c>
      <c r="Q233" s="30" t="n">
        <f aca="false">Q232+(2/13)*(E233-Q232)</f>
        <v>28.0864211451115</v>
      </c>
      <c r="R233" s="30" t="n">
        <f aca="false">R232+(2/27)*(E233-R232)</f>
        <v>29.3296403284778</v>
      </c>
      <c r="S233" s="33" t="n">
        <f aca="false">Q233-R233</f>
        <v>-1.24321918336626</v>
      </c>
      <c r="T233" s="33" t="n">
        <f aca="false">T232+(2/10)*(S233-T232)</f>
        <v>-0.983178900062947</v>
      </c>
      <c r="U233" s="33" t="n">
        <f aca="false">S233-T233</f>
        <v>-0.26004028330331</v>
      </c>
      <c r="V233" s="32" t="str">
        <f aca="false">IF(M233="","",IF(M233&lt;Assumptions!$B$5,"BUY",IF(M233&gt;Assumptions!$B$4,"SELL","HOLD")))</f>
        <v>BUY</v>
      </c>
      <c r="W233" s="32" t="str">
        <f aca="false">IF(O233="","",IF(E233&gt;O233,"BUY","SELL"))</f>
        <v>SELL</v>
      </c>
      <c r="X233" s="32" t="str">
        <f aca="false">IF(T233="","",IF(S233&gt;T233,"BUY","SELL"))</f>
        <v>SELL</v>
      </c>
      <c r="Y233" s="34" t="n">
        <f aca="false">IF(OR(V233="",W233="",X233=""),"",IFERROR(IF(V233="BUY",1,IF(V233="SELL",-1,0))+IF(W233="BUY",1,IF(W233="SELL",-1,0))+IF(X233="BUY",1,IF(X233="SELL",-1,0)),0))</f>
        <v>-1</v>
      </c>
      <c r="Z233" s="32" t="str">
        <f aca="false">IF(Y233="","",IF(Y233&gt;=2,"STRONG BUY",IF(Y233=1,"BUY",IF(Y233=0,"HOLD",IF(Y233=-1,"SELL","STRONG SELL")))))</f>
        <v>SELL</v>
      </c>
    </row>
    <row r="234" customFormat="false" ht="15" hidden="false" customHeight="false" outlineLevel="0" collapsed="false">
      <c r="A234" s="24" t="n">
        <v>46094</v>
      </c>
      <c r="B234" s="25" t="n">
        <v>27.15</v>
      </c>
      <c r="C234" s="25" t="n">
        <v>27.39</v>
      </c>
      <c r="D234" s="25" t="n">
        <v>27.05</v>
      </c>
      <c r="E234" s="25" t="n">
        <v>27.22</v>
      </c>
      <c r="F234" s="26" t="n">
        <v>31473933</v>
      </c>
      <c r="G234" s="27" t="n">
        <f aca="false">E234-E233</f>
        <v>0.169999999999998</v>
      </c>
      <c r="H234" s="28" t="n">
        <f aca="false">G234/E233</f>
        <v>0.00628465804066537</v>
      </c>
      <c r="I234" s="29" t="n">
        <f aca="false">MAX(G234,0)</f>
        <v>0.169999999999998</v>
      </c>
      <c r="J234" s="29" t="n">
        <f aca="false">MAX(-G234,0)</f>
        <v>0</v>
      </c>
      <c r="K234" s="29" t="n">
        <f aca="false">(K233*13+I234)/14</f>
        <v>0.0920469457852056</v>
      </c>
      <c r="L234" s="29" t="n">
        <f aca="false">(L233*13+J234)/14</f>
        <v>0.247168501614073</v>
      </c>
      <c r="M234" s="31" t="n">
        <f aca="false">IF(L234=0,100,100-100/(1+K234/MAX(L234,0.000001)))</f>
        <v>27.1352459007742</v>
      </c>
      <c r="N234" s="30" t="n">
        <f aca="false">AVERAGE(E215:E234)</f>
        <v>29.1415</v>
      </c>
      <c r="O234" s="30" t="n">
        <f aca="false">AVERAGE(E185:E234)</f>
        <v>30.795</v>
      </c>
      <c r="P234" s="30" t="n">
        <f aca="false">AVERAGE(E35:E234)</f>
        <v>34.80805</v>
      </c>
      <c r="Q234" s="30" t="n">
        <f aca="false">Q233+(2/13)*(E234-Q233)</f>
        <v>27.9531255843251</v>
      </c>
      <c r="R234" s="30" t="n">
        <f aca="false">R233+(2/27)*(E234-R233)</f>
        <v>29.1733706745164</v>
      </c>
      <c r="S234" s="33" t="n">
        <f aca="false">Q234-R234</f>
        <v>-1.22024509019133</v>
      </c>
      <c r="T234" s="33" t="n">
        <f aca="false">T233+(2/10)*(S234-T233)</f>
        <v>-1.03059213808862</v>
      </c>
      <c r="U234" s="33" t="n">
        <f aca="false">S234-T234</f>
        <v>-0.189652952102704</v>
      </c>
      <c r="V234" s="32" t="str">
        <f aca="false">IF(M234="","",IF(M234&lt;Assumptions!$B$5,"BUY",IF(M234&gt;Assumptions!$B$4,"SELL","HOLD")))</f>
        <v>BUY</v>
      </c>
      <c r="W234" s="32" t="str">
        <f aca="false">IF(O234="","",IF(E234&gt;O234,"BUY","SELL"))</f>
        <v>SELL</v>
      </c>
      <c r="X234" s="32" t="str">
        <f aca="false">IF(T234="","",IF(S234&gt;T234,"BUY","SELL"))</f>
        <v>SELL</v>
      </c>
      <c r="Y234" s="34" t="n">
        <f aca="false">IF(OR(V234="",W234="",X234=""),"",IFERROR(IF(V234="BUY",1,IF(V234="SELL",-1,0))+IF(W234="BUY",1,IF(W234="SELL",-1,0))+IF(X234="BUY",1,IF(X234="SELL",-1,0)),0))</f>
        <v>-1</v>
      </c>
      <c r="Z234" s="32" t="str">
        <f aca="false">IF(Y234="","",IF(Y234&gt;=2,"STRONG BUY",IF(Y234=1,"BUY",IF(Y234=0,"HOLD",IF(Y234=-1,"SELL","STRONG SELL")))))</f>
        <v>SELL</v>
      </c>
    </row>
    <row r="235" customFormat="false" ht="15" hidden="false" customHeight="false" outlineLevel="0" collapsed="false">
      <c r="A235" s="24" t="n">
        <v>46097</v>
      </c>
      <c r="B235" s="25" t="n">
        <v>27.04</v>
      </c>
      <c r="C235" s="25" t="n">
        <v>27.21</v>
      </c>
      <c r="D235" s="25" t="n">
        <v>27.03</v>
      </c>
      <c r="E235" s="25" t="n">
        <v>27.12</v>
      </c>
      <c r="F235" s="26" t="n">
        <v>59438237</v>
      </c>
      <c r="G235" s="27" t="n">
        <f aca="false">E235-E234</f>
        <v>-0.0999999999999979</v>
      </c>
      <c r="H235" s="28" t="n">
        <f aca="false">G235/E234</f>
        <v>-0.00367376928728868</v>
      </c>
      <c r="I235" s="29" t="n">
        <f aca="false">MAX(G235,0)</f>
        <v>0</v>
      </c>
      <c r="J235" s="29" t="n">
        <f aca="false">MAX(-G235,0)</f>
        <v>0.0999999999999979</v>
      </c>
      <c r="K235" s="29" t="n">
        <f aca="false">(K234*13+I235)/14</f>
        <v>0.0854721639434053</v>
      </c>
      <c r="L235" s="29" t="n">
        <f aca="false">(L234*13+J235)/14</f>
        <v>0.236656465784496</v>
      </c>
      <c r="M235" s="31" t="n">
        <f aca="false">IF(L235=0,100,100-100/(1+K235/MAX(L235,0.000001)))</f>
        <v>26.5335509034396</v>
      </c>
      <c r="N235" s="30" t="n">
        <f aca="false">AVERAGE(E216:E235)</f>
        <v>28.9155</v>
      </c>
      <c r="O235" s="30" t="n">
        <f aca="false">AVERAGE(E186:E235)</f>
        <v>30.674</v>
      </c>
      <c r="P235" s="30" t="n">
        <f aca="false">AVERAGE(E36:E235)</f>
        <v>34.7231</v>
      </c>
      <c r="Q235" s="30" t="n">
        <f aca="false">Q234+(2/13)*(E235-Q234)</f>
        <v>27.8249524175059</v>
      </c>
      <c r="R235" s="30" t="n">
        <f aca="false">R234+(2/27)*(E235-R234)</f>
        <v>29.0212691430708</v>
      </c>
      <c r="S235" s="33" t="n">
        <f aca="false">Q235-R235</f>
        <v>-1.19631672556491</v>
      </c>
      <c r="T235" s="33" t="n">
        <f aca="false">T234+(2/10)*(S235-T234)</f>
        <v>-1.06373705558388</v>
      </c>
      <c r="U235" s="33" t="n">
        <f aca="false">S235-T235</f>
        <v>-0.132579669981032</v>
      </c>
      <c r="V235" s="32" t="str">
        <f aca="false">IF(M235="","",IF(M235&lt;Assumptions!$B$5,"BUY",IF(M235&gt;Assumptions!$B$4,"SELL","HOLD")))</f>
        <v>BUY</v>
      </c>
      <c r="W235" s="32" t="str">
        <f aca="false">IF(O235="","",IF(E235&gt;O235,"BUY","SELL"))</f>
        <v>SELL</v>
      </c>
      <c r="X235" s="32" t="str">
        <f aca="false">IF(T235="","",IF(S235&gt;T235,"BUY","SELL"))</f>
        <v>SELL</v>
      </c>
      <c r="Y235" s="34" t="n">
        <f aca="false">IF(OR(V235="",W235="",X235=""),"",IFERROR(IF(V235="BUY",1,IF(V235="SELL",-1,0))+IF(W235="BUY",1,IF(W235="SELL",-1,0))+IF(X235="BUY",1,IF(X235="SELL",-1,0)),0))</f>
        <v>-1</v>
      </c>
      <c r="Z235" s="32" t="str">
        <f aca="false">IF(Y235="","",IF(Y235&gt;=2,"STRONG BUY",IF(Y235=1,"BUY",IF(Y235=0,"HOLD",IF(Y235=-1,"SELL","STRONG SELL")))))</f>
        <v>SELL</v>
      </c>
    </row>
    <row r="236" customFormat="false" ht="15" hidden="false" customHeight="false" outlineLevel="0" collapsed="false">
      <c r="A236" s="24" t="n">
        <v>46098</v>
      </c>
      <c r="B236" s="25" t="n">
        <v>27.24</v>
      </c>
      <c r="C236" s="25" t="n">
        <v>27.59</v>
      </c>
      <c r="D236" s="25" t="n">
        <v>27.23</v>
      </c>
      <c r="E236" s="25" t="n">
        <v>27.41</v>
      </c>
      <c r="F236" s="26" t="n">
        <v>44911411</v>
      </c>
      <c r="G236" s="27" t="n">
        <f aca="false">E236-E235</f>
        <v>0.289999999999999</v>
      </c>
      <c r="H236" s="28" t="n">
        <f aca="false">G236/E235</f>
        <v>0.010693215339233</v>
      </c>
      <c r="I236" s="29" t="n">
        <f aca="false">MAX(G236,0)</f>
        <v>0.289999999999999</v>
      </c>
      <c r="J236" s="29" t="n">
        <f aca="false">MAX(-G236,0)</f>
        <v>0</v>
      </c>
      <c r="K236" s="29" t="n">
        <f aca="false">(K235*13+I236)/14</f>
        <v>0.100081295090305</v>
      </c>
      <c r="L236" s="29" t="n">
        <f aca="false">(L235*13+J236)/14</f>
        <v>0.219752432514175</v>
      </c>
      <c r="M236" s="31" t="n">
        <f aca="false">IF(L236=0,100,100-100/(1+K236/MAX(L236,0.000001)))</f>
        <v>31.2916639029607</v>
      </c>
      <c r="N236" s="30" t="n">
        <f aca="false">AVERAGE(E217:E236)</f>
        <v>28.692</v>
      </c>
      <c r="O236" s="30" t="n">
        <f aca="false">AVERAGE(E187:E236)</f>
        <v>30.5642</v>
      </c>
      <c r="P236" s="30" t="n">
        <f aca="false">AVERAGE(E37:E236)</f>
        <v>34.6387</v>
      </c>
      <c r="Q236" s="30" t="n">
        <f aca="false">Q235+(2/13)*(E236-Q235)</f>
        <v>27.7611135840434</v>
      </c>
      <c r="R236" s="30" t="n">
        <f aca="false">R235+(2/27)*(E236-R235)</f>
        <v>28.9019158732137</v>
      </c>
      <c r="S236" s="33" t="n">
        <f aca="false">Q236-R236</f>
        <v>-1.14080228917026</v>
      </c>
      <c r="T236" s="33" t="n">
        <f aca="false">T235+(2/10)*(S236-T235)</f>
        <v>-1.07915010230116</v>
      </c>
      <c r="U236" s="33" t="n">
        <f aca="false">S236-T236</f>
        <v>-0.0616521868691033</v>
      </c>
      <c r="V236" s="32" t="str">
        <f aca="false">IF(M236="","",IF(M236&lt;Assumptions!$B$5,"BUY",IF(M236&gt;Assumptions!$B$4,"SELL","HOLD")))</f>
        <v>HOLD</v>
      </c>
      <c r="W236" s="32" t="str">
        <f aca="false">IF(O236="","",IF(E236&gt;O236,"BUY","SELL"))</f>
        <v>SELL</v>
      </c>
      <c r="X236" s="32" t="str">
        <f aca="false">IF(T236="","",IF(S236&gt;T236,"BUY","SELL"))</f>
        <v>SELL</v>
      </c>
      <c r="Y236" s="34" t="n">
        <f aca="false">IF(OR(V236="",W236="",X236=""),"",IFERROR(IF(V236="BUY",1,IF(V236="SELL",-1,0))+IF(W236="BUY",1,IF(W236="SELL",-1,0))+IF(X236="BUY",1,IF(X236="SELL",-1,0)),0))</f>
        <v>-2</v>
      </c>
      <c r="Z236" s="32" t="str">
        <f aca="false">IF(Y236="","",IF(Y236&gt;=2,"STRONG BUY",IF(Y236=1,"BUY",IF(Y236=0,"HOLD",IF(Y236=-1,"SELL","STRONG SELL")))))</f>
        <v>STRONG SELL</v>
      </c>
    </row>
    <row r="237" customFormat="false" ht="15" hidden="false" customHeight="false" outlineLevel="0" collapsed="false">
      <c r="A237" s="24" t="n">
        <v>46099</v>
      </c>
      <c r="B237" s="25" t="n">
        <v>27.84</v>
      </c>
      <c r="C237" s="25" t="n">
        <v>27.84</v>
      </c>
      <c r="D237" s="25" t="n">
        <v>27.84</v>
      </c>
      <c r="E237" s="25" t="n">
        <v>27.84</v>
      </c>
      <c r="F237" s="26" t="n">
        <v>64581972</v>
      </c>
      <c r="G237" s="27" t="n">
        <f aca="false">E237-E236</f>
        <v>0.43</v>
      </c>
      <c r="H237" s="28" t="n">
        <f aca="false">G237/E236</f>
        <v>0.0156877052170741</v>
      </c>
      <c r="I237" s="29" t="n">
        <f aca="false">MAX(G237,0)</f>
        <v>0.43</v>
      </c>
      <c r="J237" s="29" t="n">
        <f aca="false">MAX(-G237,0)</f>
        <v>0</v>
      </c>
      <c r="K237" s="29" t="n">
        <f aca="false">(K236*13+I237)/14</f>
        <v>0.123646916869569</v>
      </c>
      <c r="L237" s="29" t="n">
        <f aca="false">(L236*13+J237)/14</f>
        <v>0.204055830191734</v>
      </c>
      <c r="M237" s="31" t="n">
        <f aca="false">IF(L237=0,100,100-100/(1+K237/MAX(L237,0.000001)))</f>
        <v>37.7314251950529</v>
      </c>
      <c r="N237" s="30" t="n">
        <f aca="false">AVERAGE(E218:E237)</f>
        <v>28.5195</v>
      </c>
      <c r="O237" s="30" t="n">
        <f aca="false">AVERAGE(E188:E237)</f>
        <v>30.4654</v>
      </c>
      <c r="P237" s="30" t="n">
        <f aca="false">AVERAGE(E38:E237)</f>
        <v>34.5566</v>
      </c>
      <c r="Q237" s="30" t="n">
        <f aca="false">Q236+(2/13)*(E237-Q236)</f>
        <v>27.7732499557291</v>
      </c>
      <c r="R237" s="30" t="n">
        <f aca="false">R236+(2/27)*(E237-R236)</f>
        <v>28.8232554381608</v>
      </c>
      <c r="S237" s="33" t="n">
        <f aca="false">Q237-R237</f>
        <v>-1.05000548243177</v>
      </c>
      <c r="T237" s="33" t="n">
        <f aca="false">T236+(2/10)*(S237-T236)</f>
        <v>-1.07332117832728</v>
      </c>
      <c r="U237" s="33" t="n">
        <f aca="false">S237-T237</f>
        <v>0.023315695895511</v>
      </c>
      <c r="V237" s="32" t="str">
        <f aca="false">IF(M237="","",IF(M237&lt;Assumptions!$B$5,"BUY",IF(M237&gt;Assumptions!$B$4,"SELL","HOLD")))</f>
        <v>HOLD</v>
      </c>
      <c r="W237" s="32" t="str">
        <f aca="false">IF(O237="","",IF(E237&gt;O237,"BUY","SELL"))</f>
        <v>SELL</v>
      </c>
      <c r="X237" s="32" t="str">
        <f aca="false">IF(T237="","",IF(S237&gt;T237,"BUY","SELL"))</f>
        <v>BUY</v>
      </c>
      <c r="Y237" s="34" t="n">
        <f aca="false">IF(OR(V237="",W237="",X237=""),"",IFERROR(IF(V237="BUY",1,IF(V237="SELL",-1,0))+IF(W237="BUY",1,IF(W237="SELL",-1,0))+IF(X237="BUY",1,IF(X237="SELL",-1,0)),0))</f>
        <v>0</v>
      </c>
      <c r="Z237" s="32" t="str">
        <f aca="false">IF(Y237="","",IF(Y237&gt;=2,"STRONG BUY",IF(Y237=1,"BUY",IF(Y237=0,"HOLD",IF(Y237=-1,"SELL","STRONG SELL")))))</f>
        <v>HOLD</v>
      </c>
    </row>
    <row r="238" customFormat="false" ht="15" hidden="false" customHeight="false" outlineLevel="0" collapsed="false">
      <c r="A238" s="24" t="n">
        <v>46100</v>
      </c>
      <c r="B238" s="25" t="n">
        <v>27.98</v>
      </c>
      <c r="C238" s="25" t="n">
        <v>28.02</v>
      </c>
      <c r="D238" s="25" t="n">
        <v>27.98</v>
      </c>
      <c r="E238" s="25" t="n">
        <v>28</v>
      </c>
      <c r="F238" s="26" t="n">
        <v>30541863</v>
      </c>
      <c r="G238" s="27" t="n">
        <f aca="false">E238-E237</f>
        <v>0.16</v>
      </c>
      <c r="H238" s="28" t="n">
        <f aca="false">G238/E237</f>
        <v>0.00574712643678161</v>
      </c>
      <c r="I238" s="29" t="n">
        <f aca="false">MAX(G238,0)</f>
        <v>0.16</v>
      </c>
      <c r="J238" s="29" t="n">
        <f aca="false">MAX(-G238,0)</f>
        <v>0</v>
      </c>
      <c r="K238" s="29" t="n">
        <f aca="false">(K237*13+I238)/14</f>
        <v>0.1262435656646</v>
      </c>
      <c r="L238" s="29" t="n">
        <f aca="false">(L237*13+J238)/14</f>
        <v>0.189480413749467</v>
      </c>
      <c r="M238" s="31" t="n">
        <f aca="false">IF(L238=0,100,100-100/(1+K238/MAX(L238,0.000001)))</f>
        <v>39.9854220445616</v>
      </c>
      <c r="N238" s="30" t="n">
        <f aca="false">AVERAGE(E219:E238)</f>
        <v>28.377</v>
      </c>
      <c r="O238" s="30" t="n">
        <f aca="false">AVERAGE(E189:E238)</f>
        <v>30.379</v>
      </c>
      <c r="P238" s="30" t="n">
        <f aca="false">AVERAGE(E39:E238)</f>
        <v>34.47905</v>
      </c>
      <c r="Q238" s="30" t="n">
        <f aca="false">Q237+(2/13)*(E238-Q237)</f>
        <v>27.8081345779246</v>
      </c>
      <c r="R238" s="30" t="n">
        <f aca="false">R237+(2/27)*(E238-R237)</f>
        <v>28.7622735538526</v>
      </c>
      <c r="S238" s="33" t="n">
        <f aca="false">Q238-R238</f>
        <v>-0.954138975928029</v>
      </c>
      <c r="T238" s="33" t="n">
        <f aca="false">T237+(2/10)*(S238-T237)</f>
        <v>-1.04948473784743</v>
      </c>
      <c r="U238" s="33" t="n">
        <f aca="false">S238-T238</f>
        <v>0.0953457619194003</v>
      </c>
      <c r="V238" s="32" t="str">
        <f aca="false">IF(M238="","",IF(M238&lt;Assumptions!$B$5,"BUY",IF(M238&gt;Assumptions!$B$4,"SELL","HOLD")))</f>
        <v>HOLD</v>
      </c>
      <c r="W238" s="32" t="str">
        <f aca="false">IF(O238="","",IF(E238&gt;O238,"BUY","SELL"))</f>
        <v>SELL</v>
      </c>
      <c r="X238" s="32" t="str">
        <f aca="false">IF(T238="","",IF(S238&gt;T238,"BUY","SELL"))</f>
        <v>BUY</v>
      </c>
      <c r="Y238" s="34" t="n">
        <f aca="false">IF(OR(V238="",W238="",X238=""),"",IFERROR(IF(V238="BUY",1,IF(V238="SELL",-1,0))+IF(W238="BUY",1,IF(W238="SELL",-1,0))+IF(X238="BUY",1,IF(X238="SELL",-1,0)),0))</f>
        <v>0</v>
      </c>
      <c r="Z238" s="32" t="str">
        <f aca="false">IF(Y238="","",IF(Y238&gt;=2,"STRONG BUY",IF(Y238=1,"BUY",IF(Y238=0,"HOLD",IF(Y238=-1,"SELL","STRONG SELL")))))</f>
        <v>HOLD</v>
      </c>
    </row>
    <row r="239" customFormat="false" ht="15" hidden="false" customHeight="false" outlineLevel="0" collapsed="false">
      <c r="A239" s="24" t="n">
        <v>46101</v>
      </c>
      <c r="B239" s="25" t="n">
        <v>27.8</v>
      </c>
      <c r="C239" s="25" t="n">
        <v>28.14</v>
      </c>
      <c r="D239" s="25" t="n">
        <v>27.54</v>
      </c>
      <c r="E239" s="25" t="n">
        <v>27.84</v>
      </c>
      <c r="F239" s="26" t="n">
        <v>50252172</v>
      </c>
      <c r="G239" s="27" t="n">
        <f aca="false">E239-E238</f>
        <v>-0.16</v>
      </c>
      <c r="H239" s="28" t="n">
        <f aca="false">G239/E238</f>
        <v>-0.00571428571428572</v>
      </c>
      <c r="I239" s="29" t="n">
        <f aca="false">MAX(G239,0)</f>
        <v>0</v>
      </c>
      <c r="J239" s="29" t="n">
        <f aca="false">MAX(-G239,0)</f>
        <v>0.16</v>
      </c>
      <c r="K239" s="29" t="n">
        <f aca="false">(K238*13+I239)/14</f>
        <v>0.117226168117128</v>
      </c>
      <c r="L239" s="29" t="n">
        <f aca="false">(L238*13+J239)/14</f>
        <v>0.18737466991022</v>
      </c>
      <c r="M239" s="31" t="n">
        <f aca="false">IF(L239=0,100,100-100/(1+K239/MAX(L239,0.000001)))</f>
        <v>38.4851758374359</v>
      </c>
      <c r="N239" s="30" t="n">
        <f aca="false">AVERAGE(E220:E239)</f>
        <v>28.234</v>
      </c>
      <c r="O239" s="30" t="n">
        <f aca="false">AVERAGE(E190:E239)</f>
        <v>30.288</v>
      </c>
      <c r="P239" s="30" t="n">
        <f aca="false">AVERAGE(E40:E239)</f>
        <v>34.40075</v>
      </c>
      <c r="Q239" s="30" t="n">
        <f aca="false">Q238+(2/13)*(E239-Q238)</f>
        <v>27.8130369505516</v>
      </c>
      <c r="R239" s="30" t="n">
        <f aca="false">R238+(2/27)*(E239-R238)</f>
        <v>28.693956994308</v>
      </c>
      <c r="S239" s="33" t="n">
        <f aca="false">Q239-R239</f>
        <v>-0.880920043756404</v>
      </c>
      <c r="T239" s="33" t="n">
        <f aca="false">T238+(2/10)*(S239-T238)</f>
        <v>-1.01577179902922</v>
      </c>
      <c r="U239" s="33" t="n">
        <f aca="false">S239-T239</f>
        <v>0.134851755272819</v>
      </c>
      <c r="V239" s="32" t="str">
        <f aca="false">IF(M239="","",IF(M239&lt;Assumptions!$B$5,"BUY",IF(M239&gt;Assumptions!$B$4,"SELL","HOLD")))</f>
        <v>HOLD</v>
      </c>
      <c r="W239" s="32" t="str">
        <f aca="false">IF(O239="","",IF(E239&gt;O239,"BUY","SELL"))</f>
        <v>SELL</v>
      </c>
      <c r="X239" s="32" t="str">
        <f aca="false">IF(T239="","",IF(S239&gt;T239,"BUY","SELL"))</f>
        <v>BUY</v>
      </c>
      <c r="Y239" s="34" t="n">
        <f aca="false">IF(OR(V239="",W239="",X239=""),"",IFERROR(IF(V239="BUY",1,IF(V239="SELL",-1,0))+IF(W239="BUY",1,IF(W239="SELL",-1,0))+IF(X239="BUY",1,IF(X239="SELL",-1,0)),0))</f>
        <v>0</v>
      </c>
      <c r="Z239" s="32" t="str">
        <f aca="false">IF(Y239="","",IF(Y239&gt;=2,"STRONG BUY",IF(Y239=1,"BUY",IF(Y239=0,"HOLD",IF(Y239=-1,"SELL","STRONG SELL")))))</f>
        <v>HOLD</v>
      </c>
    </row>
    <row r="240" customFormat="false" ht="15" hidden="false" customHeight="false" outlineLevel="0" collapsed="false">
      <c r="A240" s="24" t="n">
        <v>46104</v>
      </c>
      <c r="B240" s="25" t="n">
        <v>28.2</v>
      </c>
      <c r="C240" s="25" t="n">
        <v>28.4</v>
      </c>
      <c r="D240" s="25" t="n">
        <v>28.08</v>
      </c>
      <c r="E240" s="25" t="n">
        <v>28.24</v>
      </c>
      <c r="F240" s="26" t="n">
        <v>90664824</v>
      </c>
      <c r="G240" s="27" t="n">
        <f aca="false">E240-E239</f>
        <v>0.399999999999999</v>
      </c>
      <c r="H240" s="28" t="n">
        <f aca="false">G240/E239</f>
        <v>0.014367816091954</v>
      </c>
      <c r="I240" s="29" t="n">
        <f aca="false">MAX(G240,0)</f>
        <v>0.399999999999999</v>
      </c>
      <c r="J240" s="29" t="n">
        <f aca="false">MAX(-G240,0)</f>
        <v>0</v>
      </c>
      <c r="K240" s="29" t="n">
        <f aca="false">(K239*13+I240)/14</f>
        <v>0.137424298965905</v>
      </c>
      <c r="L240" s="29" t="n">
        <f aca="false">(L239*13+J240)/14</f>
        <v>0.173990764916633</v>
      </c>
      <c r="M240" s="31" t="n">
        <f aca="false">IF(L240=0,100,100-100/(1+K240/MAX(L240,0.000001)))</f>
        <v>44.1289824752151</v>
      </c>
      <c r="N240" s="30" t="n">
        <f aca="false">AVERAGE(E221:E240)</f>
        <v>28.122</v>
      </c>
      <c r="O240" s="30" t="n">
        <f aca="false">AVERAGE(E191:E240)</f>
        <v>30.2038</v>
      </c>
      <c r="P240" s="30" t="n">
        <f aca="false">AVERAGE(E41:E240)</f>
        <v>34.32785</v>
      </c>
      <c r="Q240" s="30" t="n">
        <f aca="false">Q239+(2/13)*(E240-Q239)</f>
        <v>27.8787235735436</v>
      </c>
      <c r="R240" s="30" t="n">
        <f aca="false">R239+(2/27)*(E240-R239)</f>
        <v>28.6603305502852</v>
      </c>
      <c r="S240" s="33" t="n">
        <f aca="false">Q240-R240</f>
        <v>-0.781606976741529</v>
      </c>
      <c r="T240" s="33" t="n">
        <f aca="false">T239+(2/10)*(S240-T239)</f>
        <v>-0.968938834571685</v>
      </c>
      <c r="U240" s="33" t="n">
        <f aca="false">S240-T240</f>
        <v>0.187331857830156</v>
      </c>
      <c r="V240" s="32" t="str">
        <f aca="false">IF(M240="","",IF(M240&lt;Assumptions!$B$5,"BUY",IF(M240&gt;Assumptions!$B$4,"SELL","HOLD")))</f>
        <v>HOLD</v>
      </c>
      <c r="W240" s="32" t="str">
        <f aca="false">IF(O240="","",IF(E240&gt;O240,"BUY","SELL"))</f>
        <v>SELL</v>
      </c>
      <c r="X240" s="32" t="str">
        <f aca="false">IF(T240="","",IF(S240&gt;T240,"BUY","SELL"))</f>
        <v>BUY</v>
      </c>
      <c r="Y240" s="34" t="n">
        <f aca="false">IF(OR(V240="",W240="",X240=""),"",IFERROR(IF(V240="BUY",1,IF(V240="SELL",-1,0))+IF(W240="BUY",1,IF(W240="SELL",-1,0))+IF(X240="BUY",1,IF(X240="SELL",-1,0)),0))</f>
        <v>0</v>
      </c>
      <c r="Z240" s="32" t="str">
        <f aca="false">IF(Y240="","",IF(Y240&gt;=2,"STRONG BUY",IF(Y240=1,"BUY",IF(Y240=0,"HOLD",IF(Y240=-1,"SELL","STRONG SELL")))))</f>
        <v>HOLD</v>
      </c>
    </row>
    <row r="241" customFormat="false" ht="15" hidden="false" customHeight="false" outlineLevel="0" collapsed="false">
      <c r="A241" s="24" t="n">
        <v>46105</v>
      </c>
      <c r="B241" s="25" t="n">
        <v>28.94</v>
      </c>
      <c r="C241" s="25" t="n">
        <v>28.96</v>
      </c>
      <c r="D241" s="25" t="n">
        <v>28.94</v>
      </c>
      <c r="E241" s="25" t="n">
        <v>28.95</v>
      </c>
      <c r="F241" s="26" t="n">
        <v>56660417</v>
      </c>
      <c r="G241" s="27" t="n">
        <f aca="false">E241-E240</f>
        <v>0.710000000000001</v>
      </c>
      <c r="H241" s="28" t="n">
        <f aca="false">G241/E240</f>
        <v>0.0251416430594901</v>
      </c>
      <c r="I241" s="29" t="n">
        <f aca="false">MAX(G241,0)</f>
        <v>0.710000000000001</v>
      </c>
      <c r="J241" s="29" t="n">
        <f aca="false">MAX(-G241,0)</f>
        <v>0</v>
      </c>
      <c r="K241" s="29" t="n">
        <f aca="false">(K240*13+I241)/14</f>
        <v>0.178322563325483</v>
      </c>
      <c r="L241" s="29" t="n">
        <f aca="false">(L240*13+J241)/14</f>
        <v>0.161562853136873</v>
      </c>
      <c r="M241" s="31" t="n">
        <f aca="false">IF(L241=0,100,100-100/(1+K241/MAX(L241,0.000001)))</f>
        <v>52.4654941602159</v>
      </c>
      <c r="N241" s="30" t="n">
        <f aca="false">AVERAGE(E222:E241)</f>
        <v>28.042</v>
      </c>
      <c r="O241" s="30" t="n">
        <f aca="false">AVERAGE(E192:E241)</f>
        <v>30.141</v>
      </c>
      <c r="P241" s="30" t="n">
        <f aca="false">AVERAGE(E42:E241)</f>
        <v>34.25785</v>
      </c>
      <c r="Q241" s="30" t="n">
        <f aca="false">Q240+(2/13)*(E241-Q240)</f>
        <v>28.04353533146</v>
      </c>
      <c r="R241" s="30" t="n">
        <f aca="false">R240+(2/27)*(E241-R240)</f>
        <v>28.6817875465603</v>
      </c>
      <c r="S241" s="33" t="n">
        <f aca="false">Q241-R241</f>
        <v>-0.638252215100337</v>
      </c>
      <c r="T241" s="33" t="n">
        <f aca="false">T240+(2/10)*(S241-T240)</f>
        <v>-0.902801510677415</v>
      </c>
      <c r="U241" s="33" t="n">
        <f aca="false">S241-T241</f>
        <v>0.264549295577078</v>
      </c>
      <c r="V241" s="32" t="str">
        <f aca="false">IF(M241="","",IF(M241&lt;Assumptions!$B$5,"BUY",IF(M241&gt;Assumptions!$B$4,"SELL","HOLD")))</f>
        <v>HOLD</v>
      </c>
      <c r="W241" s="32" t="str">
        <f aca="false">IF(O241="","",IF(E241&gt;O241,"BUY","SELL"))</f>
        <v>SELL</v>
      </c>
      <c r="X241" s="32" t="str">
        <f aca="false">IF(T241="","",IF(S241&gt;T241,"BUY","SELL"))</f>
        <v>BUY</v>
      </c>
      <c r="Y241" s="34" t="n">
        <f aca="false">IF(OR(V241="",W241="",X241=""),"",IFERROR(IF(V241="BUY",1,IF(V241="SELL",-1,0))+IF(W241="BUY",1,IF(W241="SELL",-1,0))+IF(X241="BUY",1,IF(X241="SELL",-1,0)),0))</f>
        <v>0</v>
      </c>
      <c r="Z241" s="32" t="str">
        <f aca="false">IF(Y241="","",IF(Y241&gt;=2,"STRONG BUY",IF(Y241=1,"BUY",IF(Y241=0,"HOLD",IF(Y241=-1,"SELL","STRONG SELL")))))</f>
        <v>HOLD</v>
      </c>
    </row>
    <row r="242" customFormat="false" ht="15" hidden="false" customHeight="false" outlineLevel="0" collapsed="false">
      <c r="A242" s="24" t="n">
        <v>46106</v>
      </c>
      <c r="B242" s="25" t="n">
        <v>29.24</v>
      </c>
      <c r="C242" s="25" t="n">
        <v>29.39</v>
      </c>
      <c r="D242" s="25" t="n">
        <v>29.05</v>
      </c>
      <c r="E242" s="25" t="n">
        <v>29.22</v>
      </c>
      <c r="F242" s="26" t="n">
        <v>13878305</v>
      </c>
      <c r="G242" s="27" t="n">
        <f aca="false">E242-E241</f>
        <v>0.27</v>
      </c>
      <c r="H242" s="28" t="n">
        <f aca="false">G242/E241</f>
        <v>0.00932642487046631</v>
      </c>
      <c r="I242" s="29" t="n">
        <f aca="false">MAX(G242,0)</f>
        <v>0.27</v>
      </c>
      <c r="J242" s="29" t="n">
        <f aca="false">MAX(-G242,0)</f>
        <v>0</v>
      </c>
      <c r="K242" s="29" t="n">
        <f aca="false">(K241*13+I242)/14</f>
        <v>0.184870951659377</v>
      </c>
      <c r="L242" s="29" t="n">
        <f aca="false">(L241*13+J242)/14</f>
        <v>0.150022649341382</v>
      </c>
      <c r="M242" s="31" t="n">
        <f aca="false">IF(L242=0,100,100-100/(1+K242/MAX(L242,0.000001)))</f>
        <v>55.2028916369047</v>
      </c>
      <c r="N242" s="30" t="n">
        <f aca="false">AVERAGE(E223:E242)</f>
        <v>28</v>
      </c>
      <c r="O242" s="30" t="n">
        <f aca="false">AVERAGE(E193:E242)</f>
        <v>30.069</v>
      </c>
      <c r="P242" s="30" t="n">
        <f aca="false">AVERAGE(E43:E242)</f>
        <v>34.1927</v>
      </c>
      <c r="Q242" s="30" t="n">
        <f aca="false">Q241+(2/13)*(E242-Q241)</f>
        <v>28.2245298958508</v>
      </c>
      <c r="R242" s="30" t="n">
        <f aca="false">R241+(2/27)*(E242-R241)</f>
        <v>28.721655135704</v>
      </c>
      <c r="S242" s="33" t="n">
        <f aca="false">Q242-R242</f>
        <v>-0.497125239853247</v>
      </c>
      <c r="T242" s="33" t="n">
        <f aca="false">T241+(2/10)*(S242-T241)</f>
        <v>-0.821666256512582</v>
      </c>
      <c r="U242" s="33" t="n">
        <f aca="false">S242-T242</f>
        <v>0.324541016659335</v>
      </c>
      <c r="V242" s="32" t="str">
        <f aca="false">IF(M242="","",IF(M242&lt;Assumptions!$B$5,"BUY",IF(M242&gt;Assumptions!$B$4,"SELL","HOLD")))</f>
        <v>HOLD</v>
      </c>
      <c r="W242" s="32" t="str">
        <f aca="false">IF(O242="","",IF(E242&gt;O242,"BUY","SELL"))</f>
        <v>SELL</v>
      </c>
      <c r="X242" s="32" t="str">
        <f aca="false">IF(T242="","",IF(S242&gt;T242,"BUY","SELL"))</f>
        <v>BUY</v>
      </c>
      <c r="Y242" s="34" t="n">
        <f aca="false">IF(OR(V242="",W242="",X242=""),"",IFERROR(IF(V242="BUY",1,IF(V242="SELL",-1,0))+IF(W242="BUY",1,IF(W242="SELL",-1,0))+IF(X242="BUY",1,IF(X242="SELL",-1,0)),0))</f>
        <v>0</v>
      </c>
      <c r="Z242" s="32" t="str">
        <f aca="false">IF(Y242="","",IF(Y242&gt;=2,"STRONG BUY",IF(Y242=1,"BUY",IF(Y242=0,"HOLD",IF(Y242=-1,"SELL","STRONG SELL")))))</f>
        <v>HOLD</v>
      </c>
    </row>
    <row r="243" customFormat="false" ht="15" hidden="false" customHeight="false" outlineLevel="0" collapsed="false">
      <c r="A243" s="24" t="n">
        <v>46107</v>
      </c>
      <c r="B243" s="25" t="n">
        <v>29.97</v>
      </c>
      <c r="C243" s="25" t="n">
        <v>30.08</v>
      </c>
      <c r="D243" s="25" t="n">
        <v>29.84</v>
      </c>
      <c r="E243" s="25" t="n">
        <v>29.96</v>
      </c>
      <c r="F243" s="26" t="n">
        <v>53684988</v>
      </c>
      <c r="G243" s="27" t="n">
        <f aca="false">E243-E242</f>
        <v>0.740000000000002</v>
      </c>
      <c r="H243" s="28" t="n">
        <f aca="false">G243/E242</f>
        <v>0.025325119780972</v>
      </c>
      <c r="I243" s="29" t="n">
        <f aca="false">MAX(G243,0)</f>
        <v>0.740000000000002</v>
      </c>
      <c r="J243" s="29" t="n">
        <f aca="false">MAX(-G243,0)</f>
        <v>0</v>
      </c>
      <c r="K243" s="29" t="n">
        <f aca="false">(K242*13+I243)/14</f>
        <v>0.22452302654085</v>
      </c>
      <c r="L243" s="29" t="n">
        <f aca="false">(L242*13+J243)/14</f>
        <v>0.139306745816998</v>
      </c>
      <c r="M243" s="31" t="n">
        <f aca="false">IF(L243=0,100,100-100/(1+K243/MAX(L243,0.000001)))</f>
        <v>61.7110098180802</v>
      </c>
      <c r="N243" s="30" t="n">
        <f aca="false">AVERAGE(E224:E243)</f>
        <v>27.994</v>
      </c>
      <c r="O243" s="30" t="n">
        <f aca="false">AVERAGE(E194:E243)</f>
        <v>30.0244</v>
      </c>
      <c r="P243" s="30" t="n">
        <f aca="false">AVERAGE(E44:E243)</f>
        <v>34.1285</v>
      </c>
      <c r="Q243" s="30" t="n">
        <f aca="false">Q242+(2/13)*(E243-Q242)</f>
        <v>28.4915252964891</v>
      </c>
      <c r="R243" s="30" t="n">
        <f aca="false">R242+(2/27)*(E243-R242)</f>
        <v>28.8133843849111</v>
      </c>
      <c r="S243" s="33" t="n">
        <f aca="false">Q243-R243</f>
        <v>-0.321859088422013</v>
      </c>
      <c r="T243" s="33" t="n">
        <f aca="false">T242+(2/10)*(S243-T242)</f>
        <v>-0.721704822894468</v>
      </c>
      <c r="U243" s="33" t="n">
        <f aca="false">S243-T243</f>
        <v>0.399845734472455</v>
      </c>
      <c r="V243" s="32" t="str">
        <f aca="false">IF(M243="","",IF(M243&lt;Assumptions!$B$5,"BUY",IF(M243&gt;Assumptions!$B$4,"SELL","HOLD")))</f>
        <v>HOLD</v>
      </c>
      <c r="W243" s="32" t="str">
        <f aca="false">IF(O243="","",IF(E243&gt;O243,"BUY","SELL"))</f>
        <v>SELL</v>
      </c>
      <c r="X243" s="32" t="str">
        <f aca="false">IF(T243="","",IF(S243&gt;T243,"BUY","SELL"))</f>
        <v>BUY</v>
      </c>
      <c r="Y243" s="34" t="n">
        <f aca="false">IF(OR(V243="",W243="",X243=""),"",IFERROR(IF(V243="BUY",1,IF(V243="SELL",-1,0))+IF(W243="BUY",1,IF(W243="SELL",-1,0))+IF(X243="BUY",1,IF(X243="SELL",-1,0)),0))</f>
        <v>0</v>
      </c>
      <c r="Z243" s="32" t="str">
        <f aca="false">IF(Y243="","",IF(Y243&gt;=2,"STRONG BUY",IF(Y243=1,"BUY",IF(Y243=0,"HOLD",IF(Y243=-1,"SELL","STRONG SELL")))))</f>
        <v>HOLD</v>
      </c>
    </row>
    <row r="244" customFormat="false" ht="15" hidden="false" customHeight="false" outlineLevel="0" collapsed="false">
      <c r="A244" s="24" t="n">
        <v>46108</v>
      </c>
      <c r="B244" s="25" t="n">
        <v>30.32</v>
      </c>
      <c r="C244" s="25" t="n">
        <v>30.38</v>
      </c>
      <c r="D244" s="25" t="n">
        <v>30.32</v>
      </c>
      <c r="E244" s="25" t="n">
        <v>30.35</v>
      </c>
      <c r="F244" s="26" t="n">
        <v>34274125</v>
      </c>
      <c r="G244" s="27" t="n">
        <f aca="false">E244-E243</f>
        <v>0.390000000000001</v>
      </c>
      <c r="H244" s="28" t="n">
        <f aca="false">G244/E243</f>
        <v>0.0130173564753004</v>
      </c>
      <c r="I244" s="29" t="n">
        <f aca="false">MAX(G244,0)</f>
        <v>0.390000000000001</v>
      </c>
      <c r="J244" s="29" t="n">
        <f aca="false">MAX(-G244,0)</f>
        <v>0</v>
      </c>
      <c r="K244" s="29" t="n">
        <f aca="false">(K243*13+I244)/14</f>
        <v>0.236342810359361</v>
      </c>
      <c r="L244" s="29" t="n">
        <f aca="false">(L243*13+J244)/14</f>
        <v>0.129356263972926</v>
      </c>
      <c r="M244" s="31" t="n">
        <f aca="false">IF(L244=0,100,100-100/(1+K244/MAX(L244,0.000001)))</f>
        <v>64.6276753067773</v>
      </c>
      <c r="N244" s="30" t="n">
        <f aca="false">AVERAGE(E225:E244)</f>
        <v>28.0425</v>
      </c>
      <c r="O244" s="30" t="n">
        <f aca="false">AVERAGE(E195:E244)</f>
        <v>29.999</v>
      </c>
      <c r="P244" s="30" t="n">
        <f aca="false">AVERAGE(E45:E244)</f>
        <v>34.06395</v>
      </c>
      <c r="Q244" s="30" t="n">
        <f aca="false">Q243+(2/13)*(E244-Q243)</f>
        <v>28.7774444816446</v>
      </c>
      <c r="R244" s="30" t="n">
        <f aca="false">R243+(2/27)*(E244-R243)</f>
        <v>28.9272077638066</v>
      </c>
      <c r="S244" s="33" t="n">
        <f aca="false">Q244-R244</f>
        <v>-0.149763282161963</v>
      </c>
      <c r="T244" s="33" t="n">
        <f aca="false">T243+(2/10)*(S244-T243)</f>
        <v>-0.607316514747967</v>
      </c>
      <c r="U244" s="33" t="n">
        <f aca="false">S244-T244</f>
        <v>0.457553232586004</v>
      </c>
      <c r="V244" s="32" t="str">
        <f aca="false">IF(M244="","",IF(M244&lt;Assumptions!$B$5,"BUY",IF(M244&gt;Assumptions!$B$4,"SELL","HOLD")))</f>
        <v>HOLD</v>
      </c>
      <c r="W244" s="32" t="str">
        <f aca="false">IF(O244="","",IF(E244&gt;O244,"BUY","SELL"))</f>
        <v>BUY</v>
      </c>
      <c r="X244" s="32" t="str">
        <f aca="false">IF(T244="","",IF(S244&gt;T244,"BUY","SELL"))</f>
        <v>BUY</v>
      </c>
      <c r="Y244" s="34" t="n">
        <f aca="false">IF(OR(V244="",W244="",X244=""),"",IFERROR(IF(V244="BUY",1,IF(V244="SELL",-1,0))+IF(W244="BUY",1,IF(W244="SELL",-1,0))+IF(X244="BUY",1,IF(X244="SELL",-1,0)),0))</f>
        <v>2</v>
      </c>
      <c r="Z244" s="32" t="str">
        <f aca="false">IF(Y244="","",IF(Y244&gt;=2,"STRONG BUY",IF(Y244=1,"BUY",IF(Y244=0,"HOLD",IF(Y244=-1,"SELL","STRONG SELL")))))</f>
        <v>STRONG BUY</v>
      </c>
    </row>
    <row r="245" customFormat="false" ht="15" hidden="false" customHeight="false" outlineLevel="0" collapsed="false">
      <c r="A245" s="24" t="n">
        <v>46111</v>
      </c>
      <c r="B245" s="25" t="n">
        <v>30.78</v>
      </c>
      <c r="C245" s="25" t="n">
        <v>31.01</v>
      </c>
      <c r="D245" s="25" t="n">
        <v>30.43</v>
      </c>
      <c r="E245" s="25" t="n">
        <v>30.72</v>
      </c>
      <c r="F245" s="26" t="n">
        <v>39547892</v>
      </c>
      <c r="G245" s="27" t="n">
        <f aca="false">E245-E244</f>
        <v>0.369999999999997</v>
      </c>
      <c r="H245" s="28" t="n">
        <f aca="false">G245/E244</f>
        <v>0.0121911037891268</v>
      </c>
      <c r="I245" s="29" t="n">
        <f aca="false">MAX(G245,0)</f>
        <v>0.369999999999997</v>
      </c>
      <c r="J245" s="29" t="n">
        <f aca="false">MAX(-G245,0)</f>
        <v>0</v>
      </c>
      <c r="K245" s="29" t="n">
        <f aca="false">(K244*13+I245)/14</f>
        <v>0.245889752476549</v>
      </c>
      <c r="L245" s="29" t="n">
        <f aca="false">(L244*13+J245)/14</f>
        <v>0.120116530832003</v>
      </c>
      <c r="M245" s="31" t="n">
        <f aca="false">IF(L245=0,100,100-100/(1+K245/MAX(L245,0.000001)))</f>
        <v>67.1818391350561</v>
      </c>
      <c r="N245" s="30" t="n">
        <f aca="false">AVERAGE(E226:E245)</f>
        <v>28.153</v>
      </c>
      <c r="O245" s="30" t="n">
        <f aca="false">AVERAGE(E196:E245)</f>
        <v>29.9776</v>
      </c>
      <c r="P245" s="30" t="n">
        <f aca="false">AVERAGE(E46:E245)</f>
        <v>34.0004</v>
      </c>
      <c r="Q245" s="30" t="n">
        <f aca="false">Q244+(2/13)*(E245-Q244)</f>
        <v>29.0762991767762</v>
      </c>
      <c r="R245" s="30" t="n">
        <f aca="false">R244+(2/27)*(E245-R244)</f>
        <v>29.0600071887098</v>
      </c>
      <c r="S245" s="33" t="n">
        <f aca="false">Q245-R245</f>
        <v>0.016291988066417</v>
      </c>
      <c r="T245" s="33" t="n">
        <f aca="false">T244+(2/10)*(S245-T244)</f>
        <v>-0.48259481418509</v>
      </c>
      <c r="U245" s="33" t="n">
        <f aca="false">S245-T245</f>
        <v>0.498886802251507</v>
      </c>
      <c r="V245" s="32" t="str">
        <f aca="false">IF(M245="","",IF(M245&lt;Assumptions!$B$5,"BUY",IF(M245&gt;Assumptions!$B$4,"SELL","HOLD")))</f>
        <v>HOLD</v>
      </c>
      <c r="W245" s="32" t="str">
        <f aca="false">IF(O245="","",IF(E245&gt;O245,"BUY","SELL"))</f>
        <v>BUY</v>
      </c>
      <c r="X245" s="32" t="str">
        <f aca="false">IF(T245="","",IF(S245&gt;T245,"BUY","SELL"))</f>
        <v>BUY</v>
      </c>
      <c r="Y245" s="34" t="n">
        <f aca="false">IF(OR(V245="",W245="",X245=""),"",IFERROR(IF(V245="BUY",1,IF(V245="SELL",-1,0))+IF(W245="BUY",1,IF(W245="SELL",-1,0))+IF(X245="BUY",1,IF(X245="SELL",-1,0)),0))</f>
        <v>2</v>
      </c>
      <c r="Z245" s="32" t="str">
        <f aca="false">IF(Y245="","",IF(Y245&gt;=2,"STRONG BUY",IF(Y245=1,"BUY",IF(Y245=0,"HOLD",IF(Y245=-1,"SELL","STRONG SELL")))))</f>
        <v>STRONG BUY</v>
      </c>
    </row>
    <row r="246" customFormat="false" ht="15" hidden="false" customHeight="false" outlineLevel="0" collapsed="false">
      <c r="A246" s="24" t="n">
        <v>46112</v>
      </c>
      <c r="B246" s="25" t="n">
        <v>30.31</v>
      </c>
      <c r="C246" s="25" t="n">
        <v>30.34</v>
      </c>
      <c r="D246" s="25" t="n">
        <v>30.18</v>
      </c>
      <c r="E246" s="25" t="n">
        <v>30.26</v>
      </c>
      <c r="F246" s="26" t="n">
        <v>84203478</v>
      </c>
      <c r="G246" s="27" t="n">
        <f aca="false">E246-E245</f>
        <v>-0.459999999999997</v>
      </c>
      <c r="H246" s="28" t="n">
        <f aca="false">G246/E245</f>
        <v>-0.0149739583333332</v>
      </c>
      <c r="I246" s="29" t="n">
        <f aca="false">MAX(G246,0)</f>
        <v>0</v>
      </c>
      <c r="J246" s="29" t="n">
        <f aca="false">MAX(-G246,0)</f>
        <v>0.459999999999997</v>
      </c>
      <c r="K246" s="29" t="n">
        <f aca="false">(K245*13+I246)/14</f>
        <v>0.228326198728224</v>
      </c>
      <c r="L246" s="29" t="n">
        <f aca="false">(L245*13+J246)/14</f>
        <v>0.14439392148686</v>
      </c>
      <c r="M246" s="31" t="n">
        <f aca="false">IF(L246=0,100,100-100/(1+K246/MAX(L246,0.000001)))</f>
        <v>61.2594239872173</v>
      </c>
      <c r="N246" s="30" t="n">
        <f aca="false">AVERAGE(E227:E246)</f>
        <v>28.226</v>
      </c>
      <c r="O246" s="30" t="n">
        <f aca="false">AVERAGE(E197:E246)</f>
        <v>29.9488</v>
      </c>
      <c r="P246" s="30" t="n">
        <f aca="false">AVERAGE(E47:E246)</f>
        <v>33.93485</v>
      </c>
      <c r="Q246" s="30" t="n">
        <f aca="false">Q245+(2/13)*(E246-Q245)</f>
        <v>29.2584069957337</v>
      </c>
      <c r="R246" s="30" t="n">
        <f aca="false">R245+(2/27)*(E246-R245)</f>
        <v>29.1488955451017</v>
      </c>
      <c r="S246" s="33" t="n">
        <f aca="false">Q246-R246</f>
        <v>0.109511450632056</v>
      </c>
      <c r="T246" s="33" t="n">
        <f aca="false">T245+(2/10)*(S246-T245)</f>
        <v>-0.364173561221661</v>
      </c>
      <c r="U246" s="33" t="n">
        <f aca="false">S246-T246</f>
        <v>0.473685011853717</v>
      </c>
      <c r="V246" s="32" t="str">
        <f aca="false">IF(M246="","",IF(M246&lt;Assumptions!$B$5,"BUY",IF(M246&gt;Assumptions!$B$4,"SELL","HOLD")))</f>
        <v>HOLD</v>
      </c>
      <c r="W246" s="32" t="str">
        <f aca="false">IF(O246="","",IF(E246&gt;O246,"BUY","SELL"))</f>
        <v>BUY</v>
      </c>
      <c r="X246" s="32" t="str">
        <f aca="false">IF(T246="","",IF(S246&gt;T246,"BUY","SELL"))</f>
        <v>BUY</v>
      </c>
      <c r="Y246" s="34" t="n">
        <f aca="false">IF(OR(V246="",W246="",X246=""),"",IFERROR(IF(V246="BUY",1,IF(V246="SELL",-1,0))+IF(W246="BUY",1,IF(W246="SELL",-1,0))+IF(X246="BUY",1,IF(X246="SELL",-1,0)),0))</f>
        <v>2</v>
      </c>
      <c r="Z246" s="32" t="str">
        <f aca="false">IF(Y246="","",IF(Y246&gt;=2,"STRONG BUY",IF(Y246=1,"BUY",IF(Y246=0,"HOLD",IF(Y246=-1,"SELL","STRONG SELL")))))</f>
        <v>STRONG BUY</v>
      </c>
    </row>
    <row r="247" customFormat="false" ht="15" hidden="false" customHeight="false" outlineLevel="0" collapsed="false">
      <c r="A247" s="24" t="n">
        <v>46113</v>
      </c>
      <c r="B247" s="25" t="n">
        <v>29.84</v>
      </c>
      <c r="C247" s="25" t="n">
        <v>29.99</v>
      </c>
      <c r="D247" s="25" t="n">
        <v>29.59</v>
      </c>
      <c r="E247" s="25" t="n">
        <v>29.79</v>
      </c>
      <c r="F247" s="26" t="n">
        <v>42139258</v>
      </c>
      <c r="G247" s="27" t="n">
        <f aca="false">E247-E246</f>
        <v>-0.470000000000002</v>
      </c>
      <c r="H247" s="28" t="n">
        <f aca="false">G247/E246</f>
        <v>-0.0155320555188368</v>
      </c>
      <c r="I247" s="29" t="n">
        <f aca="false">MAX(G247,0)</f>
        <v>0</v>
      </c>
      <c r="J247" s="29" t="n">
        <f aca="false">MAX(-G247,0)</f>
        <v>0.470000000000002</v>
      </c>
      <c r="K247" s="29" t="n">
        <f aca="false">(K246*13+I247)/14</f>
        <v>0.212017184533351</v>
      </c>
      <c r="L247" s="29" t="n">
        <f aca="false">(L246*13+J247)/14</f>
        <v>0.167651498523513</v>
      </c>
      <c r="M247" s="31" t="n">
        <f aca="false">IF(L247=0,100,100-100/(1+K247/MAX(L247,0.000001)))</f>
        <v>55.8426844232493</v>
      </c>
      <c r="N247" s="30" t="n">
        <f aca="false">AVERAGE(E228:E247)</f>
        <v>28.3015</v>
      </c>
      <c r="O247" s="30" t="n">
        <f aca="false">AVERAGE(E198:E247)</f>
        <v>29.9068</v>
      </c>
      <c r="P247" s="30" t="n">
        <f aca="false">AVERAGE(E48:E247)</f>
        <v>33.86565</v>
      </c>
      <c r="Q247" s="30" t="n">
        <f aca="false">Q246+(2/13)*(E247-Q246)</f>
        <v>29.3401905348516</v>
      </c>
      <c r="R247" s="30" t="n">
        <f aca="false">R246+(2/27)*(E247-R246)</f>
        <v>29.196384763983</v>
      </c>
      <c r="S247" s="33" t="n">
        <f aca="false">Q247-R247</f>
        <v>0.143805770868585</v>
      </c>
      <c r="T247" s="33" t="n">
        <f aca="false">T246+(2/10)*(S247-T246)</f>
        <v>-0.262577694803612</v>
      </c>
      <c r="U247" s="33" t="n">
        <f aca="false">S247-T247</f>
        <v>0.406383465672197</v>
      </c>
      <c r="V247" s="32" t="str">
        <f aca="false">IF(M247="","",IF(M247&lt;Assumptions!$B$5,"BUY",IF(M247&gt;Assumptions!$B$4,"SELL","HOLD")))</f>
        <v>HOLD</v>
      </c>
      <c r="W247" s="32" t="str">
        <f aca="false">IF(O247="","",IF(E247&gt;O247,"BUY","SELL"))</f>
        <v>SELL</v>
      </c>
      <c r="X247" s="32" t="str">
        <f aca="false">IF(T247="","",IF(S247&gt;T247,"BUY","SELL"))</f>
        <v>BUY</v>
      </c>
      <c r="Y247" s="34" t="n">
        <f aca="false">IF(OR(V247="",W247="",X247=""),"",IFERROR(IF(V247="BUY",1,IF(V247="SELL",-1,0))+IF(W247="BUY",1,IF(W247="SELL",-1,0))+IF(X247="BUY",1,IF(X247="SELL",-1,0)),0))</f>
        <v>0</v>
      </c>
      <c r="Z247" s="32" t="str">
        <f aca="false">IF(Y247="","",IF(Y247&gt;=2,"STRONG BUY",IF(Y247=1,"BUY",IF(Y247=0,"HOLD",IF(Y247=-1,"SELL","STRONG SELL")))))</f>
        <v>HOLD</v>
      </c>
    </row>
    <row r="248" customFormat="false" ht="15" hidden="false" customHeight="false" outlineLevel="0" collapsed="false">
      <c r="A248" s="24" t="n">
        <v>46114</v>
      </c>
      <c r="B248" s="25" t="n">
        <v>29.76</v>
      </c>
      <c r="C248" s="25" t="n">
        <v>30.09</v>
      </c>
      <c r="D248" s="25" t="n">
        <v>29.45</v>
      </c>
      <c r="E248" s="25" t="n">
        <v>29.77</v>
      </c>
      <c r="F248" s="26" t="n">
        <v>34766041</v>
      </c>
      <c r="G248" s="27" t="n">
        <f aca="false">E248-E247</f>
        <v>-0.0199999999999996</v>
      </c>
      <c r="H248" s="28" t="n">
        <f aca="false">G248/E247</f>
        <v>-0.000671366230278603</v>
      </c>
      <c r="I248" s="29" t="n">
        <f aca="false">MAX(G248,0)</f>
        <v>0</v>
      </c>
      <c r="J248" s="29" t="n">
        <f aca="false">MAX(-G248,0)</f>
        <v>0.0199999999999996</v>
      </c>
      <c r="K248" s="29" t="n">
        <f aca="false">(K247*13+I248)/14</f>
        <v>0.196873099923826</v>
      </c>
      <c r="L248" s="29" t="n">
        <f aca="false">(L247*13+J248)/14</f>
        <v>0.157104962914691</v>
      </c>
      <c r="M248" s="31" t="n">
        <f aca="false">IF(L248=0,100,100-100/(1+K248/MAX(L248,0.000001)))</f>
        <v>55.6173166057578</v>
      </c>
      <c r="N248" s="30" t="n">
        <f aca="false">AVERAGE(E229:E248)</f>
        <v>28.387</v>
      </c>
      <c r="O248" s="30" t="n">
        <f aca="false">AVERAGE(E199:E248)</f>
        <v>29.8698</v>
      </c>
      <c r="P248" s="30" t="n">
        <f aca="false">AVERAGE(E49:E248)</f>
        <v>33.80225</v>
      </c>
      <c r="Q248" s="30" t="n">
        <f aca="false">Q247+(2/13)*(E248-Q247)</f>
        <v>29.4063150679514</v>
      </c>
      <c r="R248" s="30" t="n">
        <f aca="false">R247+(2/27)*(E248-R247)</f>
        <v>29.2388747814658</v>
      </c>
      <c r="S248" s="33" t="n">
        <f aca="false">Q248-R248</f>
        <v>0.167440286485597</v>
      </c>
      <c r="T248" s="33" t="n">
        <f aca="false">T247+(2/10)*(S248-T247)</f>
        <v>-0.17657409854577</v>
      </c>
      <c r="U248" s="33" t="n">
        <f aca="false">S248-T248</f>
        <v>0.344014385031367</v>
      </c>
      <c r="V248" s="32" t="str">
        <f aca="false">IF(M248="","",IF(M248&lt;Assumptions!$B$5,"BUY",IF(M248&gt;Assumptions!$B$4,"SELL","HOLD")))</f>
        <v>HOLD</v>
      </c>
      <c r="W248" s="32" t="str">
        <f aca="false">IF(O248="","",IF(E248&gt;O248,"BUY","SELL"))</f>
        <v>SELL</v>
      </c>
      <c r="X248" s="32" t="str">
        <f aca="false">IF(T248="","",IF(S248&gt;T248,"BUY","SELL"))</f>
        <v>BUY</v>
      </c>
      <c r="Y248" s="34" t="n">
        <f aca="false">IF(OR(V248="",W248="",X248=""),"",IFERROR(IF(V248="BUY",1,IF(V248="SELL",-1,0))+IF(W248="BUY",1,IF(W248="SELL",-1,0))+IF(X248="BUY",1,IF(X248="SELL",-1,0)),0))</f>
        <v>0</v>
      </c>
      <c r="Z248" s="32" t="str">
        <f aca="false">IF(Y248="","",IF(Y248&gt;=2,"STRONG BUY",IF(Y248=1,"BUY",IF(Y248=0,"HOLD",IF(Y248=-1,"SELL","STRONG SELL")))))</f>
        <v>HOLD</v>
      </c>
    </row>
    <row r="249" customFormat="false" ht="15" hidden="false" customHeight="false" outlineLevel="0" collapsed="false">
      <c r="A249" s="24" t="n">
        <v>46115</v>
      </c>
      <c r="B249" s="25" t="n">
        <v>28.99</v>
      </c>
      <c r="C249" s="25" t="n">
        <v>29.3</v>
      </c>
      <c r="D249" s="25" t="n">
        <v>28.88</v>
      </c>
      <c r="E249" s="25" t="n">
        <v>29.09</v>
      </c>
      <c r="F249" s="26" t="n">
        <v>43628508</v>
      </c>
      <c r="G249" s="27" t="n">
        <f aca="false">E249-E248</f>
        <v>-0.68</v>
      </c>
      <c r="H249" s="28" t="n">
        <f aca="false">G249/E248</f>
        <v>-0.0228417870339268</v>
      </c>
      <c r="I249" s="29" t="n">
        <f aca="false">MAX(G249,0)</f>
        <v>0</v>
      </c>
      <c r="J249" s="29" t="n">
        <f aca="false">MAX(-G249,0)</f>
        <v>0.68</v>
      </c>
      <c r="K249" s="29" t="n">
        <f aca="false">(K248*13+I249)/14</f>
        <v>0.182810735643553</v>
      </c>
      <c r="L249" s="29" t="n">
        <f aca="false">(L248*13+J249)/14</f>
        <v>0.194454608420784</v>
      </c>
      <c r="M249" s="31" t="n">
        <f aca="false">IF(L249=0,100,100-100/(1+K249/MAX(L249,0.000001)))</f>
        <v>48.4568059377267</v>
      </c>
      <c r="N249" s="30" t="n">
        <f aca="false">AVERAGE(E230:E249)</f>
        <v>28.466</v>
      </c>
      <c r="O249" s="30" t="n">
        <f aca="false">AVERAGE(E200:E249)</f>
        <v>29.8282</v>
      </c>
      <c r="P249" s="30" t="n">
        <f aca="false">AVERAGE(E50:E249)</f>
        <v>33.73865</v>
      </c>
      <c r="Q249" s="30" t="n">
        <f aca="false">Q248+(2/13)*(E249-Q248)</f>
        <v>29.3576512113435</v>
      </c>
      <c r="R249" s="30" t="n">
        <f aca="false">R248+(2/27)*(E249-R248)</f>
        <v>29.2278470198757</v>
      </c>
      <c r="S249" s="33" t="n">
        <f aca="false">Q249-R249</f>
        <v>0.129804191467752</v>
      </c>
      <c r="T249" s="33" t="n">
        <f aca="false">T248+(2/10)*(S249-T248)</f>
        <v>-0.115298440543066</v>
      </c>
      <c r="U249" s="33" t="n">
        <f aca="false">S249-T249</f>
        <v>0.245102632010817</v>
      </c>
      <c r="V249" s="32" t="str">
        <f aca="false">IF(M249="","",IF(M249&lt;Assumptions!$B$5,"BUY",IF(M249&gt;Assumptions!$B$4,"SELL","HOLD")))</f>
        <v>HOLD</v>
      </c>
      <c r="W249" s="32" t="str">
        <f aca="false">IF(O249="","",IF(E249&gt;O249,"BUY","SELL"))</f>
        <v>SELL</v>
      </c>
      <c r="X249" s="32" t="str">
        <f aca="false">IF(T249="","",IF(S249&gt;T249,"BUY","SELL"))</f>
        <v>BUY</v>
      </c>
      <c r="Y249" s="34" t="n">
        <f aca="false">IF(OR(V249="",W249="",X249=""),"",IFERROR(IF(V249="BUY",1,IF(V249="SELL",-1,0))+IF(W249="BUY",1,IF(W249="SELL",-1,0))+IF(X249="BUY",1,IF(X249="SELL",-1,0)),0))</f>
        <v>0</v>
      </c>
      <c r="Z249" s="32" t="str">
        <f aca="false">IF(Y249="","",IF(Y249&gt;=2,"STRONG BUY",IF(Y249=1,"BUY",IF(Y249=0,"HOLD",IF(Y249=-1,"SELL","STRONG SELL")))))</f>
        <v>HOLD</v>
      </c>
    </row>
    <row r="250" customFormat="false" ht="15" hidden="false" customHeight="false" outlineLevel="0" collapsed="false">
      <c r="A250" s="24" t="n">
        <v>46118</v>
      </c>
      <c r="B250" s="25" t="n">
        <v>28.96</v>
      </c>
      <c r="C250" s="25" t="n">
        <v>28.98</v>
      </c>
      <c r="D250" s="25" t="n">
        <v>28.72</v>
      </c>
      <c r="E250" s="25" t="n">
        <v>28.85</v>
      </c>
      <c r="F250" s="26" t="n">
        <v>70143721</v>
      </c>
      <c r="G250" s="27" t="n">
        <f aca="false">E250-E249</f>
        <v>-0.239999999999998</v>
      </c>
      <c r="H250" s="28" t="n">
        <f aca="false">G250/E249</f>
        <v>-0.00825025782055684</v>
      </c>
      <c r="I250" s="29" t="n">
        <f aca="false">MAX(G250,0)</f>
        <v>0</v>
      </c>
      <c r="J250" s="29" t="n">
        <f aca="false">MAX(-G250,0)</f>
        <v>0.239999999999998</v>
      </c>
      <c r="K250" s="29" t="n">
        <f aca="false">(K249*13+I250)/14</f>
        <v>0.169752825954728</v>
      </c>
      <c r="L250" s="29" t="n">
        <f aca="false">(L249*13+J250)/14</f>
        <v>0.197707850676442</v>
      </c>
      <c r="M250" s="31" t="n">
        <f aca="false">IF(L250=0,100,100-100/(1+K250/MAX(L250,0.000001)))</f>
        <v>46.1961882591081</v>
      </c>
      <c r="N250" s="30" t="n">
        <f aca="false">AVERAGE(E231:E250)</f>
        <v>28.5595</v>
      </c>
      <c r="O250" s="30" t="n">
        <f aca="false">AVERAGE(E201:E250)</f>
        <v>29.7874</v>
      </c>
      <c r="P250" s="30" t="n">
        <f aca="false">AVERAGE(E51:E250)</f>
        <v>33.67425</v>
      </c>
      <c r="Q250" s="30" t="n">
        <f aca="false">Q249+(2/13)*(E250-Q249)</f>
        <v>29.2795510249829</v>
      </c>
      <c r="R250" s="30" t="n">
        <f aca="false">R249+(2/27)*(E250-R249)</f>
        <v>29.1998583517368</v>
      </c>
      <c r="S250" s="33" t="n">
        <f aca="false">Q250-R250</f>
        <v>0.0796926732461607</v>
      </c>
      <c r="T250" s="33" t="n">
        <f aca="false">T249+(2/10)*(S250-T249)</f>
        <v>-0.0763002177852203</v>
      </c>
      <c r="U250" s="33" t="n">
        <f aca="false">S250-T250</f>
        <v>0.155992891031381</v>
      </c>
      <c r="V250" s="32" t="str">
        <f aca="false">IF(M250="","",IF(M250&lt;Assumptions!$B$5,"BUY",IF(M250&gt;Assumptions!$B$4,"SELL","HOLD")))</f>
        <v>HOLD</v>
      </c>
      <c r="W250" s="32" t="str">
        <f aca="false">IF(O250="","",IF(E250&gt;O250,"BUY","SELL"))</f>
        <v>SELL</v>
      </c>
      <c r="X250" s="32" t="str">
        <f aca="false">IF(T250="","",IF(S250&gt;T250,"BUY","SELL"))</f>
        <v>BUY</v>
      </c>
      <c r="Y250" s="34" t="n">
        <f aca="false">IF(OR(V250="",W250="",X250=""),"",IFERROR(IF(V250="BUY",1,IF(V250="SELL",-1,0))+IF(W250="BUY",1,IF(W250="SELL",-1,0))+IF(X250="BUY",1,IF(X250="SELL",-1,0)),0))</f>
        <v>0</v>
      </c>
      <c r="Z250" s="32" t="str">
        <f aca="false">IF(Y250="","",IF(Y250&gt;=2,"STRONG BUY",IF(Y250=1,"BUY",IF(Y250=0,"HOLD",IF(Y250=-1,"SELL","STRONG SELL")))))</f>
        <v>HOLD</v>
      </c>
    </row>
    <row r="251" customFormat="false" ht="15" hidden="false" customHeight="false" outlineLevel="0" collapsed="false">
      <c r="A251" s="24" t="n">
        <v>46119</v>
      </c>
      <c r="B251" s="25" t="n">
        <v>29.24</v>
      </c>
      <c r="C251" s="25" t="n">
        <v>29.24</v>
      </c>
      <c r="D251" s="25" t="n">
        <v>29.18</v>
      </c>
      <c r="E251" s="25" t="n">
        <v>29.21</v>
      </c>
      <c r="F251" s="26" t="n">
        <v>89538022</v>
      </c>
      <c r="G251" s="27" t="n">
        <f aca="false">E251-E250</f>
        <v>0.359999999999999</v>
      </c>
      <c r="H251" s="28" t="n">
        <f aca="false">G251/E250</f>
        <v>0.0124783362218371</v>
      </c>
      <c r="I251" s="29" t="n">
        <f aca="false">MAX(G251,0)</f>
        <v>0.359999999999999</v>
      </c>
      <c r="J251" s="29" t="n">
        <f aca="false">MAX(-G251,0)</f>
        <v>0</v>
      </c>
      <c r="K251" s="29" t="n">
        <f aca="false">(K250*13+I251)/14</f>
        <v>0.183341909815104</v>
      </c>
      <c r="L251" s="29" t="n">
        <f aca="false">(L250*13+J251)/14</f>
        <v>0.183585861342411</v>
      </c>
      <c r="M251" s="31" t="n">
        <f aca="false">IF(L251=0,100,100-100/(1+K251/MAX(L251,0.000001)))</f>
        <v>49.9667575546903</v>
      </c>
      <c r="N251" s="30" t="n">
        <f aca="false">AVERAGE(E232:E251)</f>
        <v>28.6785</v>
      </c>
      <c r="O251" s="30" t="n">
        <f aca="false">AVERAGE(E202:E251)</f>
        <v>29.7596</v>
      </c>
      <c r="P251" s="30" t="n">
        <f aca="false">AVERAGE(E52:E251)</f>
        <v>33.6106</v>
      </c>
      <c r="Q251" s="30" t="n">
        <f aca="false">Q250+(2/13)*(E251-Q250)</f>
        <v>29.2688508672933</v>
      </c>
      <c r="R251" s="30" t="n">
        <f aca="false">R250+(2/27)*(E251-R250)</f>
        <v>29.2006095849415</v>
      </c>
      <c r="S251" s="33" t="n">
        <f aca="false">Q251-R251</f>
        <v>0.0682412823517922</v>
      </c>
      <c r="T251" s="33" t="n">
        <f aca="false">T250+(2/10)*(S251-T250)</f>
        <v>-0.0473919177578178</v>
      </c>
      <c r="U251" s="33" t="n">
        <f aca="false">S251-T251</f>
        <v>0.11563320010961</v>
      </c>
      <c r="V251" s="32" t="str">
        <f aca="false">IF(M251="","",IF(M251&lt;Assumptions!$B$5,"BUY",IF(M251&gt;Assumptions!$B$4,"SELL","HOLD")))</f>
        <v>HOLD</v>
      </c>
      <c r="W251" s="32" t="str">
        <f aca="false">IF(O251="","",IF(E251&gt;O251,"BUY","SELL"))</f>
        <v>SELL</v>
      </c>
      <c r="X251" s="32" t="str">
        <f aca="false">IF(T251="","",IF(S251&gt;T251,"BUY","SELL"))</f>
        <v>BUY</v>
      </c>
      <c r="Y251" s="34" t="n">
        <f aca="false">IF(OR(V251="",W251="",X251=""),"",IFERROR(IF(V251="BUY",1,IF(V251="SELL",-1,0))+IF(W251="BUY",1,IF(W251="SELL",-1,0))+IF(X251="BUY",1,IF(X251="SELL",-1,0)),0))</f>
        <v>0</v>
      </c>
      <c r="Z251" s="32" t="str">
        <f aca="false">IF(Y251="","",IF(Y251&gt;=2,"STRONG BUY",IF(Y251=1,"BUY",IF(Y251=0,"HOLD",IF(Y251=-1,"SELL","STRONG SELL")))))</f>
        <v>HOLD</v>
      </c>
    </row>
    <row r="252" customFormat="false" ht="15" hidden="false" customHeight="false" outlineLevel="0" collapsed="false">
      <c r="A252" s="24" t="n">
        <v>46120</v>
      </c>
      <c r="B252" s="25" t="n">
        <v>29.1</v>
      </c>
      <c r="C252" s="25" t="n">
        <v>29.1</v>
      </c>
      <c r="D252" s="25" t="n">
        <v>28.78</v>
      </c>
      <c r="E252" s="25" t="n">
        <v>28.94</v>
      </c>
      <c r="F252" s="26" t="n">
        <v>23563825</v>
      </c>
      <c r="G252" s="27" t="n">
        <f aca="false">E252-E251</f>
        <v>-0.27</v>
      </c>
      <c r="H252" s="28" t="n">
        <f aca="false">G252/E251</f>
        <v>-0.00924340979116739</v>
      </c>
      <c r="I252" s="29" t="n">
        <f aca="false">MAX(G252,0)</f>
        <v>0</v>
      </c>
      <c r="J252" s="29" t="n">
        <f aca="false">MAX(-G252,0)</f>
        <v>0.27</v>
      </c>
      <c r="K252" s="29" t="n">
        <f aca="false">(K251*13+I252)/14</f>
        <v>0.170246059114025</v>
      </c>
      <c r="L252" s="29" t="n">
        <f aca="false">(L251*13+J252)/14</f>
        <v>0.189758299817953</v>
      </c>
      <c r="M252" s="31" t="n">
        <f aca="false">IF(L252=0,100,100-100/(1+K252/MAX(L252,0.000001)))</f>
        <v>47.2899993819777</v>
      </c>
      <c r="N252" s="30" t="n">
        <f aca="false">AVERAGE(E233:E252)</f>
        <v>28.7915</v>
      </c>
      <c r="O252" s="30" t="n">
        <f aca="false">AVERAGE(E203:E252)</f>
        <v>29.7218</v>
      </c>
      <c r="P252" s="30" t="n">
        <f aca="false">AVERAGE(E53:E252)</f>
        <v>33.5458</v>
      </c>
      <c r="Q252" s="30" t="n">
        <f aca="false">Q251+(2/13)*(E252-Q251)</f>
        <v>29.2182584261712</v>
      </c>
      <c r="R252" s="30" t="n">
        <f aca="false">R251+(2/27)*(E252-R251)</f>
        <v>29.1813051712421</v>
      </c>
      <c r="S252" s="33" t="n">
        <f aca="false">Q252-R252</f>
        <v>0.0369532549291201</v>
      </c>
      <c r="T252" s="33" t="n">
        <f aca="false">T251+(2/10)*(S252-T251)</f>
        <v>-0.0305228832204302</v>
      </c>
      <c r="U252" s="33" t="n">
        <f aca="false">S252-T252</f>
        <v>0.0674761381495503</v>
      </c>
      <c r="V252" s="32" t="str">
        <f aca="false">IF(M252="","",IF(M252&lt;Assumptions!$B$5,"BUY",IF(M252&gt;Assumptions!$B$4,"SELL","HOLD")))</f>
        <v>HOLD</v>
      </c>
      <c r="W252" s="32" t="str">
        <f aca="false">IF(O252="","",IF(E252&gt;O252,"BUY","SELL"))</f>
        <v>SELL</v>
      </c>
      <c r="X252" s="32" t="str">
        <f aca="false">IF(T252="","",IF(S252&gt;T252,"BUY","SELL"))</f>
        <v>BUY</v>
      </c>
      <c r="Y252" s="34" t="n">
        <f aca="false">IF(OR(V252="",W252="",X252=""),"",IFERROR(IF(V252="BUY",1,IF(V252="SELL",-1,0))+IF(W252="BUY",1,IF(W252="SELL",-1,0))+IF(X252="BUY",1,IF(X252="SELL",-1,0)),0))</f>
        <v>0</v>
      </c>
      <c r="Z252" s="32" t="str">
        <f aca="false">IF(Y252="","",IF(Y252&gt;=2,"STRONG BUY",IF(Y252=1,"BUY",IF(Y252=0,"HOLD",IF(Y252=-1,"SELL","STRONG SELL")))))</f>
        <v>HOLD</v>
      </c>
    </row>
    <row r="253" customFormat="false" ht="15" hidden="false" customHeight="false" outlineLevel="0" collapsed="false">
      <c r="A253" s="24" t="n">
        <v>46121</v>
      </c>
      <c r="B253" s="25" t="n">
        <v>29.07</v>
      </c>
      <c r="C253" s="25" t="n">
        <v>29.29</v>
      </c>
      <c r="D253" s="25" t="n">
        <v>29.03</v>
      </c>
      <c r="E253" s="25" t="n">
        <v>29.16</v>
      </c>
      <c r="F253" s="26" t="n">
        <v>3151900</v>
      </c>
      <c r="G253" s="27" t="n">
        <f aca="false">E253-E252</f>
        <v>0.219999999999999</v>
      </c>
      <c r="H253" s="28" t="n">
        <f aca="false">G253/E252</f>
        <v>0.00760193503800964</v>
      </c>
      <c r="I253" s="29" t="n">
        <f aca="false">MAX(G253,0)</f>
        <v>0.219999999999999</v>
      </c>
      <c r="J253" s="29" t="n">
        <f aca="false">MAX(-G253,0)</f>
        <v>0</v>
      </c>
      <c r="K253" s="29" t="n">
        <f aca="false">(K252*13+I253)/14</f>
        <v>0.173799912034452</v>
      </c>
      <c r="L253" s="29" t="n">
        <f aca="false">(L252*13+J253)/14</f>
        <v>0.176204135545242</v>
      </c>
      <c r="M253" s="31" t="n">
        <f aca="false">IF(L253=0,100,100-100/(1+K253/MAX(L253,0.000001)))</f>
        <v>49.6565434703662</v>
      </c>
      <c r="N253" s="30" t="n">
        <f aca="false">AVERAGE(E234:E253)</f>
        <v>28.897</v>
      </c>
      <c r="O253" s="30" t="n">
        <f aca="false">AVERAGE(E204:E253)</f>
        <v>29.6924</v>
      </c>
      <c r="P253" s="30" t="n">
        <f aca="false">AVERAGE(E54:E253)</f>
        <v>33.485</v>
      </c>
      <c r="Q253" s="30" t="n">
        <f aca="false">Q252+(2/13)*(E253-Q252)</f>
        <v>29.2092955913756</v>
      </c>
      <c r="R253" s="30" t="n">
        <f aca="false">R252+(2/27)*(E253-R252)</f>
        <v>29.1797270104093</v>
      </c>
      <c r="S253" s="33" t="n">
        <f aca="false">Q253-R253</f>
        <v>0.0295685809662949</v>
      </c>
      <c r="T253" s="33" t="n">
        <f aca="false">T252+(2/10)*(S253-T252)</f>
        <v>-0.0185045903830852</v>
      </c>
      <c r="U253" s="33" t="n">
        <f aca="false">S253-T253</f>
        <v>0.0480731713493801</v>
      </c>
      <c r="V253" s="32" t="str">
        <f aca="false">IF(M253="","",IF(M253&lt;Assumptions!$B$5,"BUY",IF(M253&gt;Assumptions!$B$4,"SELL","HOLD")))</f>
        <v>HOLD</v>
      </c>
      <c r="W253" s="32" t="str">
        <f aca="false">IF(O253="","",IF(E253&gt;O253,"BUY","SELL"))</f>
        <v>SELL</v>
      </c>
      <c r="X253" s="32" t="str">
        <f aca="false">IF(T253="","",IF(S253&gt;T253,"BUY","SELL"))</f>
        <v>BUY</v>
      </c>
      <c r="Y253" s="34" t="n">
        <f aca="false">IF(OR(V253="",W253="",X253=""),"",IFERROR(IF(V253="BUY",1,IF(V253="SELL",-1,0))+IF(W253="BUY",1,IF(W253="SELL",-1,0))+IF(X253="BUY",1,IF(X253="SELL",-1,0)),0))</f>
        <v>0</v>
      </c>
      <c r="Z253" s="32" t="str">
        <f aca="false">IF(Y253="","",IF(Y253&gt;=2,"STRONG BUY",IF(Y253=1,"BUY",IF(Y253=0,"HOLD",IF(Y253=-1,"SELL","STRONG SELL")))))</f>
        <v>HOLD</v>
      </c>
    </row>
    <row r="254" customFormat="false" ht="15" hidden="false" customHeight="false" outlineLevel="0" collapsed="false">
      <c r="A254" s="24" t="n">
        <v>46122</v>
      </c>
      <c r="B254" s="25" t="n">
        <v>28.63</v>
      </c>
      <c r="C254" s="25" t="n">
        <v>28.63</v>
      </c>
      <c r="D254" s="25" t="n">
        <v>28.61</v>
      </c>
      <c r="E254" s="25" t="n">
        <v>28.62</v>
      </c>
      <c r="F254" s="26" t="n">
        <v>40631954</v>
      </c>
      <c r="G254" s="27" t="n">
        <f aca="false">E254-E253</f>
        <v>-0.539999999999999</v>
      </c>
      <c r="H254" s="28" t="n">
        <f aca="false">G254/E253</f>
        <v>-0.0185185185185185</v>
      </c>
      <c r="I254" s="29" t="n">
        <f aca="false">MAX(G254,0)</f>
        <v>0</v>
      </c>
      <c r="J254" s="29" t="n">
        <f aca="false">MAX(-G254,0)</f>
        <v>0.539999999999999</v>
      </c>
      <c r="K254" s="29" t="n">
        <f aca="false">(K253*13+I254)/14</f>
        <v>0.16138563260342</v>
      </c>
      <c r="L254" s="29" t="n">
        <f aca="false">(L253*13+J254)/14</f>
        <v>0.202189554434867</v>
      </c>
      <c r="M254" s="31" t="n">
        <f aca="false">IF(L254=0,100,100-100/(1+K254/MAX(L254,0.000001)))</f>
        <v>44.3885166966646</v>
      </c>
      <c r="N254" s="30" t="n">
        <f aca="false">AVERAGE(E235:E254)</f>
        <v>28.967</v>
      </c>
      <c r="O254" s="30" t="n">
        <f aca="false">AVERAGE(E205:E254)</f>
        <v>29.6456</v>
      </c>
      <c r="P254" s="30" t="n">
        <f aca="false">AVERAGE(E55:E254)</f>
        <v>33.4211</v>
      </c>
      <c r="Q254" s="30" t="n">
        <f aca="false">Q253+(2/13)*(E254-Q253)</f>
        <v>29.118634731164</v>
      </c>
      <c r="R254" s="30" t="n">
        <f aca="false">R253+(2/27)*(E254-R253)</f>
        <v>29.138265750379</v>
      </c>
      <c r="S254" s="33" t="n">
        <f aca="false">Q254-R254</f>
        <v>-0.0196310192150193</v>
      </c>
      <c r="T254" s="33" t="n">
        <f aca="false">T253+(2/10)*(S254-T253)</f>
        <v>-0.018729876149472</v>
      </c>
      <c r="U254" s="33" t="n">
        <f aca="false">S254-T254</f>
        <v>-0.00090114306554729</v>
      </c>
      <c r="V254" s="32" t="str">
        <f aca="false">IF(M254="","",IF(M254&lt;Assumptions!$B$5,"BUY",IF(M254&gt;Assumptions!$B$4,"SELL","HOLD")))</f>
        <v>HOLD</v>
      </c>
      <c r="W254" s="32" t="str">
        <f aca="false">IF(O254="","",IF(E254&gt;O254,"BUY","SELL"))</f>
        <v>SELL</v>
      </c>
      <c r="X254" s="32" t="str">
        <f aca="false">IF(T254="","",IF(S254&gt;T254,"BUY","SELL"))</f>
        <v>SELL</v>
      </c>
      <c r="Y254" s="34" t="n">
        <f aca="false">IF(OR(V254="",W254="",X254=""),"",IFERROR(IF(V254="BUY",1,IF(V254="SELL",-1,0))+IF(W254="BUY",1,IF(W254="SELL",-1,0))+IF(X254="BUY",1,IF(X254="SELL",-1,0)),0))</f>
        <v>-2</v>
      </c>
      <c r="Z254" s="32" t="str">
        <f aca="false">IF(Y254="","",IF(Y254&gt;=2,"STRONG BUY",IF(Y254=1,"BUY",IF(Y254=0,"HOLD",IF(Y254=-1,"SELL","STRONG SELL")))))</f>
        <v>STRONG SELL</v>
      </c>
    </row>
  </sheetData>
  <mergeCells count="1">
    <mergeCell ref="A1:Z1"/>
  </mergeCells>
  <conditionalFormatting sqref="V3:V254">
    <cfRule type="cellIs" priority="2" operator="equal" aboveAverage="0" equalAverage="0" bottom="0" percent="0" rank="0" text="" dxfId="5">
      <formula>"BUY"</formula>
    </cfRule>
    <cfRule type="cellIs" priority="3" operator="equal" aboveAverage="0" equalAverage="0" bottom="0" percent="0" rank="0" text="" dxfId="6">
      <formula>"SELL"</formula>
    </cfRule>
    <cfRule type="cellIs" priority="4" operator="equal" aboveAverage="0" equalAverage="0" bottom="0" percent="0" rank="0" text="" dxfId="7">
      <formula>"HOLD"</formula>
    </cfRule>
  </conditionalFormatting>
  <conditionalFormatting sqref="W3:W254">
    <cfRule type="cellIs" priority="5" operator="equal" aboveAverage="0" equalAverage="0" bottom="0" percent="0" rank="0" text="" dxfId="5">
      <formula>"BUY"</formula>
    </cfRule>
    <cfRule type="cellIs" priority="6" operator="equal" aboveAverage="0" equalAverage="0" bottom="0" percent="0" rank="0" text="" dxfId="6">
      <formula>"SELL"</formula>
    </cfRule>
    <cfRule type="cellIs" priority="7" operator="equal" aboveAverage="0" equalAverage="0" bottom="0" percent="0" rank="0" text="" dxfId="7">
      <formula>"HOLD"</formula>
    </cfRule>
  </conditionalFormatting>
  <conditionalFormatting sqref="X3:X254">
    <cfRule type="cellIs" priority="8" operator="equal" aboveAverage="0" equalAverage="0" bottom="0" percent="0" rank="0" text="" dxfId="5">
      <formula>"BUY"</formula>
    </cfRule>
    <cfRule type="cellIs" priority="9" operator="equal" aboveAverage="0" equalAverage="0" bottom="0" percent="0" rank="0" text="" dxfId="6">
      <formula>"SELL"</formula>
    </cfRule>
    <cfRule type="cellIs" priority="10" operator="equal" aboveAverage="0" equalAverage="0" bottom="0" percent="0" rank="0" text="" dxfId="7">
      <formula>"HOLD"</formula>
    </cfRule>
  </conditionalFormatting>
  <conditionalFormatting sqref="Z3:Z254">
    <cfRule type="cellIs" priority="11" operator="equal" aboveAverage="0" equalAverage="0" bottom="0" percent="0" rank="0" text="" dxfId="8">
      <formula>"STRONG BUY"</formula>
    </cfRule>
    <cfRule type="cellIs" priority="12" operator="equal" aboveAverage="0" equalAverage="0" bottom="0" percent="0" rank="0" text="" dxfId="5">
      <formula>"BUY"</formula>
    </cfRule>
    <cfRule type="cellIs" priority="13" operator="equal" aboveAverage="0" equalAverage="0" bottom="0" percent="0" rank="0" text="" dxfId="7">
      <formula>"HOLD"</formula>
    </cfRule>
    <cfRule type="cellIs" priority="14" operator="equal" aboveAverage="0" equalAverage="0" bottom="0" percent="0" rank="0" text="" dxfId="6">
      <formula>"SELL"</formula>
    </cfRule>
    <cfRule type="cellIs" priority="15" operator="equal" aboveAverage="0" equalAverage="0" bottom="0" percent="0" rank="0" text="" dxfId="9">
      <formula>"STRONG SELL"</formula>
    </cfRule>
  </conditionalFormatting>
  <conditionalFormatting sqref="M3:M254">
    <cfRule type="cellIs" priority="16" operator="greaterThan" aboveAverage="0" equalAverage="0" bottom="0" percent="0" rank="0" text="" dxfId="10">
      <formula>70</formula>
    </cfRule>
    <cfRule type="cellIs" priority="17" operator="lessThan" aboveAverage="0" equalAverage="0" bottom="0" percent="0" rank="0" text="" dxfId="11">
      <formula>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4" min="2" style="0" width="10"/>
    <col collapsed="false" customWidth="true" hidden="false" outlineLevel="0" max="5" min="5" style="0" width="12"/>
    <col collapsed="false" customWidth="true" hidden="false" outlineLevel="0" max="6" min="6" style="0" width="14"/>
    <col collapsed="false" customWidth="true" hidden="false" outlineLevel="0" max="8" min="7" style="0" width="10"/>
    <col collapsed="false" customWidth="true" hidden="true" outlineLevel="0" max="10" min="9" style="0" width="8"/>
    <col collapsed="false" customWidth="true" hidden="true" outlineLevel="0" max="12" min="11" style="0" width="10"/>
    <col collapsed="false" customWidth="true" hidden="false" outlineLevel="0" max="18" min="13" style="0" width="10"/>
    <col collapsed="false" customWidth="true" hidden="false" outlineLevel="0" max="23" min="19" style="0" width="11"/>
    <col collapsed="false" customWidth="true" hidden="false" outlineLevel="0" max="24" min="24" style="0" width="12"/>
    <col collapsed="false" customWidth="true" hidden="false" outlineLevel="0" max="25" min="25" style="0" width="8"/>
    <col collapsed="false" customWidth="true" hidden="false" outlineLevel="0" max="26" min="26" style="0" width="13"/>
  </cols>
  <sheetData>
    <row r="1" customFormat="false" ht="30" hidden="false" customHeight="true" outlineLevel="0" collapsed="false">
      <c r="A1" s="17" t="s">
        <v>90</v>
      </c>
      <c r="B1" s="17"/>
      <c r="C1" s="17"/>
      <c r="D1" s="17"/>
      <c r="E1" s="17"/>
      <c r="F1" s="17"/>
      <c r="G1" s="17"/>
      <c r="H1" s="17"/>
      <c r="I1" s="17"/>
      <c r="J1" s="17"/>
      <c r="K1" s="17"/>
      <c r="L1" s="17"/>
      <c r="M1" s="17"/>
      <c r="N1" s="17"/>
      <c r="O1" s="17"/>
      <c r="P1" s="17"/>
      <c r="Q1" s="17"/>
      <c r="R1" s="17"/>
      <c r="S1" s="17"/>
      <c r="T1" s="17"/>
      <c r="U1" s="17"/>
      <c r="V1" s="17"/>
      <c r="W1" s="17"/>
      <c r="X1" s="17"/>
      <c r="Y1" s="17"/>
      <c r="Z1" s="17"/>
    </row>
    <row r="2" customFormat="false" ht="36" hidden="false" customHeight="true" outlineLevel="0" collapsed="false">
      <c r="A2" s="18" t="s">
        <v>27</v>
      </c>
      <c r="B2" s="18" t="s">
        <v>28</v>
      </c>
      <c r="C2" s="18" t="s">
        <v>29</v>
      </c>
      <c r="D2" s="18" t="s">
        <v>30</v>
      </c>
      <c r="E2" s="18" t="s">
        <v>89</v>
      </c>
      <c r="F2" s="18" t="s">
        <v>32</v>
      </c>
      <c r="G2" s="19" t="s">
        <v>33</v>
      </c>
      <c r="H2" s="19" t="s">
        <v>34</v>
      </c>
      <c r="I2" s="20" t="s">
        <v>35</v>
      </c>
      <c r="J2" s="20" t="s">
        <v>36</v>
      </c>
      <c r="K2" s="20" t="s">
        <v>37</v>
      </c>
      <c r="L2" s="20" t="s">
        <v>38</v>
      </c>
      <c r="M2" s="21" t="s">
        <v>5</v>
      </c>
      <c r="N2" s="21" t="s">
        <v>6</v>
      </c>
      <c r="O2" s="21" t="s">
        <v>7</v>
      </c>
      <c r="P2" s="21" t="s">
        <v>8</v>
      </c>
      <c r="Q2" s="21" t="s">
        <v>39</v>
      </c>
      <c r="R2" s="21" t="s">
        <v>40</v>
      </c>
      <c r="S2" s="21" t="s">
        <v>41</v>
      </c>
      <c r="T2" s="21" t="s">
        <v>42</v>
      </c>
      <c r="U2" s="21" t="s">
        <v>43</v>
      </c>
      <c r="V2" s="22" t="s">
        <v>9</v>
      </c>
      <c r="W2" s="22" t="s">
        <v>10</v>
      </c>
      <c r="X2" s="22" t="s">
        <v>11</v>
      </c>
      <c r="Y2" s="22" t="s">
        <v>12</v>
      </c>
      <c r="Z2" s="23" t="s">
        <v>44</v>
      </c>
    </row>
    <row r="3" customFormat="false" ht="15" hidden="false" customHeight="false" outlineLevel="0" collapsed="false">
      <c r="A3" s="24" t="n">
        <v>45771</v>
      </c>
      <c r="B3" s="25" t="n">
        <v>148.47</v>
      </c>
      <c r="C3" s="25" t="n">
        <v>148.7</v>
      </c>
      <c r="D3" s="25" t="n">
        <v>147.3</v>
      </c>
      <c r="E3" s="25" t="n">
        <v>148</v>
      </c>
      <c r="F3" s="26" t="n">
        <v>4373172</v>
      </c>
    </row>
    <row r="4" customFormat="false" ht="15" hidden="false" customHeight="false" outlineLevel="0" collapsed="false">
      <c r="A4" s="24" t="n">
        <v>45772</v>
      </c>
      <c r="B4" s="25" t="n">
        <v>148.34</v>
      </c>
      <c r="C4" s="25" t="n">
        <v>148.87</v>
      </c>
      <c r="D4" s="25" t="n">
        <v>147.91</v>
      </c>
      <c r="E4" s="25" t="n">
        <v>148.39</v>
      </c>
      <c r="F4" s="26" t="n">
        <v>7623155</v>
      </c>
      <c r="G4" s="27" t="n">
        <f aca="false">E4-E3</f>
        <v>0.389999999999986</v>
      </c>
      <c r="H4" s="28" t="n">
        <f aca="false">G4/E3</f>
        <v>0.00263513513513504</v>
      </c>
      <c r="I4" s="29" t="n">
        <f aca="false">MAX(G4,0)</f>
        <v>0.389999999999986</v>
      </c>
      <c r="J4" s="29" t="n">
        <f aca="false">MAX(-G4,0)</f>
        <v>0</v>
      </c>
    </row>
    <row r="5" customFormat="false" ht="15" hidden="false" customHeight="false" outlineLevel="0" collapsed="false">
      <c r="A5" s="24" t="n">
        <v>45775</v>
      </c>
      <c r="B5" s="25" t="n">
        <v>146.93</v>
      </c>
      <c r="C5" s="25" t="n">
        <v>148.7</v>
      </c>
      <c r="D5" s="25" t="n">
        <v>144.84</v>
      </c>
      <c r="E5" s="25" t="n">
        <v>146.77</v>
      </c>
      <c r="F5" s="26" t="n">
        <v>15475143</v>
      </c>
      <c r="G5" s="27" t="n">
        <f aca="false">E5-E4</f>
        <v>-1.61999999999998</v>
      </c>
      <c r="H5" s="28" t="n">
        <f aca="false">G5/E4</f>
        <v>-0.0109171777073925</v>
      </c>
      <c r="I5" s="29" t="n">
        <f aca="false">MAX(G5,0)</f>
        <v>0</v>
      </c>
      <c r="J5" s="29" t="n">
        <f aca="false">MAX(-G5,0)</f>
        <v>1.61999999999998</v>
      </c>
    </row>
    <row r="6" customFormat="false" ht="15" hidden="false" customHeight="false" outlineLevel="0" collapsed="false">
      <c r="A6" s="24" t="n">
        <v>45776</v>
      </c>
      <c r="B6" s="25" t="n">
        <v>145.51</v>
      </c>
      <c r="C6" s="25" t="n">
        <v>148.1</v>
      </c>
      <c r="D6" s="25" t="n">
        <v>143.6</v>
      </c>
      <c r="E6" s="25" t="n">
        <v>145.85</v>
      </c>
      <c r="F6" s="26" t="n">
        <v>10333481</v>
      </c>
      <c r="G6" s="27" t="n">
        <f aca="false">E6-E5</f>
        <v>-0.920000000000016</v>
      </c>
      <c r="H6" s="28" t="n">
        <f aca="false">G6/E5</f>
        <v>-0.00626831096273091</v>
      </c>
      <c r="I6" s="29" t="n">
        <f aca="false">MAX(G6,0)</f>
        <v>0</v>
      </c>
      <c r="J6" s="29" t="n">
        <f aca="false">MAX(-G6,0)</f>
        <v>0.920000000000016</v>
      </c>
    </row>
    <row r="7" customFormat="false" ht="15" hidden="false" customHeight="false" outlineLevel="0" collapsed="false">
      <c r="A7" s="24" t="n">
        <v>45777</v>
      </c>
      <c r="B7" s="25" t="n">
        <v>145.65</v>
      </c>
      <c r="C7" s="25" t="n">
        <v>147.72</v>
      </c>
      <c r="D7" s="25" t="n">
        <v>145.1</v>
      </c>
      <c r="E7" s="25" t="n">
        <v>146.41</v>
      </c>
      <c r="F7" s="26" t="n">
        <v>12310655</v>
      </c>
      <c r="G7" s="27" t="n">
        <f aca="false">E7-E6</f>
        <v>0.560000000000002</v>
      </c>
      <c r="H7" s="28" t="n">
        <f aca="false">G7/E6</f>
        <v>0.00383956119300653</v>
      </c>
      <c r="I7" s="29" t="n">
        <f aca="false">MAX(G7,0)</f>
        <v>0.560000000000002</v>
      </c>
      <c r="J7" s="29" t="n">
        <f aca="false">MAX(-G7,0)</f>
        <v>0</v>
      </c>
    </row>
    <row r="8" customFormat="false" ht="15" hidden="false" customHeight="false" outlineLevel="0" collapsed="false">
      <c r="A8" s="24" t="n">
        <v>45778</v>
      </c>
      <c r="B8" s="25" t="n">
        <v>144.21</v>
      </c>
      <c r="C8" s="25" t="n">
        <v>144.21</v>
      </c>
      <c r="D8" s="25" t="n">
        <v>144.13</v>
      </c>
      <c r="E8" s="25" t="n">
        <v>144.17</v>
      </c>
      <c r="F8" s="26" t="n">
        <v>13702641</v>
      </c>
      <c r="G8" s="27" t="n">
        <f aca="false">E8-E7</f>
        <v>-2.24000000000001</v>
      </c>
      <c r="H8" s="28" t="n">
        <f aca="false">G8/E7</f>
        <v>-0.0152995014001776</v>
      </c>
      <c r="I8" s="29" t="n">
        <f aca="false">MAX(G8,0)</f>
        <v>0</v>
      </c>
      <c r="J8" s="29" t="n">
        <f aca="false">MAX(-G8,0)</f>
        <v>2.24000000000001</v>
      </c>
    </row>
    <row r="9" customFormat="false" ht="15" hidden="false" customHeight="false" outlineLevel="0" collapsed="false">
      <c r="A9" s="24" t="n">
        <v>45779</v>
      </c>
      <c r="B9" s="25" t="n">
        <v>146.97</v>
      </c>
      <c r="C9" s="25" t="n">
        <v>147.2</v>
      </c>
      <c r="D9" s="25" t="n">
        <v>145.6</v>
      </c>
      <c r="E9" s="25" t="n">
        <v>146.4</v>
      </c>
      <c r="F9" s="26" t="n">
        <v>15549627</v>
      </c>
      <c r="G9" s="27" t="n">
        <f aca="false">E9-E8</f>
        <v>2.23000000000002</v>
      </c>
      <c r="H9" s="28" t="n">
        <f aca="false">G9/E8</f>
        <v>0.0154678504543249</v>
      </c>
      <c r="I9" s="29" t="n">
        <f aca="false">MAX(G9,0)</f>
        <v>2.23000000000002</v>
      </c>
      <c r="J9" s="29" t="n">
        <f aca="false">MAX(-G9,0)</f>
        <v>0</v>
      </c>
    </row>
    <row r="10" customFormat="false" ht="15" hidden="false" customHeight="false" outlineLevel="0" collapsed="false">
      <c r="A10" s="24" t="n">
        <v>45782</v>
      </c>
      <c r="B10" s="25" t="n">
        <v>142.42</v>
      </c>
      <c r="C10" s="25" t="n">
        <v>143.71</v>
      </c>
      <c r="D10" s="25" t="n">
        <v>141.91</v>
      </c>
      <c r="E10" s="25" t="n">
        <v>142.81</v>
      </c>
      <c r="F10" s="26" t="n">
        <v>9791608</v>
      </c>
      <c r="G10" s="27" t="n">
        <f aca="false">E10-E9</f>
        <v>-3.59</v>
      </c>
      <c r="H10" s="28" t="n">
        <f aca="false">G10/E9</f>
        <v>-0.0245218579234973</v>
      </c>
      <c r="I10" s="29" t="n">
        <f aca="false">MAX(G10,0)</f>
        <v>0</v>
      </c>
      <c r="J10" s="29" t="n">
        <f aca="false">MAX(-G10,0)</f>
        <v>3.59</v>
      </c>
    </row>
    <row r="11" customFormat="false" ht="15" hidden="false" customHeight="false" outlineLevel="0" collapsed="false">
      <c r="A11" s="24" t="n">
        <v>45783</v>
      </c>
      <c r="B11" s="25" t="n">
        <v>144.03</v>
      </c>
      <c r="C11" s="25" t="n">
        <v>144.41</v>
      </c>
      <c r="D11" s="25" t="n">
        <v>142.43</v>
      </c>
      <c r="E11" s="25" t="n">
        <v>143.42</v>
      </c>
      <c r="F11" s="26" t="n">
        <v>10639860</v>
      </c>
      <c r="G11" s="27" t="n">
        <f aca="false">E11-E10</f>
        <v>0.609999999999985</v>
      </c>
      <c r="H11" s="28" t="n">
        <f aca="false">G11/E10</f>
        <v>0.0042714095651564</v>
      </c>
      <c r="I11" s="29" t="n">
        <f aca="false">MAX(G11,0)</f>
        <v>0.609999999999985</v>
      </c>
      <c r="J11" s="29" t="n">
        <f aca="false">MAX(-G11,0)</f>
        <v>0</v>
      </c>
    </row>
    <row r="12" customFormat="false" ht="15" hidden="false" customHeight="false" outlineLevel="0" collapsed="false">
      <c r="A12" s="24" t="n">
        <v>45784</v>
      </c>
      <c r="B12" s="25" t="n">
        <v>142.28</v>
      </c>
      <c r="C12" s="25" t="n">
        <v>142.76</v>
      </c>
      <c r="D12" s="25" t="n">
        <v>142.28</v>
      </c>
      <c r="E12" s="25" t="n">
        <v>142.52</v>
      </c>
      <c r="F12" s="26" t="n">
        <v>10342936</v>
      </c>
      <c r="G12" s="27" t="n">
        <f aca="false">E12-E11</f>
        <v>-0.899999999999977</v>
      </c>
      <c r="H12" s="28" t="n">
        <f aca="false">G12/E11</f>
        <v>-0.00627527541486527</v>
      </c>
      <c r="I12" s="29" t="n">
        <f aca="false">MAX(G12,0)</f>
        <v>0</v>
      </c>
      <c r="J12" s="29" t="n">
        <f aca="false">MAX(-G12,0)</f>
        <v>0.899999999999977</v>
      </c>
    </row>
    <row r="13" customFormat="false" ht="15" hidden="false" customHeight="false" outlineLevel="0" collapsed="false">
      <c r="A13" s="24" t="n">
        <v>45785</v>
      </c>
      <c r="B13" s="25" t="n">
        <v>145.76</v>
      </c>
      <c r="C13" s="25" t="n">
        <v>146.61</v>
      </c>
      <c r="D13" s="25" t="n">
        <v>144.03</v>
      </c>
      <c r="E13" s="25" t="n">
        <v>145.32</v>
      </c>
      <c r="F13" s="26" t="n">
        <v>5206931</v>
      </c>
      <c r="G13" s="27" t="n">
        <f aca="false">E13-E12</f>
        <v>2.79999999999998</v>
      </c>
      <c r="H13" s="28" t="n">
        <f aca="false">G13/E12</f>
        <v>0.0196463654223967</v>
      </c>
      <c r="I13" s="29" t="n">
        <f aca="false">MAX(G13,0)</f>
        <v>2.79999999999998</v>
      </c>
      <c r="J13" s="29" t="n">
        <f aca="false">MAX(-G13,0)</f>
        <v>0</v>
      </c>
    </row>
    <row r="14" customFormat="false" ht="15" hidden="false" customHeight="false" outlineLevel="0" collapsed="false">
      <c r="A14" s="24" t="n">
        <v>45786</v>
      </c>
      <c r="B14" s="25" t="n">
        <v>147.15</v>
      </c>
      <c r="C14" s="25" t="n">
        <v>147.65</v>
      </c>
      <c r="D14" s="25" t="n">
        <v>145.91</v>
      </c>
      <c r="E14" s="25" t="n">
        <v>146.78</v>
      </c>
      <c r="F14" s="26" t="n">
        <v>9907887</v>
      </c>
      <c r="G14" s="27" t="n">
        <f aca="false">E14-E13</f>
        <v>1.46000000000001</v>
      </c>
      <c r="H14" s="28" t="n">
        <f aca="false">G14/E13</f>
        <v>0.0100467932837876</v>
      </c>
      <c r="I14" s="29" t="n">
        <f aca="false">MAX(G14,0)</f>
        <v>1.46000000000001</v>
      </c>
      <c r="J14" s="29" t="n">
        <f aca="false">MAX(-G14,0)</f>
        <v>0</v>
      </c>
      <c r="Q14" s="30" t="n">
        <f aca="false">AVERAGE(E3:E14)</f>
        <v>145.57</v>
      </c>
    </row>
    <row r="15" customFormat="false" ht="15" hidden="false" customHeight="false" outlineLevel="0" collapsed="false">
      <c r="A15" s="24" t="n">
        <v>45789</v>
      </c>
      <c r="B15" s="25" t="n">
        <v>142.4</v>
      </c>
      <c r="C15" s="25" t="n">
        <v>143.34</v>
      </c>
      <c r="D15" s="25" t="n">
        <v>142.4</v>
      </c>
      <c r="E15" s="25" t="n">
        <v>142.87</v>
      </c>
      <c r="F15" s="26" t="n">
        <v>6409509</v>
      </c>
      <c r="G15" s="27" t="n">
        <f aca="false">E15-E14</f>
        <v>-3.91</v>
      </c>
      <c r="H15" s="28" t="n">
        <f aca="false">G15/E14</f>
        <v>-0.0266385066085298</v>
      </c>
      <c r="I15" s="29" t="n">
        <f aca="false">MAX(G15,0)</f>
        <v>0</v>
      </c>
      <c r="J15" s="29" t="n">
        <f aca="false">MAX(-G15,0)</f>
        <v>3.91</v>
      </c>
      <c r="Q15" s="30" t="n">
        <f aca="false">Q14+(2/13)*(E15-Q14)</f>
        <v>145.154615384615</v>
      </c>
    </row>
    <row r="16" customFormat="false" ht="15" hidden="false" customHeight="false" outlineLevel="0" collapsed="false">
      <c r="A16" s="24" t="n">
        <v>45790</v>
      </c>
      <c r="B16" s="25" t="n">
        <v>138.37</v>
      </c>
      <c r="C16" s="25" t="n">
        <v>138.53</v>
      </c>
      <c r="D16" s="25" t="n">
        <v>138.37</v>
      </c>
      <c r="E16" s="25" t="n">
        <v>138.45</v>
      </c>
      <c r="F16" s="26" t="n">
        <v>16789587</v>
      </c>
      <c r="G16" s="27" t="n">
        <f aca="false">E16-E15</f>
        <v>-4.42000000000002</v>
      </c>
      <c r="H16" s="28" t="n">
        <f aca="false">G16/E15</f>
        <v>-0.0309372156505916</v>
      </c>
      <c r="I16" s="29" t="n">
        <f aca="false">MAX(G16,0)</f>
        <v>0</v>
      </c>
      <c r="J16" s="29" t="n">
        <f aca="false">MAX(-G16,0)</f>
        <v>4.42000000000002</v>
      </c>
      <c r="Q16" s="30" t="n">
        <f aca="false">Q15+(2/13)*(E16-Q15)</f>
        <v>144.123136094675</v>
      </c>
    </row>
    <row r="17" customFormat="false" ht="15" hidden="false" customHeight="false" outlineLevel="0" collapsed="false">
      <c r="A17" s="24" t="n">
        <v>45791</v>
      </c>
      <c r="B17" s="25" t="n">
        <v>136.62</v>
      </c>
      <c r="C17" s="25" t="n">
        <v>136.72</v>
      </c>
      <c r="D17" s="25" t="n">
        <v>136.62</v>
      </c>
      <c r="E17" s="25" t="n">
        <v>136.67</v>
      </c>
      <c r="F17" s="26" t="n">
        <v>14913983</v>
      </c>
      <c r="G17" s="27" t="n">
        <f aca="false">E17-E16</f>
        <v>-1.78</v>
      </c>
      <c r="H17" s="28" t="n">
        <f aca="false">G17/E16</f>
        <v>-0.012856626941134</v>
      </c>
      <c r="I17" s="29" t="n">
        <f aca="false">MAX(G17,0)</f>
        <v>0</v>
      </c>
      <c r="J17" s="29" t="n">
        <f aca="false">MAX(-G17,0)</f>
        <v>1.78</v>
      </c>
      <c r="K17" s="29" t="n">
        <f aca="false">AVERAGE(I4:I17)</f>
        <v>0.574999999999999</v>
      </c>
      <c r="L17" s="29" t="n">
        <f aca="false">AVERAGE(J4:J17)</f>
        <v>1.38428571428571</v>
      </c>
      <c r="M17" s="31" t="n">
        <f aca="false">IF(L17=0,100,100-100/(1+K17/MAX(L17,0.000001)))</f>
        <v>29.3474298213634</v>
      </c>
      <c r="Q17" s="30" t="n">
        <f aca="false">Q16+(2/13)*(E17-Q16)</f>
        <v>142.976499772417</v>
      </c>
      <c r="V17" s="32" t="str">
        <f aca="false">IF(M17="","",IF(M17&lt;Assumptions!$B$5,"BUY",IF(M17&gt;Assumptions!$B$4,"SELL","HOLD")))</f>
        <v>BUY</v>
      </c>
    </row>
    <row r="18" customFormat="false" ht="15" hidden="false" customHeight="false" outlineLevel="0" collapsed="false">
      <c r="A18" s="24" t="n">
        <v>45792</v>
      </c>
      <c r="B18" s="25" t="n">
        <v>135.39</v>
      </c>
      <c r="C18" s="25" t="n">
        <v>136.89</v>
      </c>
      <c r="D18" s="25" t="n">
        <v>134.69</v>
      </c>
      <c r="E18" s="25" t="n">
        <v>135.79</v>
      </c>
      <c r="F18" s="26" t="n">
        <v>4849181</v>
      </c>
      <c r="G18" s="27" t="n">
        <f aca="false">E18-E17</f>
        <v>-0.879999999999996</v>
      </c>
      <c r="H18" s="28" t="n">
        <f aca="false">G18/E17</f>
        <v>-0.00643886734469888</v>
      </c>
      <c r="I18" s="29" t="n">
        <f aca="false">MAX(G18,0)</f>
        <v>0</v>
      </c>
      <c r="J18" s="29" t="n">
        <f aca="false">MAX(-G18,0)</f>
        <v>0.879999999999996</v>
      </c>
      <c r="K18" s="29" t="n">
        <f aca="false">(K17*13+I18)/14</f>
        <v>0.53392857142857</v>
      </c>
      <c r="L18" s="29" t="n">
        <f aca="false">(L17*13+J18)/14</f>
        <v>1.34826530612245</v>
      </c>
      <c r="M18" s="31" t="n">
        <f aca="false">IF(L18=0,100,100-100/(1+K18/MAX(L18,0.000001)))</f>
        <v>28.3673524707923</v>
      </c>
      <c r="Q18" s="30" t="n">
        <f aca="false">Q17+(2/13)*(E18-Q17)</f>
        <v>141.870884422814</v>
      </c>
      <c r="V18" s="32" t="str">
        <f aca="false">IF(M18="","",IF(M18&lt;Assumptions!$B$5,"BUY",IF(M18&gt;Assumptions!$B$4,"SELL","HOLD")))</f>
        <v>BUY</v>
      </c>
    </row>
    <row r="19" customFormat="false" ht="15" hidden="false" customHeight="false" outlineLevel="0" collapsed="false">
      <c r="A19" s="24" t="n">
        <v>45793</v>
      </c>
      <c r="B19" s="25" t="n">
        <v>135.08</v>
      </c>
      <c r="C19" s="25" t="n">
        <v>135.86</v>
      </c>
      <c r="D19" s="25" t="n">
        <v>135.08</v>
      </c>
      <c r="E19" s="25" t="n">
        <v>135.47</v>
      </c>
      <c r="F19" s="26" t="n">
        <v>18894794</v>
      </c>
      <c r="G19" s="27" t="n">
        <f aca="false">E19-E18</f>
        <v>-0.319999999999993</v>
      </c>
      <c r="H19" s="28" t="n">
        <f aca="false">G19/E18</f>
        <v>-0.00235658001325571</v>
      </c>
      <c r="I19" s="29" t="n">
        <f aca="false">MAX(G19,0)</f>
        <v>0</v>
      </c>
      <c r="J19" s="29" t="n">
        <f aca="false">MAX(-G19,0)</f>
        <v>0.319999999999993</v>
      </c>
      <c r="K19" s="29" t="n">
        <f aca="false">(K18*13+I19)/14</f>
        <v>0.49579081632653</v>
      </c>
      <c r="L19" s="29" t="n">
        <f aca="false">(L18*13+J19)/14</f>
        <v>1.27481778425656</v>
      </c>
      <c r="M19" s="31" t="n">
        <f aca="false">IF(L19=0,100,100-100/(1+K19/MAX(L19,0.000001)))</f>
        <v>28.0011526072593</v>
      </c>
      <c r="Q19" s="30" t="n">
        <f aca="false">Q18+(2/13)*(E19-Q18)</f>
        <v>140.886132973151</v>
      </c>
      <c r="V19" s="32" t="str">
        <f aca="false">IF(M19="","",IF(M19&lt;Assumptions!$B$5,"BUY",IF(M19&gt;Assumptions!$B$4,"SELL","HOLD")))</f>
        <v>BUY</v>
      </c>
    </row>
    <row r="20" customFormat="false" ht="15" hidden="false" customHeight="false" outlineLevel="0" collapsed="false">
      <c r="A20" s="24" t="n">
        <v>45796</v>
      </c>
      <c r="B20" s="25" t="n">
        <v>135.36</v>
      </c>
      <c r="C20" s="25" t="n">
        <v>136.67</v>
      </c>
      <c r="D20" s="25" t="n">
        <v>134.41</v>
      </c>
      <c r="E20" s="25" t="n">
        <v>135.54</v>
      </c>
      <c r="F20" s="26" t="n">
        <v>18188790</v>
      </c>
      <c r="G20" s="27" t="n">
        <f aca="false">E20-E19</f>
        <v>0.0699999999999932</v>
      </c>
      <c r="H20" s="28" t="n">
        <f aca="false">G20/E19</f>
        <v>0.000516719568908195</v>
      </c>
      <c r="I20" s="29" t="n">
        <f aca="false">MAX(G20,0)</f>
        <v>0.0699999999999932</v>
      </c>
      <c r="J20" s="29" t="n">
        <f aca="false">MAX(-G20,0)</f>
        <v>0</v>
      </c>
      <c r="K20" s="29" t="n">
        <f aca="false">(K19*13+I20)/14</f>
        <v>0.46537718658892</v>
      </c>
      <c r="L20" s="29" t="n">
        <f aca="false">(L19*13+J20)/14</f>
        <v>1.18375937109538</v>
      </c>
      <c r="M20" s="31" t="n">
        <f aca="false">IF(L20=0,100,100-100/(1+K20/MAX(L20,0.000001)))</f>
        <v>28.2194451648321</v>
      </c>
      <c r="Q20" s="30" t="n">
        <f aca="false">Q19+(2/13)*(E20-Q19)</f>
        <v>140.063650977281</v>
      </c>
      <c r="V20" s="32" t="str">
        <f aca="false">IF(M20="","",IF(M20&lt;Assumptions!$B$5,"BUY",IF(M20&gt;Assumptions!$B$4,"SELL","HOLD")))</f>
        <v>BUY</v>
      </c>
    </row>
    <row r="21" customFormat="false" ht="15" hidden="false" customHeight="false" outlineLevel="0" collapsed="false">
      <c r="A21" s="24" t="n">
        <v>45797</v>
      </c>
      <c r="B21" s="25" t="n">
        <v>136.47</v>
      </c>
      <c r="C21" s="25" t="n">
        <v>137.46</v>
      </c>
      <c r="D21" s="25" t="n">
        <v>136.04</v>
      </c>
      <c r="E21" s="25" t="n">
        <v>136.75</v>
      </c>
      <c r="F21" s="26" t="n">
        <v>8711131</v>
      </c>
      <c r="G21" s="27" t="n">
        <f aca="false">E21-E20</f>
        <v>1.21000000000001</v>
      </c>
      <c r="H21" s="28" t="n">
        <f aca="false">G21/E20</f>
        <v>0.00892725394717433</v>
      </c>
      <c r="I21" s="29" t="n">
        <f aca="false">MAX(G21,0)</f>
        <v>1.21000000000001</v>
      </c>
      <c r="J21" s="29" t="n">
        <f aca="false">MAX(-G21,0)</f>
        <v>0</v>
      </c>
      <c r="K21" s="29" t="n">
        <f aca="false">(K20*13+I21)/14</f>
        <v>0.518564530403998</v>
      </c>
      <c r="L21" s="29" t="n">
        <f aca="false">(L20*13+J21)/14</f>
        <v>1.09920513030285</v>
      </c>
      <c r="M21" s="31" t="n">
        <f aca="false">IF(L21=0,100,100-100/(1+K21/MAX(L21,0.000001)))</f>
        <v>32.0542870223826</v>
      </c>
      <c r="Q21" s="30" t="n">
        <f aca="false">Q20+(2/13)*(E21-Q20)</f>
        <v>139.553858519238</v>
      </c>
      <c r="V21" s="32" t="str">
        <f aca="false">IF(M21="","",IF(M21&lt;Assumptions!$B$5,"BUY",IF(M21&gt;Assumptions!$B$4,"SELL","HOLD")))</f>
        <v>HOLD</v>
      </c>
    </row>
    <row r="22" customFormat="false" ht="15" hidden="false" customHeight="false" outlineLevel="0" collapsed="false">
      <c r="A22" s="24" t="n">
        <v>45798</v>
      </c>
      <c r="B22" s="25" t="n">
        <v>134.23</v>
      </c>
      <c r="C22" s="25" t="n">
        <v>134.51</v>
      </c>
      <c r="D22" s="25" t="n">
        <v>134.21</v>
      </c>
      <c r="E22" s="25" t="n">
        <v>134.36</v>
      </c>
      <c r="F22" s="26" t="n">
        <v>18284873</v>
      </c>
      <c r="G22" s="27" t="n">
        <f aca="false">E22-E21</f>
        <v>-2.38999999999999</v>
      </c>
      <c r="H22" s="28" t="n">
        <f aca="false">G22/E21</f>
        <v>-0.0174771480804387</v>
      </c>
      <c r="I22" s="29" t="n">
        <f aca="false">MAX(G22,0)</f>
        <v>0</v>
      </c>
      <c r="J22" s="29" t="n">
        <f aca="false">MAX(-G22,0)</f>
        <v>2.38999999999999</v>
      </c>
      <c r="K22" s="29" t="n">
        <f aca="false">(K21*13+I22)/14</f>
        <v>0.481524206803712</v>
      </c>
      <c r="L22" s="29" t="n">
        <f aca="false">(L21*13+J22)/14</f>
        <v>1.19140476385264</v>
      </c>
      <c r="M22" s="31" t="n">
        <f aca="false">IF(L22=0,100,100-100/(1+K22/MAX(L22,0.000001)))</f>
        <v>28.7833025340455</v>
      </c>
      <c r="N22" s="30" t="n">
        <f aca="false">AVERAGE(E3:E22)</f>
        <v>142.137</v>
      </c>
      <c r="Q22" s="30" t="n">
        <f aca="false">Q21+(2/13)*(E22-Q21)</f>
        <v>138.754803362432</v>
      </c>
      <c r="V22" s="32" t="str">
        <f aca="false">IF(M22="","",IF(M22&lt;Assumptions!$B$5,"BUY",IF(M22&gt;Assumptions!$B$4,"SELL","HOLD")))</f>
        <v>BUY</v>
      </c>
    </row>
    <row r="23" customFormat="false" ht="15" hidden="false" customHeight="false" outlineLevel="0" collapsed="false">
      <c r="A23" s="24" t="n">
        <v>45799</v>
      </c>
      <c r="B23" s="25" t="n">
        <v>131.14</v>
      </c>
      <c r="C23" s="25" t="n">
        <v>131.38</v>
      </c>
      <c r="D23" s="25" t="n">
        <v>131.14</v>
      </c>
      <c r="E23" s="25" t="n">
        <v>131.26</v>
      </c>
      <c r="F23" s="26" t="n">
        <v>16140246</v>
      </c>
      <c r="G23" s="27" t="n">
        <f aca="false">E23-E22</f>
        <v>-3.10000000000002</v>
      </c>
      <c r="H23" s="28" t="n">
        <f aca="false">G23/E22</f>
        <v>-0.0230723429592142</v>
      </c>
      <c r="I23" s="29" t="n">
        <f aca="false">MAX(G23,0)</f>
        <v>0</v>
      </c>
      <c r="J23" s="29" t="n">
        <f aca="false">MAX(-G23,0)</f>
        <v>3.10000000000002</v>
      </c>
      <c r="K23" s="29" t="n">
        <f aca="false">(K22*13+I23)/14</f>
        <v>0.447129620603447</v>
      </c>
      <c r="L23" s="29" t="n">
        <f aca="false">(L22*13+J23)/14</f>
        <v>1.32773299500603</v>
      </c>
      <c r="M23" s="31" t="n">
        <f aca="false">IF(L23=0,100,100-100/(1+K23/MAX(L23,0.000001)))</f>
        <v>25.1923510400779</v>
      </c>
      <c r="N23" s="30" t="n">
        <f aca="false">AVERAGE(E4:E23)</f>
        <v>141.3</v>
      </c>
      <c r="Q23" s="30" t="n">
        <f aca="false">Q22+(2/13)*(E23-Q22)</f>
        <v>137.601756691289</v>
      </c>
      <c r="V23" s="32" t="str">
        <f aca="false">IF(M23="","",IF(M23&lt;Assumptions!$B$5,"BUY",IF(M23&gt;Assumptions!$B$4,"SELL","HOLD")))</f>
        <v>BUY</v>
      </c>
    </row>
    <row r="24" customFormat="false" ht="15" hidden="false" customHeight="false" outlineLevel="0" collapsed="false">
      <c r="A24" s="24" t="n">
        <v>45800</v>
      </c>
      <c r="B24" s="25" t="n">
        <v>131.58</v>
      </c>
      <c r="C24" s="25" t="n">
        <v>132.52</v>
      </c>
      <c r="D24" s="25" t="n">
        <v>130.88</v>
      </c>
      <c r="E24" s="25" t="n">
        <v>131.7</v>
      </c>
      <c r="F24" s="26" t="n">
        <v>15242925</v>
      </c>
      <c r="G24" s="27" t="n">
        <f aca="false">E24-E23</f>
        <v>0.439999999999998</v>
      </c>
      <c r="H24" s="28" t="n">
        <f aca="false">G24/E23</f>
        <v>0.00335212555233885</v>
      </c>
      <c r="I24" s="29" t="n">
        <f aca="false">MAX(G24,0)</f>
        <v>0.439999999999998</v>
      </c>
      <c r="J24" s="29" t="n">
        <f aca="false">MAX(-G24,0)</f>
        <v>0</v>
      </c>
      <c r="K24" s="29" t="n">
        <f aca="false">(K23*13+I24)/14</f>
        <v>0.446620361988915</v>
      </c>
      <c r="L24" s="29" t="n">
        <f aca="false">(L23*13+J24)/14</f>
        <v>1.23289492393417</v>
      </c>
      <c r="M24" s="31" t="n">
        <f aca="false">IF(L24=0,100,100-100/(1+K24/MAX(L24,0.000001)))</f>
        <v>26.5922177506974</v>
      </c>
      <c r="N24" s="30" t="n">
        <f aca="false">AVERAGE(E5:E24)</f>
        <v>140.4655</v>
      </c>
      <c r="Q24" s="30" t="n">
        <f aca="false">Q23+(2/13)*(E24-Q23)</f>
        <v>136.693794123398</v>
      </c>
      <c r="V24" s="32" t="str">
        <f aca="false">IF(M24="","",IF(M24&lt;Assumptions!$B$5,"BUY",IF(M24&gt;Assumptions!$B$4,"SELL","HOLD")))</f>
        <v>BUY</v>
      </c>
    </row>
    <row r="25" customFormat="false" ht="15" hidden="false" customHeight="false" outlineLevel="0" collapsed="false">
      <c r="A25" s="24" t="n">
        <v>45803</v>
      </c>
      <c r="B25" s="25" t="n">
        <v>131.06</v>
      </c>
      <c r="C25" s="25" t="n">
        <v>131.14</v>
      </c>
      <c r="D25" s="25" t="n">
        <v>131.06</v>
      </c>
      <c r="E25" s="25" t="n">
        <v>131.1</v>
      </c>
      <c r="F25" s="26" t="n">
        <v>11659486</v>
      </c>
      <c r="G25" s="27" t="n">
        <f aca="false">E25-E24</f>
        <v>-0.599999999999994</v>
      </c>
      <c r="H25" s="28" t="n">
        <f aca="false">G25/E24</f>
        <v>-0.0045558086560364</v>
      </c>
      <c r="I25" s="29" t="n">
        <f aca="false">MAX(G25,0)</f>
        <v>0</v>
      </c>
      <c r="J25" s="29" t="n">
        <f aca="false">MAX(-G25,0)</f>
        <v>0.599999999999994</v>
      </c>
      <c r="K25" s="29" t="n">
        <f aca="false">(K24*13+I25)/14</f>
        <v>0.414718907561135</v>
      </c>
      <c r="L25" s="29" t="n">
        <f aca="false">(L24*13+J25)/14</f>
        <v>1.18768814365316</v>
      </c>
      <c r="M25" s="31" t="n">
        <f aca="false">IF(L25=0,100,100-100/(1+K25/MAX(L25,0.000001)))</f>
        <v>25.8809961705338</v>
      </c>
      <c r="N25" s="30" t="n">
        <f aca="false">AVERAGE(E6:E25)</f>
        <v>139.682</v>
      </c>
      <c r="Q25" s="30" t="n">
        <f aca="false">Q24+(2/13)*(E25-Q24)</f>
        <v>135.833210412106</v>
      </c>
      <c r="V25" s="32" t="str">
        <f aca="false">IF(M25="","",IF(M25&lt;Assumptions!$B$5,"BUY",IF(M25&gt;Assumptions!$B$4,"SELL","HOLD")))</f>
        <v>BUY</v>
      </c>
    </row>
    <row r="26" customFormat="false" ht="15" hidden="false" customHeight="false" outlineLevel="0" collapsed="false">
      <c r="A26" s="24" t="n">
        <v>45804</v>
      </c>
      <c r="B26" s="25" t="n">
        <v>130.61</v>
      </c>
      <c r="C26" s="25" t="n">
        <v>131.84</v>
      </c>
      <c r="D26" s="25" t="n">
        <v>130.04</v>
      </c>
      <c r="E26" s="25" t="n">
        <v>130.94</v>
      </c>
      <c r="F26" s="26" t="n">
        <v>8056629</v>
      </c>
      <c r="G26" s="27" t="n">
        <f aca="false">E26-E25</f>
        <v>-0.159999999999997</v>
      </c>
      <c r="H26" s="28" t="n">
        <f aca="false">G26/E25</f>
        <v>-0.00122044241037373</v>
      </c>
      <c r="I26" s="29" t="n">
        <f aca="false">MAX(G26,0)</f>
        <v>0</v>
      </c>
      <c r="J26" s="29" t="n">
        <f aca="false">MAX(-G26,0)</f>
        <v>0.159999999999997</v>
      </c>
      <c r="K26" s="29" t="n">
        <f aca="false">(K25*13+I26)/14</f>
        <v>0.385096128449626</v>
      </c>
      <c r="L26" s="29" t="n">
        <f aca="false">(L25*13+J26)/14</f>
        <v>1.11428184767793</v>
      </c>
      <c r="M26" s="31" t="n">
        <f aca="false">IF(L26=0,100,100-100/(1+K26/MAX(L26,0.000001)))</f>
        <v>25.6837258237055</v>
      </c>
      <c r="N26" s="30" t="n">
        <f aca="false">AVERAGE(E7:E26)</f>
        <v>138.9365</v>
      </c>
      <c r="Q26" s="30" t="n">
        <f aca="false">Q25+(2/13)*(E26-Q25)</f>
        <v>135.080408810244</v>
      </c>
      <c r="V26" s="32" t="str">
        <f aca="false">IF(M26="","",IF(M26&lt;Assumptions!$B$5,"BUY",IF(M26&gt;Assumptions!$B$4,"SELL","HOLD")))</f>
        <v>BUY</v>
      </c>
    </row>
    <row r="27" customFormat="false" ht="15" hidden="false" customHeight="false" outlineLevel="0" collapsed="false">
      <c r="A27" s="24" t="n">
        <v>45805</v>
      </c>
      <c r="B27" s="25" t="n">
        <v>129.96</v>
      </c>
      <c r="C27" s="25" t="n">
        <v>130.12</v>
      </c>
      <c r="D27" s="25" t="n">
        <v>129.6</v>
      </c>
      <c r="E27" s="25" t="n">
        <v>129.86</v>
      </c>
      <c r="F27" s="26" t="n">
        <v>6457346</v>
      </c>
      <c r="G27" s="27" t="n">
        <f aca="false">E27-E26</f>
        <v>-1.07999999999998</v>
      </c>
      <c r="H27" s="28" t="n">
        <f aca="false">G27/E26</f>
        <v>-0.00824805254314941</v>
      </c>
      <c r="I27" s="29" t="n">
        <f aca="false">MAX(G27,0)</f>
        <v>0</v>
      </c>
      <c r="J27" s="29" t="n">
        <f aca="false">MAX(-G27,0)</f>
        <v>1.07999999999998</v>
      </c>
      <c r="K27" s="29" t="n">
        <f aca="false">(K26*13+I27)/14</f>
        <v>0.357589262131795</v>
      </c>
      <c r="L27" s="29" t="n">
        <f aca="false">(L26*13+J27)/14</f>
        <v>1.11183314427236</v>
      </c>
      <c r="M27" s="31" t="n">
        <f aca="false">IF(L27=0,100,100-100/(1+K27/MAX(L27,0.000001)))</f>
        <v>24.3353620152599</v>
      </c>
      <c r="N27" s="30" t="n">
        <f aca="false">AVERAGE(E8:E27)</f>
        <v>138.109</v>
      </c>
      <c r="Q27" s="30" t="n">
        <f aca="false">Q26+(2/13)*(E27-Q26)</f>
        <v>134.277268993283</v>
      </c>
      <c r="V27" s="32" t="str">
        <f aca="false">IF(M27="","",IF(M27&lt;Assumptions!$B$5,"BUY",IF(M27&gt;Assumptions!$B$4,"SELL","HOLD")))</f>
        <v>BUY</v>
      </c>
    </row>
    <row r="28" customFormat="false" ht="15" hidden="false" customHeight="false" outlineLevel="0" collapsed="false">
      <c r="A28" s="24" t="n">
        <v>45806</v>
      </c>
      <c r="B28" s="25" t="n">
        <v>129.58</v>
      </c>
      <c r="C28" s="25" t="n">
        <v>130.3</v>
      </c>
      <c r="D28" s="25" t="n">
        <v>128.86</v>
      </c>
      <c r="E28" s="25" t="n">
        <v>129.58</v>
      </c>
      <c r="F28" s="26" t="n">
        <v>13950345</v>
      </c>
      <c r="G28" s="27" t="n">
        <f aca="false">E28-E27</f>
        <v>-0.280000000000001</v>
      </c>
      <c r="H28" s="28" t="n">
        <f aca="false">G28/E27</f>
        <v>-0.00215616818111814</v>
      </c>
      <c r="I28" s="29" t="n">
        <f aca="false">MAX(G28,0)</f>
        <v>0</v>
      </c>
      <c r="J28" s="29" t="n">
        <f aca="false">MAX(-G28,0)</f>
        <v>0.280000000000001</v>
      </c>
      <c r="K28" s="29" t="n">
        <f aca="false">(K27*13+I28)/14</f>
        <v>0.332047171979524</v>
      </c>
      <c r="L28" s="29" t="n">
        <f aca="false">(L27*13+J28)/14</f>
        <v>1.05241649111005</v>
      </c>
      <c r="M28" s="31" t="n">
        <f aca="false">IF(L28=0,100,100-100/(1+K28/MAX(L28,0.000001)))</f>
        <v>23.9838127089971</v>
      </c>
      <c r="N28" s="30" t="n">
        <f aca="false">AVERAGE(E9:E28)</f>
        <v>137.3795</v>
      </c>
      <c r="Q28" s="30" t="n">
        <f aca="false">Q27+(2/13)*(E28-Q27)</f>
        <v>133.554612225086</v>
      </c>
      <c r="R28" s="30" t="n">
        <f aca="false">AVERAGE(E3:E28)</f>
        <v>139.506923076923</v>
      </c>
      <c r="S28" s="33" t="n">
        <f aca="false">Q28-R28</f>
        <v>-5.95231085183738</v>
      </c>
      <c r="V28" s="32" t="str">
        <f aca="false">IF(M28="","",IF(M28&lt;Assumptions!$B$5,"BUY",IF(M28&gt;Assumptions!$B$4,"SELL","HOLD")))</f>
        <v>BUY</v>
      </c>
    </row>
    <row r="29" customFormat="false" ht="15" hidden="false" customHeight="false" outlineLevel="0" collapsed="false">
      <c r="A29" s="24" t="n">
        <v>45807</v>
      </c>
      <c r="B29" s="25" t="n">
        <v>132.06</v>
      </c>
      <c r="C29" s="25" t="n">
        <v>132.18</v>
      </c>
      <c r="D29" s="25" t="n">
        <v>132.06</v>
      </c>
      <c r="E29" s="25" t="n">
        <v>132.12</v>
      </c>
      <c r="F29" s="26" t="n">
        <v>17405000</v>
      </c>
      <c r="G29" s="27" t="n">
        <f aca="false">E29-E28</f>
        <v>2.53999999999999</v>
      </c>
      <c r="H29" s="28" t="n">
        <f aca="false">G29/E28</f>
        <v>0.019601790399753</v>
      </c>
      <c r="I29" s="29" t="n">
        <f aca="false">MAX(G29,0)</f>
        <v>2.53999999999999</v>
      </c>
      <c r="J29" s="29" t="n">
        <f aca="false">MAX(-G29,0)</f>
        <v>0</v>
      </c>
      <c r="K29" s="29" t="n">
        <f aca="false">(K28*13+I29)/14</f>
        <v>0.4897580882667</v>
      </c>
      <c r="L29" s="29" t="n">
        <f aca="false">(L28*13+J29)/14</f>
        <v>0.977243884602191</v>
      </c>
      <c r="M29" s="31" t="n">
        <f aca="false">IF(L29=0,100,100-100/(1+K29/MAX(L29,0.000001)))</f>
        <v>33.3849645279564</v>
      </c>
      <c r="N29" s="30" t="n">
        <f aca="false">AVERAGE(E10:E29)</f>
        <v>136.6655</v>
      </c>
      <c r="Q29" s="30" t="n">
        <f aca="false">Q28+(2/13)*(E29-Q28)</f>
        <v>133.333902651996</v>
      </c>
      <c r="R29" s="30" t="n">
        <f aca="false">R28+(2/27)*(E29-R28)</f>
        <v>138.959743589744</v>
      </c>
      <c r="S29" s="33" t="n">
        <f aca="false">Q29-R29</f>
        <v>-5.62584093774802</v>
      </c>
      <c r="V29" s="32" t="str">
        <f aca="false">IF(M29="","",IF(M29&lt;Assumptions!$B$5,"BUY",IF(M29&gt;Assumptions!$B$4,"SELL","HOLD")))</f>
        <v>HOLD</v>
      </c>
    </row>
    <row r="30" customFormat="false" ht="15" hidden="false" customHeight="false" outlineLevel="0" collapsed="false">
      <c r="A30" s="24" t="n">
        <v>45810</v>
      </c>
      <c r="B30" s="25" t="n">
        <v>130.19</v>
      </c>
      <c r="C30" s="25" t="n">
        <v>130.75</v>
      </c>
      <c r="D30" s="25" t="n">
        <v>127.99</v>
      </c>
      <c r="E30" s="25" t="n">
        <v>129.37</v>
      </c>
      <c r="F30" s="26" t="n">
        <v>14285236</v>
      </c>
      <c r="G30" s="27" t="n">
        <f aca="false">E30-E29</f>
        <v>-2.75</v>
      </c>
      <c r="H30" s="28" t="n">
        <f aca="false">G30/E29</f>
        <v>-0.0208144111413866</v>
      </c>
      <c r="I30" s="29" t="n">
        <f aca="false">MAX(G30,0)</f>
        <v>0</v>
      </c>
      <c r="J30" s="29" t="n">
        <f aca="false">MAX(-G30,0)</f>
        <v>2.75</v>
      </c>
      <c r="K30" s="29" t="n">
        <f aca="false">(K29*13+I30)/14</f>
        <v>0.454775367676222</v>
      </c>
      <c r="L30" s="29" t="n">
        <f aca="false">(L29*13+J30)/14</f>
        <v>1.10386932141632</v>
      </c>
      <c r="M30" s="31" t="n">
        <f aca="false">IF(L30=0,100,100-100/(1+K30/MAX(L30,0.000001)))</f>
        <v>29.1776163521268</v>
      </c>
      <c r="N30" s="30" t="n">
        <f aca="false">AVERAGE(E11:E30)</f>
        <v>135.9935</v>
      </c>
      <c r="Q30" s="30" t="n">
        <f aca="false">Q29+(2/13)*(E30-Q29)</f>
        <v>132.724071474765</v>
      </c>
      <c r="R30" s="30" t="n">
        <f aca="false">R29+(2/27)*(E30-R29)</f>
        <v>138.249392212726</v>
      </c>
      <c r="S30" s="33" t="n">
        <f aca="false">Q30-R30</f>
        <v>-5.52532073796007</v>
      </c>
      <c r="V30" s="32" t="str">
        <f aca="false">IF(M30="","",IF(M30&lt;Assumptions!$B$5,"BUY",IF(M30&gt;Assumptions!$B$4,"SELL","HOLD")))</f>
        <v>BUY</v>
      </c>
    </row>
    <row r="31" customFormat="false" ht="15" hidden="false" customHeight="false" outlineLevel="0" collapsed="false">
      <c r="A31" s="24" t="n">
        <v>45811</v>
      </c>
      <c r="B31" s="25" t="n">
        <v>127.01</v>
      </c>
      <c r="C31" s="25" t="n">
        <v>127.85</v>
      </c>
      <c r="D31" s="25" t="n">
        <v>126.83</v>
      </c>
      <c r="E31" s="25" t="n">
        <v>127.34</v>
      </c>
      <c r="F31" s="26" t="n">
        <v>12792030</v>
      </c>
      <c r="G31" s="27" t="n">
        <f aca="false">E31-E30</f>
        <v>-2.03</v>
      </c>
      <c r="H31" s="28" t="n">
        <f aca="false">G31/E30</f>
        <v>-0.0156914276880266</v>
      </c>
      <c r="I31" s="29" t="n">
        <f aca="false">MAX(G31,0)</f>
        <v>0</v>
      </c>
      <c r="J31" s="29" t="n">
        <f aca="false">MAX(-G31,0)</f>
        <v>2.03</v>
      </c>
      <c r="K31" s="29" t="n">
        <f aca="false">(K30*13+I31)/14</f>
        <v>0.422291412842206</v>
      </c>
      <c r="L31" s="29" t="n">
        <f aca="false">(L30*13+J31)/14</f>
        <v>1.17002151274373</v>
      </c>
      <c r="M31" s="31" t="n">
        <f aca="false">IF(L31=0,100,100-100/(1+K31/MAX(L31,0.000001)))</f>
        <v>26.5206295858468</v>
      </c>
      <c r="N31" s="30" t="n">
        <f aca="false">AVERAGE(E12:E31)</f>
        <v>135.1895</v>
      </c>
      <c r="Q31" s="30" t="n">
        <f aca="false">Q30+(2/13)*(E31-Q30)</f>
        <v>131.89575278634</v>
      </c>
      <c r="R31" s="30" t="n">
        <f aca="false">R30+(2/27)*(E31-R30)</f>
        <v>137.441289085857</v>
      </c>
      <c r="S31" s="33" t="n">
        <f aca="false">Q31-R31</f>
        <v>-5.54553629951698</v>
      </c>
      <c r="V31" s="32" t="str">
        <f aca="false">IF(M31="","",IF(M31&lt;Assumptions!$B$5,"BUY",IF(M31&gt;Assumptions!$B$4,"SELL","HOLD")))</f>
        <v>BUY</v>
      </c>
    </row>
    <row r="32" customFormat="false" ht="15" hidden="false" customHeight="false" outlineLevel="0" collapsed="false">
      <c r="A32" s="24" t="n">
        <v>45812</v>
      </c>
      <c r="B32" s="25" t="n">
        <v>128.48</v>
      </c>
      <c r="C32" s="25" t="n">
        <v>129.29</v>
      </c>
      <c r="D32" s="25" t="n">
        <v>127.55</v>
      </c>
      <c r="E32" s="25" t="n">
        <v>128.42</v>
      </c>
      <c r="F32" s="26" t="n">
        <v>5995289</v>
      </c>
      <c r="G32" s="27" t="n">
        <f aca="false">E32-E31</f>
        <v>1.07999999999998</v>
      </c>
      <c r="H32" s="28" t="n">
        <f aca="false">G32/E31</f>
        <v>0.0084812313491439</v>
      </c>
      <c r="I32" s="29" t="n">
        <f aca="false">MAX(G32,0)</f>
        <v>1.07999999999998</v>
      </c>
      <c r="J32" s="29" t="n">
        <f aca="false">MAX(-G32,0)</f>
        <v>0</v>
      </c>
      <c r="K32" s="29" t="n">
        <f aca="false">(K31*13+I32)/14</f>
        <v>0.46927059763919</v>
      </c>
      <c r="L32" s="29" t="n">
        <f aca="false">(L31*13+J32)/14</f>
        <v>1.08644854754775</v>
      </c>
      <c r="M32" s="31" t="n">
        <f aca="false">IF(L32=0,100,100-100/(1+K32/MAX(L32,0.000001)))</f>
        <v>30.1642233491189</v>
      </c>
      <c r="N32" s="30" t="n">
        <f aca="false">AVERAGE(E13:E32)</f>
        <v>134.4845</v>
      </c>
      <c r="Q32" s="30" t="n">
        <f aca="false">Q31+(2/13)*(E32-Q31)</f>
        <v>131.361021588442</v>
      </c>
      <c r="R32" s="30" t="n">
        <f aca="false">R31+(2/27)*(E32-R31)</f>
        <v>136.773045449868</v>
      </c>
      <c r="S32" s="33" t="n">
        <f aca="false">Q32-R32</f>
        <v>-5.41202386142604</v>
      </c>
      <c r="V32" s="32" t="str">
        <f aca="false">IF(M32="","",IF(M32&lt;Assumptions!$B$5,"BUY",IF(M32&gt;Assumptions!$B$4,"SELL","HOLD")))</f>
        <v>HOLD</v>
      </c>
    </row>
    <row r="33" customFormat="false" ht="15" hidden="false" customHeight="false" outlineLevel="0" collapsed="false">
      <c r="A33" s="24" t="n">
        <v>45813</v>
      </c>
      <c r="B33" s="25" t="n">
        <v>130.89</v>
      </c>
      <c r="C33" s="25" t="n">
        <v>131.54</v>
      </c>
      <c r="D33" s="25" t="n">
        <v>130.62</v>
      </c>
      <c r="E33" s="25" t="n">
        <v>131.08</v>
      </c>
      <c r="F33" s="26" t="n">
        <v>15221689</v>
      </c>
      <c r="G33" s="27" t="n">
        <f aca="false">E33-E32</f>
        <v>2.66000000000003</v>
      </c>
      <c r="H33" s="28" t="n">
        <f aca="false">G33/E32</f>
        <v>0.0207132845351193</v>
      </c>
      <c r="I33" s="29" t="n">
        <f aca="false">MAX(G33,0)</f>
        <v>2.66000000000003</v>
      </c>
      <c r="J33" s="29" t="n">
        <f aca="false">MAX(-G33,0)</f>
        <v>0</v>
      </c>
      <c r="K33" s="29" t="n">
        <f aca="false">(K32*13+I33)/14</f>
        <v>0.625751269236393</v>
      </c>
      <c r="L33" s="29" t="n">
        <f aca="false">(L32*13+J33)/14</f>
        <v>1.00884507986576</v>
      </c>
      <c r="M33" s="31" t="n">
        <f aca="false">IF(L33=0,100,100-100/(1+K33/MAX(L33,0.000001)))</f>
        <v>38.2816999181542</v>
      </c>
      <c r="N33" s="30" t="n">
        <f aca="false">AVERAGE(E14:E33)</f>
        <v>133.7725</v>
      </c>
      <c r="Q33" s="30" t="n">
        <f aca="false">Q32+(2/13)*(E33-Q32)</f>
        <v>131.317787497912</v>
      </c>
      <c r="R33" s="30" t="n">
        <f aca="false">R32+(2/27)*(E33-R32)</f>
        <v>136.351338379507</v>
      </c>
      <c r="S33" s="33" t="n">
        <f aca="false">Q33-R33</f>
        <v>-5.03355088159495</v>
      </c>
      <c r="V33" s="32" t="str">
        <f aca="false">IF(M33="","",IF(M33&lt;Assumptions!$B$5,"BUY",IF(M33&gt;Assumptions!$B$4,"SELL","HOLD")))</f>
        <v>HOLD</v>
      </c>
    </row>
    <row r="34" customFormat="false" ht="15" hidden="false" customHeight="false" outlineLevel="0" collapsed="false">
      <c r="A34" s="24" t="n">
        <v>45814</v>
      </c>
      <c r="B34" s="25" t="n">
        <v>130.6</v>
      </c>
      <c r="C34" s="25" t="n">
        <v>130.88</v>
      </c>
      <c r="D34" s="25" t="n">
        <v>130.6</v>
      </c>
      <c r="E34" s="25" t="n">
        <v>130.74</v>
      </c>
      <c r="F34" s="26" t="n">
        <v>15541969</v>
      </c>
      <c r="G34" s="27" t="n">
        <f aca="false">E34-E33</f>
        <v>-0.340000000000003</v>
      </c>
      <c r="H34" s="28" t="n">
        <f aca="false">G34/E33</f>
        <v>-0.00259383582545013</v>
      </c>
      <c r="I34" s="29" t="n">
        <f aca="false">MAX(G34,0)</f>
        <v>0</v>
      </c>
      <c r="J34" s="29" t="n">
        <f aca="false">MAX(-G34,0)</f>
        <v>0.340000000000003</v>
      </c>
      <c r="K34" s="29" t="n">
        <f aca="false">(K33*13+I34)/14</f>
        <v>0.581054750005222</v>
      </c>
      <c r="L34" s="29" t="n">
        <f aca="false">(L33*13+J34)/14</f>
        <v>0.961070431303924</v>
      </c>
      <c r="M34" s="31" t="n">
        <f aca="false">IF(L34=0,100,100-100/(1+K34/MAX(L34,0.000001)))</f>
        <v>37.6788315921248</v>
      </c>
      <c r="N34" s="30" t="n">
        <f aca="false">AVERAGE(E15:E34)</f>
        <v>132.9705</v>
      </c>
      <c r="Q34" s="30" t="n">
        <f aca="false">Q33+(2/13)*(E34-Q33)</f>
        <v>131.228897113618</v>
      </c>
      <c r="R34" s="30" t="n">
        <f aca="false">R33+(2/27)*(E34-R33)</f>
        <v>135.935683684729</v>
      </c>
      <c r="S34" s="33" t="n">
        <f aca="false">Q34-R34</f>
        <v>-4.7067865711108</v>
      </c>
      <c r="V34" s="32" t="str">
        <f aca="false">IF(M34="","",IF(M34&lt;Assumptions!$B$5,"BUY",IF(M34&gt;Assumptions!$B$4,"SELL","HOLD")))</f>
        <v>HOLD</v>
      </c>
    </row>
    <row r="35" customFormat="false" ht="15" hidden="false" customHeight="false" outlineLevel="0" collapsed="false">
      <c r="A35" s="24" t="n">
        <v>45817</v>
      </c>
      <c r="B35" s="25" t="n">
        <v>128.48</v>
      </c>
      <c r="C35" s="25" t="n">
        <v>129.53</v>
      </c>
      <c r="D35" s="25" t="n">
        <v>127.71</v>
      </c>
      <c r="E35" s="25" t="n">
        <v>128.62</v>
      </c>
      <c r="F35" s="26" t="n">
        <v>9742314</v>
      </c>
      <c r="G35" s="27" t="n">
        <f aca="false">E35-E34</f>
        <v>-2.12</v>
      </c>
      <c r="H35" s="28" t="n">
        <f aca="false">G35/E34</f>
        <v>-0.0162153893223191</v>
      </c>
      <c r="I35" s="29" t="n">
        <f aca="false">MAX(G35,0)</f>
        <v>0</v>
      </c>
      <c r="J35" s="29" t="n">
        <f aca="false">MAX(-G35,0)</f>
        <v>2.12</v>
      </c>
      <c r="K35" s="29" t="n">
        <f aca="false">(K34*13+I35)/14</f>
        <v>0.539550839290563</v>
      </c>
      <c r="L35" s="29" t="n">
        <f aca="false">(L34*13+J35)/14</f>
        <v>1.04385111478222</v>
      </c>
      <c r="M35" s="31" t="n">
        <f aca="false">IF(L35=0,100,100-100/(1+K35/MAX(L35,0.000001)))</f>
        <v>34.0754183044139</v>
      </c>
      <c r="N35" s="30" t="n">
        <f aca="false">AVERAGE(E16:E35)</f>
        <v>132.258</v>
      </c>
      <c r="Q35" s="30" t="n">
        <f aca="false">Q34+(2/13)*(E35-Q34)</f>
        <v>130.827528326907</v>
      </c>
      <c r="R35" s="30" t="n">
        <f aca="false">R34+(2/27)*(E35-R34)</f>
        <v>135.393781189564</v>
      </c>
      <c r="S35" s="33" t="n">
        <f aca="false">Q35-R35</f>
        <v>-4.56625286265617</v>
      </c>
      <c r="V35" s="32" t="str">
        <f aca="false">IF(M35="","",IF(M35&lt;Assumptions!$B$5,"BUY",IF(M35&gt;Assumptions!$B$4,"SELL","HOLD")))</f>
        <v>HOLD</v>
      </c>
    </row>
    <row r="36" customFormat="false" ht="15" hidden="false" customHeight="false" outlineLevel="0" collapsed="false">
      <c r="A36" s="24" t="n">
        <v>45818</v>
      </c>
      <c r="B36" s="25" t="n">
        <v>125.29</v>
      </c>
      <c r="C36" s="25" t="n">
        <v>125.89</v>
      </c>
      <c r="D36" s="25" t="n">
        <v>124.77</v>
      </c>
      <c r="E36" s="25" t="n">
        <v>125.33</v>
      </c>
      <c r="F36" s="26" t="n">
        <v>13134078</v>
      </c>
      <c r="G36" s="27" t="n">
        <f aca="false">E36-E35</f>
        <v>-3.29000000000001</v>
      </c>
      <c r="H36" s="28" t="n">
        <f aca="false">G36/E35</f>
        <v>-0.0255792256258747</v>
      </c>
      <c r="I36" s="29" t="n">
        <f aca="false">MAX(G36,0)</f>
        <v>0</v>
      </c>
      <c r="J36" s="29" t="n">
        <f aca="false">MAX(-G36,0)</f>
        <v>3.29000000000001</v>
      </c>
      <c r="K36" s="29" t="n">
        <f aca="false">(K35*13+I36)/14</f>
        <v>0.501011493626951</v>
      </c>
      <c r="L36" s="29" t="n">
        <f aca="false">(L35*13+J36)/14</f>
        <v>1.2042903208692</v>
      </c>
      <c r="M36" s="31" t="n">
        <f aca="false">IF(L36=0,100,100-100/(1+K36/MAX(L36,0.000001)))</f>
        <v>29.379637631769</v>
      </c>
      <c r="N36" s="30" t="n">
        <f aca="false">AVERAGE(E17:E36)</f>
        <v>131.602</v>
      </c>
      <c r="Q36" s="30" t="n">
        <f aca="false">Q35+(2/13)*(E36-Q35)</f>
        <v>129.981754738152</v>
      </c>
      <c r="R36" s="30" t="n">
        <f aca="false">R35+(2/27)*(E36-R35)</f>
        <v>134.648315916263</v>
      </c>
      <c r="S36" s="33" t="n">
        <f aca="false">Q36-R36</f>
        <v>-4.66656117811016</v>
      </c>
      <c r="T36" s="33" t="n">
        <f aca="false">AVERAGE(S28:S36)</f>
        <v>-5.22602046466229</v>
      </c>
      <c r="U36" s="33" t="n">
        <f aca="false">S36-T36</f>
        <v>0.559459286552128</v>
      </c>
      <c r="V36" s="32" t="str">
        <f aca="false">IF(M36="","",IF(M36&lt;Assumptions!$B$5,"BUY",IF(M36&gt;Assumptions!$B$4,"SELL","HOLD")))</f>
        <v>BUY</v>
      </c>
      <c r="X36" s="32" t="str">
        <f aca="false">IF(T36="","",IF(S36&gt;T36,"BUY","SELL"))</f>
        <v>BUY</v>
      </c>
    </row>
    <row r="37" customFormat="false" ht="15" hidden="false" customHeight="false" outlineLevel="0" collapsed="false">
      <c r="A37" s="24" t="n">
        <v>45819</v>
      </c>
      <c r="B37" s="25" t="n">
        <v>125.37</v>
      </c>
      <c r="C37" s="25" t="n">
        <v>126.17</v>
      </c>
      <c r="D37" s="25" t="n">
        <v>125.37</v>
      </c>
      <c r="E37" s="25" t="n">
        <v>125.77</v>
      </c>
      <c r="F37" s="26" t="n">
        <v>8109463</v>
      </c>
      <c r="G37" s="27" t="n">
        <f aca="false">E37-E36</f>
        <v>0.439999999999998</v>
      </c>
      <c r="H37" s="28" t="n">
        <f aca="false">G37/E36</f>
        <v>0.00351073166839542</v>
      </c>
      <c r="I37" s="29" t="n">
        <f aca="false">MAX(G37,0)</f>
        <v>0.439999999999998</v>
      </c>
      <c r="J37" s="29" t="n">
        <f aca="false">MAX(-G37,0)</f>
        <v>0</v>
      </c>
      <c r="K37" s="29" t="n">
        <f aca="false">(K36*13+I37)/14</f>
        <v>0.496653529796455</v>
      </c>
      <c r="L37" s="29" t="n">
        <f aca="false">(L36*13+J37)/14</f>
        <v>1.11826958366426</v>
      </c>
      <c r="M37" s="31" t="n">
        <f aca="false">IF(L37=0,100,100-100/(1+K37/MAX(L37,0.000001)))</f>
        <v>30.7540046740768</v>
      </c>
      <c r="N37" s="30" t="n">
        <f aca="false">AVERAGE(E18:E37)</f>
        <v>131.057</v>
      </c>
      <c r="Q37" s="30" t="n">
        <f aca="false">Q36+(2/13)*(E37-Q36)</f>
        <v>129.333792470744</v>
      </c>
      <c r="R37" s="30" t="n">
        <f aca="false">R36+(2/27)*(E37-R36)</f>
        <v>133.990662885428</v>
      </c>
      <c r="S37" s="33" t="n">
        <f aca="false">Q37-R37</f>
        <v>-4.65687041468397</v>
      </c>
      <c r="T37" s="33" t="n">
        <f aca="false">T36+(2/10)*(S37-T36)</f>
        <v>-5.11219045466662</v>
      </c>
      <c r="U37" s="33" t="n">
        <f aca="false">S37-T37</f>
        <v>0.455320039982657</v>
      </c>
      <c r="V37" s="32" t="str">
        <f aca="false">IF(M37="","",IF(M37&lt;Assumptions!$B$5,"BUY",IF(M37&gt;Assumptions!$B$4,"SELL","HOLD")))</f>
        <v>HOLD</v>
      </c>
      <c r="X37" s="32" t="str">
        <f aca="false">IF(T37="","",IF(S37&gt;T37,"BUY","SELL"))</f>
        <v>BUY</v>
      </c>
    </row>
    <row r="38" customFormat="false" ht="15" hidden="false" customHeight="false" outlineLevel="0" collapsed="false">
      <c r="A38" s="24" t="n">
        <v>45820</v>
      </c>
      <c r="B38" s="25" t="n">
        <v>123.85</v>
      </c>
      <c r="C38" s="25" t="n">
        <v>123.85</v>
      </c>
      <c r="D38" s="25" t="n">
        <v>123.67</v>
      </c>
      <c r="E38" s="25" t="n">
        <v>123.76</v>
      </c>
      <c r="F38" s="26" t="n">
        <v>14404868</v>
      </c>
      <c r="G38" s="27" t="n">
        <f aca="false">E38-E37</f>
        <v>-2.00999999999999</v>
      </c>
      <c r="H38" s="28" t="n">
        <f aca="false">G38/E37</f>
        <v>-0.0159815536296413</v>
      </c>
      <c r="I38" s="29" t="n">
        <f aca="false">MAX(G38,0)</f>
        <v>0</v>
      </c>
      <c r="J38" s="29" t="n">
        <f aca="false">MAX(-G38,0)</f>
        <v>2.00999999999999</v>
      </c>
      <c r="K38" s="29" t="n">
        <f aca="false">(K37*13+I38)/14</f>
        <v>0.461178277668136</v>
      </c>
      <c r="L38" s="29" t="n">
        <f aca="false">(L37*13+J38)/14</f>
        <v>1.18196461340252</v>
      </c>
      <c r="M38" s="31" t="n">
        <f aca="false">IF(L38=0,100,100-100/(1+K38/MAX(L38,0.000001)))</f>
        <v>28.0668394802619</v>
      </c>
      <c r="N38" s="30" t="n">
        <f aca="false">AVERAGE(E19:E38)</f>
        <v>130.4555</v>
      </c>
      <c r="Q38" s="30" t="n">
        <f aca="false">Q37+(2/13)*(E38-Q37)</f>
        <v>128.476285936784</v>
      </c>
      <c r="R38" s="30" t="n">
        <f aca="false">R37+(2/27)*(E38-R37)</f>
        <v>133.232836005026</v>
      </c>
      <c r="S38" s="33" t="n">
        <f aca="false">Q38-R38</f>
        <v>-4.75655006824255</v>
      </c>
      <c r="T38" s="33" t="n">
        <f aca="false">T37+(2/10)*(S38-T37)</f>
        <v>-5.04106237738181</v>
      </c>
      <c r="U38" s="33" t="n">
        <f aca="false">S38-T38</f>
        <v>0.28451230913926</v>
      </c>
      <c r="V38" s="32" t="str">
        <f aca="false">IF(M38="","",IF(M38&lt;Assumptions!$B$5,"BUY",IF(M38&gt;Assumptions!$B$4,"SELL","HOLD")))</f>
        <v>BUY</v>
      </c>
      <c r="X38" s="32" t="str">
        <f aca="false">IF(T38="","",IF(S38&gt;T38,"BUY","SELL"))</f>
        <v>BUY</v>
      </c>
    </row>
    <row r="39" customFormat="false" ht="15" hidden="false" customHeight="false" outlineLevel="0" collapsed="false">
      <c r="A39" s="24" t="n">
        <v>45821</v>
      </c>
      <c r="B39" s="25" t="n">
        <v>127.21</v>
      </c>
      <c r="C39" s="25" t="n">
        <v>128.32</v>
      </c>
      <c r="D39" s="25" t="n">
        <v>126.32</v>
      </c>
      <c r="E39" s="25" t="n">
        <v>127.32</v>
      </c>
      <c r="F39" s="26" t="n">
        <v>12422857</v>
      </c>
      <c r="G39" s="27" t="n">
        <f aca="false">E39-E38</f>
        <v>3.55999999999999</v>
      </c>
      <c r="H39" s="28" t="n">
        <f aca="false">G39/E38</f>
        <v>0.028765352294764</v>
      </c>
      <c r="I39" s="29" t="n">
        <f aca="false">MAX(G39,0)</f>
        <v>3.55999999999999</v>
      </c>
      <c r="J39" s="29" t="n">
        <f aca="false">MAX(-G39,0)</f>
        <v>0</v>
      </c>
      <c r="K39" s="29" t="n">
        <f aca="false">(K38*13+I39)/14</f>
        <v>0.682522686406126</v>
      </c>
      <c r="L39" s="29" t="n">
        <f aca="false">(L38*13+J39)/14</f>
        <v>1.09753856958806</v>
      </c>
      <c r="M39" s="31" t="n">
        <f aca="false">IF(L39=0,100,100-100/(1+K39/MAX(L39,0.000001)))</f>
        <v>38.3426516423408</v>
      </c>
      <c r="N39" s="30" t="n">
        <f aca="false">AVERAGE(E20:E39)</f>
        <v>130.048</v>
      </c>
      <c r="Q39" s="30" t="n">
        <f aca="false">Q38+(2/13)*(E39-Q38)</f>
        <v>128.298395792663</v>
      </c>
      <c r="R39" s="30" t="n">
        <f aca="false">R38+(2/27)*(E39-R38)</f>
        <v>132.794848152802</v>
      </c>
      <c r="S39" s="33" t="n">
        <f aca="false">Q39-R39</f>
        <v>-4.49645236013896</v>
      </c>
      <c r="T39" s="33" t="n">
        <f aca="false">T38+(2/10)*(S39-T38)</f>
        <v>-4.93214037393324</v>
      </c>
      <c r="U39" s="33" t="n">
        <f aca="false">S39-T39</f>
        <v>0.435688013794278</v>
      </c>
      <c r="V39" s="32" t="str">
        <f aca="false">IF(M39="","",IF(M39&lt;Assumptions!$B$5,"BUY",IF(M39&gt;Assumptions!$B$4,"SELL","HOLD")))</f>
        <v>HOLD</v>
      </c>
      <c r="X39" s="32" t="str">
        <f aca="false">IF(T39="","",IF(S39&gt;T39,"BUY","SELL"))</f>
        <v>BUY</v>
      </c>
    </row>
    <row r="40" customFormat="false" ht="15" hidden="false" customHeight="false" outlineLevel="0" collapsed="false">
      <c r="A40" s="24" t="n">
        <v>45824</v>
      </c>
      <c r="B40" s="25" t="n">
        <v>131.04</v>
      </c>
      <c r="C40" s="25" t="n">
        <v>131.66</v>
      </c>
      <c r="D40" s="25" t="n">
        <v>130.88</v>
      </c>
      <c r="E40" s="25" t="n">
        <v>131.27</v>
      </c>
      <c r="F40" s="26" t="n">
        <v>8512165</v>
      </c>
      <c r="G40" s="27" t="n">
        <f aca="false">E40-E39</f>
        <v>3.95000000000002</v>
      </c>
      <c r="H40" s="28" t="n">
        <f aca="false">G40/E39</f>
        <v>0.0310241910147661</v>
      </c>
      <c r="I40" s="29" t="n">
        <f aca="false">MAX(G40,0)</f>
        <v>3.95000000000002</v>
      </c>
      <c r="J40" s="29" t="n">
        <f aca="false">MAX(-G40,0)</f>
        <v>0</v>
      </c>
      <c r="K40" s="29" t="n">
        <f aca="false">(K39*13+I40)/14</f>
        <v>0.915913923091404</v>
      </c>
      <c r="L40" s="29" t="n">
        <f aca="false">(L39*13+J40)/14</f>
        <v>1.01914295747463</v>
      </c>
      <c r="M40" s="31" t="n">
        <f aca="false">IF(L40=0,100,100-100/(1+K40/MAX(L40,0.000001)))</f>
        <v>47.3326614989988</v>
      </c>
      <c r="N40" s="30" t="n">
        <f aca="false">AVERAGE(E21:E40)</f>
        <v>129.8345</v>
      </c>
      <c r="Q40" s="30" t="n">
        <f aca="false">Q39+(2/13)*(E40-Q39)</f>
        <v>128.755565670715</v>
      </c>
      <c r="R40" s="30" t="n">
        <f aca="false">R39+(2/27)*(E40-R39)</f>
        <v>132.68189643778</v>
      </c>
      <c r="S40" s="33" t="n">
        <f aca="false">Q40-R40</f>
        <v>-3.92633076706477</v>
      </c>
      <c r="T40" s="33" t="n">
        <f aca="false">T39+(2/10)*(S40-T39)</f>
        <v>-4.73097845255954</v>
      </c>
      <c r="U40" s="33" t="n">
        <f aca="false">S40-T40</f>
        <v>0.804647685494775</v>
      </c>
      <c r="V40" s="32" t="str">
        <f aca="false">IF(M40="","",IF(M40&lt;Assumptions!$B$5,"BUY",IF(M40&gt;Assumptions!$B$4,"SELL","HOLD")))</f>
        <v>HOLD</v>
      </c>
      <c r="X40" s="32" t="str">
        <f aca="false">IF(T40="","",IF(S40&gt;T40,"BUY","SELL"))</f>
        <v>BUY</v>
      </c>
    </row>
    <row r="41" customFormat="false" ht="15" hidden="false" customHeight="false" outlineLevel="0" collapsed="false">
      <c r="A41" s="24" t="n">
        <v>45825</v>
      </c>
      <c r="B41" s="25" t="n">
        <v>131.57</v>
      </c>
      <c r="C41" s="25" t="n">
        <v>132.1</v>
      </c>
      <c r="D41" s="25" t="n">
        <v>131.24</v>
      </c>
      <c r="E41" s="25" t="n">
        <v>131.67</v>
      </c>
      <c r="F41" s="26" t="n">
        <v>9263472</v>
      </c>
      <c r="G41" s="27" t="n">
        <f aca="false">E41-E40</f>
        <v>0.399999999999977</v>
      </c>
      <c r="H41" s="28" t="n">
        <f aca="false">G41/E40</f>
        <v>0.0030471547192807</v>
      </c>
      <c r="I41" s="29" t="n">
        <f aca="false">MAX(G41,0)</f>
        <v>0.399999999999977</v>
      </c>
      <c r="J41" s="29" t="n">
        <f aca="false">MAX(-G41,0)</f>
        <v>0</v>
      </c>
      <c r="K41" s="29" t="n">
        <f aca="false">(K40*13+I41)/14</f>
        <v>0.879062928584873</v>
      </c>
      <c r="L41" s="29" t="n">
        <f aca="false">(L40*13+J41)/14</f>
        <v>0.946347031940724</v>
      </c>
      <c r="M41" s="31" t="n">
        <f aca="false">IF(L41=0,100,100-100/(1+K41/MAX(L41,0.000001)))</f>
        <v>48.1570139089063</v>
      </c>
      <c r="N41" s="30" t="n">
        <f aca="false">AVERAGE(E22:E41)</f>
        <v>129.5805</v>
      </c>
      <c r="Q41" s="30" t="n">
        <f aca="false">Q40+(2/13)*(E41-Q40)</f>
        <v>129.203940182913</v>
      </c>
      <c r="R41" s="30" t="n">
        <f aca="false">R40+(2/27)*(E41-R40)</f>
        <v>132.606941146092</v>
      </c>
      <c r="S41" s="33" t="n">
        <f aca="false">Q41-R41</f>
        <v>-3.40300096317969</v>
      </c>
      <c r="T41" s="33" t="n">
        <f aca="false">T40+(2/10)*(S41-T40)</f>
        <v>-4.46538295468357</v>
      </c>
      <c r="U41" s="33" t="n">
        <f aca="false">S41-T41</f>
        <v>1.06238199150388</v>
      </c>
      <c r="V41" s="32" t="str">
        <f aca="false">IF(M41="","",IF(M41&lt;Assumptions!$B$5,"BUY",IF(M41&gt;Assumptions!$B$4,"SELL","HOLD")))</f>
        <v>HOLD</v>
      </c>
      <c r="X41" s="32" t="str">
        <f aca="false">IF(T41="","",IF(S41&gt;T41,"BUY","SELL"))</f>
        <v>BUY</v>
      </c>
    </row>
    <row r="42" customFormat="false" ht="15" hidden="false" customHeight="false" outlineLevel="0" collapsed="false">
      <c r="A42" s="24" t="n">
        <v>45826</v>
      </c>
      <c r="B42" s="25" t="n">
        <v>132.5</v>
      </c>
      <c r="C42" s="25" t="n">
        <v>132.54</v>
      </c>
      <c r="D42" s="25" t="n">
        <v>132.5</v>
      </c>
      <c r="E42" s="25" t="n">
        <v>132.52</v>
      </c>
      <c r="F42" s="26" t="n">
        <v>13797321</v>
      </c>
      <c r="G42" s="27" t="n">
        <f aca="false">E42-E41</f>
        <v>0.850000000000023</v>
      </c>
      <c r="H42" s="28" t="n">
        <f aca="false">G42/E41</f>
        <v>0.00645553277132242</v>
      </c>
      <c r="I42" s="29" t="n">
        <f aca="false">MAX(G42,0)</f>
        <v>0.850000000000023</v>
      </c>
      <c r="J42" s="29" t="n">
        <f aca="false">MAX(-G42,0)</f>
        <v>0</v>
      </c>
      <c r="K42" s="29" t="n">
        <f aca="false">(K41*13+I42)/14</f>
        <v>0.876987005114527</v>
      </c>
      <c r="L42" s="29" t="n">
        <f aca="false">(L41*13+J42)/14</f>
        <v>0.878750815373529</v>
      </c>
      <c r="M42" s="31" t="n">
        <f aca="false">IF(L42=0,100,100-100/(1+K42/MAX(L42,0.000001)))</f>
        <v>49.9497701126438</v>
      </c>
      <c r="N42" s="30" t="n">
        <f aca="false">AVERAGE(E23:E42)</f>
        <v>129.4885</v>
      </c>
      <c r="Q42" s="30" t="n">
        <f aca="false">Q41+(2/13)*(E42-Q41)</f>
        <v>129.714103231695</v>
      </c>
      <c r="R42" s="30" t="n">
        <f aca="false">R41+(2/27)*(E42-R41)</f>
        <v>132.600501061197</v>
      </c>
      <c r="S42" s="33" t="n">
        <f aca="false">Q42-R42</f>
        <v>-2.88639782950131</v>
      </c>
      <c r="T42" s="33" t="n">
        <f aca="false">T41+(2/10)*(S42-T41)</f>
        <v>-4.14958592964712</v>
      </c>
      <c r="U42" s="33" t="n">
        <f aca="false">S42-T42</f>
        <v>1.26318810014581</v>
      </c>
      <c r="V42" s="32" t="str">
        <f aca="false">IF(M42="","",IF(M42&lt;Assumptions!$B$5,"BUY",IF(M42&gt;Assumptions!$B$4,"SELL","HOLD")))</f>
        <v>HOLD</v>
      </c>
      <c r="X42" s="32" t="str">
        <f aca="false">IF(T42="","",IF(S42&gt;T42,"BUY","SELL"))</f>
        <v>BUY</v>
      </c>
    </row>
    <row r="43" customFormat="false" ht="15" hidden="false" customHeight="false" outlineLevel="0" collapsed="false">
      <c r="A43" s="24" t="n">
        <v>45827</v>
      </c>
      <c r="B43" s="25" t="n">
        <v>132.47</v>
      </c>
      <c r="C43" s="25" t="n">
        <v>132.47</v>
      </c>
      <c r="D43" s="25" t="n">
        <v>132.19</v>
      </c>
      <c r="E43" s="25" t="n">
        <v>132.33</v>
      </c>
      <c r="F43" s="26" t="n">
        <v>10053312</v>
      </c>
      <c r="G43" s="27" t="n">
        <f aca="false">E43-E42</f>
        <v>-0.189999999999998</v>
      </c>
      <c r="H43" s="28" t="n">
        <f aca="false">G43/E42</f>
        <v>-0.00143374584968305</v>
      </c>
      <c r="I43" s="29" t="n">
        <f aca="false">MAX(G43,0)</f>
        <v>0</v>
      </c>
      <c r="J43" s="29" t="n">
        <f aca="false">MAX(-G43,0)</f>
        <v>0.189999999999998</v>
      </c>
      <c r="K43" s="29" t="n">
        <f aca="false">(K42*13+I43)/14</f>
        <v>0.814345076177775</v>
      </c>
      <c r="L43" s="29" t="n">
        <f aca="false">(L42*13+J43)/14</f>
        <v>0.829554328561134</v>
      </c>
      <c r="M43" s="31" t="n">
        <f aca="false">IF(L43=0,100,100-100/(1+K43/MAX(L43,0.000001)))</f>
        <v>49.5374031908669</v>
      </c>
      <c r="N43" s="30" t="n">
        <f aca="false">AVERAGE(E24:E43)</f>
        <v>129.542</v>
      </c>
      <c r="Q43" s="30" t="n">
        <f aca="false">Q42+(2/13)*(E43-Q42)</f>
        <v>130.116548888358</v>
      </c>
      <c r="R43" s="30" t="n">
        <f aca="false">R42+(2/27)*(E43-R42)</f>
        <v>132.580463945552</v>
      </c>
      <c r="S43" s="33" t="n">
        <f aca="false">Q43-R43</f>
        <v>-2.46391505719487</v>
      </c>
      <c r="T43" s="33" t="n">
        <f aca="false">T42+(2/10)*(S43-T42)</f>
        <v>-3.81245175515667</v>
      </c>
      <c r="U43" s="33" t="n">
        <f aca="false">S43-T43</f>
        <v>1.3485366979618</v>
      </c>
      <c r="V43" s="32" t="str">
        <f aca="false">IF(M43="","",IF(M43&lt;Assumptions!$B$5,"BUY",IF(M43&gt;Assumptions!$B$4,"SELL","HOLD")))</f>
        <v>HOLD</v>
      </c>
      <c r="X43" s="32" t="str">
        <f aca="false">IF(T43="","",IF(S43&gt;T43,"BUY","SELL"))</f>
        <v>BUY</v>
      </c>
    </row>
    <row r="44" customFormat="false" ht="15" hidden="false" customHeight="false" outlineLevel="0" collapsed="false">
      <c r="A44" s="24" t="n">
        <v>45828</v>
      </c>
      <c r="B44" s="25" t="n">
        <v>134.73</v>
      </c>
      <c r="C44" s="25" t="n">
        <v>134.73</v>
      </c>
      <c r="D44" s="25" t="n">
        <v>133.91</v>
      </c>
      <c r="E44" s="25" t="n">
        <v>134.32</v>
      </c>
      <c r="F44" s="26" t="n">
        <v>11351084</v>
      </c>
      <c r="G44" s="27" t="n">
        <f aca="false">E44-E43</f>
        <v>1.98999999999998</v>
      </c>
      <c r="H44" s="28" t="n">
        <f aca="false">G44/E43</f>
        <v>0.0150381621703316</v>
      </c>
      <c r="I44" s="29" t="n">
        <f aca="false">MAX(G44,0)</f>
        <v>1.98999999999998</v>
      </c>
      <c r="J44" s="29" t="n">
        <f aca="false">MAX(-G44,0)</f>
        <v>0</v>
      </c>
      <c r="K44" s="29" t="n">
        <f aca="false">(K43*13+I44)/14</f>
        <v>0.898320427879361</v>
      </c>
      <c r="L44" s="29" t="n">
        <f aca="false">(L43*13+J44)/14</f>
        <v>0.770300447949625</v>
      </c>
      <c r="M44" s="31" t="n">
        <f aca="false">IF(L44=0,100,100-100/(1+K44/MAX(L44,0.000001)))</f>
        <v>53.8361014711066</v>
      </c>
      <c r="N44" s="30" t="n">
        <f aca="false">AVERAGE(E25:E44)</f>
        <v>129.673</v>
      </c>
      <c r="Q44" s="30" t="n">
        <f aca="false">Q43+(2/13)*(E44-Q43)</f>
        <v>130.763233674764</v>
      </c>
      <c r="R44" s="30" t="n">
        <f aca="false">R43+(2/27)*(E44-R43)</f>
        <v>132.709318468104</v>
      </c>
      <c r="S44" s="33" t="n">
        <f aca="false">Q44-R44</f>
        <v>-1.94608479334002</v>
      </c>
      <c r="T44" s="33" t="n">
        <f aca="false">T43+(2/10)*(S44-T43)</f>
        <v>-3.43917836279334</v>
      </c>
      <c r="U44" s="33" t="n">
        <f aca="false">S44-T44</f>
        <v>1.49309356945332</v>
      </c>
      <c r="V44" s="32" t="str">
        <f aca="false">IF(M44="","",IF(M44&lt;Assumptions!$B$5,"BUY",IF(M44&gt;Assumptions!$B$4,"SELL","HOLD")))</f>
        <v>HOLD</v>
      </c>
      <c r="X44" s="32" t="str">
        <f aca="false">IF(T44="","",IF(S44&gt;T44,"BUY","SELL"))</f>
        <v>BUY</v>
      </c>
    </row>
    <row r="45" customFormat="false" ht="15" hidden="false" customHeight="false" outlineLevel="0" collapsed="false">
      <c r="A45" s="24" t="n">
        <v>45831</v>
      </c>
      <c r="B45" s="25" t="n">
        <v>133.58</v>
      </c>
      <c r="C45" s="25" t="n">
        <v>135.93</v>
      </c>
      <c r="D45" s="25" t="n">
        <v>132.73</v>
      </c>
      <c r="E45" s="25" t="n">
        <v>134.33</v>
      </c>
      <c r="F45" s="26" t="n">
        <v>10961067</v>
      </c>
      <c r="G45" s="27" t="n">
        <f aca="false">E45-E44</f>
        <v>0.0100000000000193</v>
      </c>
      <c r="H45" s="28" t="n">
        <f aca="false">G45/E44</f>
        <v>7.44490768315912E-005</v>
      </c>
      <c r="I45" s="29" t="n">
        <f aca="false">MAX(G45,0)</f>
        <v>0.0100000000000193</v>
      </c>
      <c r="J45" s="29" t="n">
        <f aca="false">MAX(-G45,0)</f>
        <v>0</v>
      </c>
      <c r="K45" s="29" t="n">
        <f aca="false">(K44*13+I45)/14</f>
        <v>0.834868968745122</v>
      </c>
      <c r="L45" s="29" t="n">
        <f aca="false">(L44*13+J45)/14</f>
        <v>0.715278987381794</v>
      </c>
      <c r="M45" s="31" t="n">
        <f aca="false">IF(L45=0,100,100-100/(1+K45/MAX(L45,0.000001)))</f>
        <v>53.8573731265668</v>
      </c>
      <c r="N45" s="30" t="n">
        <f aca="false">AVERAGE(E26:E45)</f>
        <v>129.8345</v>
      </c>
      <c r="Q45" s="30" t="n">
        <f aca="false">Q44+(2/13)*(E45-Q44)</f>
        <v>131.31196695557</v>
      </c>
      <c r="R45" s="30" t="n">
        <f aca="false">R44+(2/27)*(E45-R44)</f>
        <v>132.829368951948</v>
      </c>
      <c r="S45" s="33" t="n">
        <f aca="false">Q45-R45</f>
        <v>-1.51740199637865</v>
      </c>
      <c r="T45" s="33" t="n">
        <f aca="false">T44+(2/10)*(S45-T44)</f>
        <v>-3.0548230895104</v>
      </c>
      <c r="U45" s="33" t="n">
        <f aca="false">S45-T45</f>
        <v>1.53742109313175</v>
      </c>
      <c r="V45" s="32" t="str">
        <f aca="false">IF(M45="","",IF(M45&lt;Assumptions!$B$5,"BUY",IF(M45&gt;Assumptions!$B$4,"SELL","HOLD")))</f>
        <v>HOLD</v>
      </c>
      <c r="X45" s="32" t="str">
        <f aca="false">IF(T45="","",IF(S45&gt;T45,"BUY","SELL"))</f>
        <v>BUY</v>
      </c>
    </row>
    <row r="46" customFormat="false" ht="15" hidden="false" customHeight="false" outlineLevel="0" collapsed="false">
      <c r="A46" s="24" t="n">
        <v>45832</v>
      </c>
      <c r="B46" s="25" t="n">
        <v>134.03</v>
      </c>
      <c r="C46" s="25" t="n">
        <v>135.36</v>
      </c>
      <c r="D46" s="25" t="n">
        <v>133.54</v>
      </c>
      <c r="E46" s="25" t="n">
        <v>134.45</v>
      </c>
      <c r="F46" s="26" t="n">
        <v>8682035</v>
      </c>
      <c r="G46" s="27" t="n">
        <f aca="false">E46-E45</f>
        <v>0.119999999999976</v>
      </c>
      <c r="H46" s="28" t="n">
        <f aca="false">G46/E45</f>
        <v>0.000893322414948084</v>
      </c>
      <c r="I46" s="29" t="n">
        <f aca="false">MAX(G46,0)</f>
        <v>0.119999999999976</v>
      </c>
      <c r="J46" s="29" t="n">
        <f aca="false">MAX(-G46,0)</f>
        <v>0</v>
      </c>
      <c r="K46" s="29" t="n">
        <f aca="false">(K45*13+I46)/14</f>
        <v>0.783806899549041</v>
      </c>
      <c r="L46" s="29" t="n">
        <f aca="false">(L45*13+J46)/14</f>
        <v>0.664187631140237</v>
      </c>
      <c r="M46" s="31" t="n">
        <f aca="false">IF(L46=0,100,100-100/(1+K46/MAX(L46,0.000001)))</f>
        <v>54.1305152013199</v>
      </c>
      <c r="N46" s="30" t="n">
        <f aca="false">AVERAGE(E27:E46)</f>
        <v>130.01</v>
      </c>
      <c r="Q46" s="30" t="n">
        <f aca="false">Q45+(2/13)*(E46-Q45)</f>
        <v>131.794741270097</v>
      </c>
      <c r="R46" s="30" t="n">
        <f aca="false">R45+(2/27)*(E46-R45)</f>
        <v>132.949415696248</v>
      </c>
      <c r="S46" s="33" t="n">
        <f aca="false">Q46-R46</f>
        <v>-1.15467442615105</v>
      </c>
      <c r="T46" s="33" t="n">
        <f aca="false">T45+(2/10)*(S46-T45)</f>
        <v>-2.67479335683853</v>
      </c>
      <c r="U46" s="33" t="n">
        <f aca="false">S46-T46</f>
        <v>1.52011893068748</v>
      </c>
      <c r="V46" s="32" t="str">
        <f aca="false">IF(M46="","",IF(M46&lt;Assumptions!$B$5,"BUY",IF(M46&gt;Assumptions!$B$4,"SELL","HOLD")))</f>
        <v>HOLD</v>
      </c>
      <c r="X46" s="32" t="str">
        <f aca="false">IF(T46="","",IF(S46&gt;T46,"BUY","SELL"))</f>
        <v>BUY</v>
      </c>
    </row>
    <row r="47" customFormat="false" ht="15" hidden="false" customHeight="false" outlineLevel="0" collapsed="false">
      <c r="A47" s="24" t="n">
        <v>45833</v>
      </c>
      <c r="B47" s="25" t="n">
        <v>137.25</v>
      </c>
      <c r="C47" s="25" t="n">
        <v>137.25</v>
      </c>
      <c r="D47" s="25" t="n">
        <v>136.47</v>
      </c>
      <c r="E47" s="25" t="n">
        <v>136.86</v>
      </c>
      <c r="F47" s="26" t="n">
        <v>7195644</v>
      </c>
      <c r="G47" s="27" t="n">
        <f aca="false">E47-E46</f>
        <v>2.41000000000003</v>
      </c>
      <c r="H47" s="28" t="n">
        <f aca="false">G47/E46</f>
        <v>0.0179248791372259</v>
      </c>
      <c r="I47" s="29" t="n">
        <f aca="false">MAX(G47,0)</f>
        <v>2.41000000000003</v>
      </c>
      <c r="J47" s="29" t="n">
        <f aca="false">MAX(-G47,0)</f>
        <v>0</v>
      </c>
      <c r="K47" s="29" t="n">
        <f aca="false">(K46*13+I47)/14</f>
        <v>0.899963549581254</v>
      </c>
      <c r="L47" s="29" t="n">
        <f aca="false">(L46*13+J47)/14</f>
        <v>0.616745657487363</v>
      </c>
      <c r="M47" s="31" t="n">
        <f aca="false">IF(L47=0,100,100-100/(1+K47/MAX(L47,0.000001)))</f>
        <v>59.3365917070311</v>
      </c>
      <c r="N47" s="30" t="n">
        <f aca="false">AVERAGE(E28:E47)</f>
        <v>130.36</v>
      </c>
      <c r="Q47" s="30" t="n">
        <f aca="false">Q46+(2/13)*(E47-Q46)</f>
        <v>132.574011843929</v>
      </c>
      <c r="R47" s="30" t="n">
        <f aca="false">R46+(2/27)*(E47-R46)</f>
        <v>133.239088607637</v>
      </c>
      <c r="S47" s="33" t="n">
        <f aca="false">Q47-R47</f>
        <v>-0.665076763708868</v>
      </c>
      <c r="T47" s="33" t="n">
        <f aca="false">T46+(2/10)*(S47-T46)</f>
        <v>-2.2728500382126</v>
      </c>
      <c r="U47" s="33" t="n">
        <f aca="false">S47-T47</f>
        <v>1.60777327450373</v>
      </c>
      <c r="V47" s="32" t="str">
        <f aca="false">IF(M47="","",IF(M47&lt;Assumptions!$B$5,"BUY",IF(M47&gt;Assumptions!$B$4,"SELL","HOLD")))</f>
        <v>HOLD</v>
      </c>
      <c r="X47" s="32" t="str">
        <f aca="false">IF(T47="","",IF(S47&gt;T47,"BUY","SELL"))</f>
        <v>BUY</v>
      </c>
    </row>
    <row r="48" customFormat="false" ht="15" hidden="false" customHeight="false" outlineLevel="0" collapsed="false">
      <c r="A48" s="24" t="n">
        <v>45834</v>
      </c>
      <c r="B48" s="25" t="n">
        <v>137.48</v>
      </c>
      <c r="C48" s="25" t="n">
        <v>138.5</v>
      </c>
      <c r="D48" s="25" t="n">
        <v>137.48</v>
      </c>
      <c r="E48" s="25" t="n">
        <v>137.99</v>
      </c>
      <c r="F48" s="26" t="n">
        <v>10296792</v>
      </c>
      <c r="G48" s="27" t="n">
        <f aca="false">E48-E47</f>
        <v>1.13</v>
      </c>
      <c r="H48" s="28" t="n">
        <f aca="false">G48/E47</f>
        <v>0.00825661259681423</v>
      </c>
      <c r="I48" s="29" t="n">
        <f aca="false">MAX(G48,0)</f>
        <v>1.13</v>
      </c>
      <c r="J48" s="29" t="n">
        <f aca="false">MAX(-G48,0)</f>
        <v>0</v>
      </c>
      <c r="K48" s="29" t="n">
        <f aca="false">(K47*13+I48)/14</f>
        <v>0.916394724611164</v>
      </c>
      <c r="L48" s="29" t="n">
        <f aca="false">(L47*13+J48)/14</f>
        <v>0.572692396238266</v>
      </c>
      <c r="M48" s="31" t="n">
        <f aca="false">IF(L48=0,100,100-100/(1+K48/MAX(L48,0.000001)))</f>
        <v>61.5407058311282</v>
      </c>
      <c r="N48" s="30" t="n">
        <f aca="false">AVERAGE(E29:E48)</f>
        <v>130.7805</v>
      </c>
      <c r="Q48" s="30" t="n">
        <f aca="false">Q47+(2/13)*(E48-Q47)</f>
        <v>133.407240791016</v>
      </c>
      <c r="R48" s="30" t="n">
        <f aca="false">R47+(2/27)*(E48-R47)</f>
        <v>133.591007970035</v>
      </c>
      <c r="S48" s="33" t="n">
        <f aca="false">Q48-R48</f>
        <v>-0.18376717901819</v>
      </c>
      <c r="T48" s="33" t="n">
        <f aca="false">T47+(2/10)*(S48-T47)</f>
        <v>-1.85503346637372</v>
      </c>
      <c r="U48" s="33" t="n">
        <f aca="false">S48-T48</f>
        <v>1.67126628735553</v>
      </c>
      <c r="V48" s="32" t="str">
        <f aca="false">IF(M48="","",IF(M48&lt;Assumptions!$B$5,"BUY",IF(M48&gt;Assumptions!$B$4,"SELL","HOLD")))</f>
        <v>HOLD</v>
      </c>
      <c r="X48" s="32" t="str">
        <f aca="false">IF(T48="","",IF(S48&gt;T48,"BUY","SELL"))</f>
        <v>BUY</v>
      </c>
    </row>
    <row r="49" customFormat="false" ht="15" hidden="false" customHeight="false" outlineLevel="0" collapsed="false">
      <c r="A49" s="24" t="n">
        <v>45835</v>
      </c>
      <c r="B49" s="25" t="n">
        <v>142.14</v>
      </c>
      <c r="C49" s="25" t="n">
        <v>143</v>
      </c>
      <c r="D49" s="25" t="n">
        <v>140.76</v>
      </c>
      <c r="E49" s="25" t="n">
        <v>141.88</v>
      </c>
      <c r="F49" s="26" t="n">
        <v>13143577</v>
      </c>
      <c r="G49" s="27" t="n">
        <f aca="false">E49-E48</f>
        <v>3.88999999999999</v>
      </c>
      <c r="H49" s="28" t="n">
        <f aca="false">G49/E48</f>
        <v>0.0281904485832306</v>
      </c>
      <c r="I49" s="29" t="n">
        <f aca="false">MAX(G49,0)</f>
        <v>3.88999999999999</v>
      </c>
      <c r="J49" s="29" t="n">
        <f aca="false">MAX(-G49,0)</f>
        <v>0</v>
      </c>
      <c r="K49" s="29" t="n">
        <f aca="false">(K48*13+I49)/14</f>
        <v>1.12879510142465</v>
      </c>
      <c r="L49" s="29" t="n">
        <f aca="false">(L48*13+J49)/14</f>
        <v>0.531785796506961</v>
      </c>
      <c r="M49" s="31" t="n">
        <f aca="false">IF(L49=0,100,100-100/(1+K49/MAX(L49,0.000001)))</f>
        <v>67.9759175136036</v>
      </c>
      <c r="N49" s="30" t="n">
        <f aca="false">AVERAGE(E30:E49)</f>
        <v>131.2685</v>
      </c>
      <c r="Q49" s="30" t="n">
        <f aca="false">Q48+(2/13)*(E49-Q48)</f>
        <v>134.710742207783</v>
      </c>
      <c r="R49" s="30" t="n">
        <f aca="false">R48+(2/27)*(E49-R48)</f>
        <v>134.205007379662</v>
      </c>
      <c r="S49" s="33" t="n">
        <f aca="false">Q49-R49</f>
        <v>0.505734828121433</v>
      </c>
      <c r="T49" s="33" t="n">
        <f aca="false">T48+(2/10)*(S49-T48)</f>
        <v>-1.38287980747469</v>
      </c>
      <c r="U49" s="33" t="n">
        <f aca="false">S49-T49</f>
        <v>1.88861463559612</v>
      </c>
      <c r="V49" s="32" t="str">
        <f aca="false">IF(M49="","",IF(M49&lt;Assumptions!$B$5,"BUY",IF(M49&gt;Assumptions!$B$4,"SELL","HOLD")))</f>
        <v>HOLD</v>
      </c>
      <c r="X49" s="32" t="str">
        <f aca="false">IF(T49="","",IF(S49&gt;T49,"BUY","SELL"))</f>
        <v>BUY</v>
      </c>
    </row>
    <row r="50" customFormat="false" ht="15" hidden="false" customHeight="false" outlineLevel="0" collapsed="false">
      <c r="A50" s="24" t="n">
        <v>45838</v>
      </c>
      <c r="B50" s="25" t="n">
        <v>139.23</v>
      </c>
      <c r="C50" s="25" t="n">
        <v>139.44</v>
      </c>
      <c r="D50" s="25" t="n">
        <v>138.38</v>
      </c>
      <c r="E50" s="25" t="n">
        <v>138.91</v>
      </c>
      <c r="F50" s="26" t="n">
        <v>14637623</v>
      </c>
      <c r="G50" s="27" t="n">
        <f aca="false">E50-E49</f>
        <v>-2.97</v>
      </c>
      <c r="H50" s="28" t="n">
        <f aca="false">G50/E49</f>
        <v>-0.0209331829715252</v>
      </c>
      <c r="I50" s="29" t="n">
        <f aca="false">MAX(G50,0)</f>
        <v>0</v>
      </c>
      <c r="J50" s="29" t="n">
        <f aca="false">MAX(-G50,0)</f>
        <v>2.97</v>
      </c>
      <c r="K50" s="29" t="n">
        <f aca="false">(K49*13+I50)/14</f>
        <v>1.04816687989432</v>
      </c>
      <c r="L50" s="29" t="n">
        <f aca="false">(L49*13+J50)/14</f>
        <v>0.705943953899321</v>
      </c>
      <c r="M50" s="31" t="n">
        <f aca="false">IF(L50=0,100,100-100/(1+K50/MAX(L50,0.000001)))</f>
        <v>59.7548831978555</v>
      </c>
      <c r="N50" s="30" t="n">
        <f aca="false">AVERAGE(E31:E50)</f>
        <v>131.7455</v>
      </c>
      <c r="Q50" s="30" t="n">
        <f aca="false">Q49+(2/13)*(E50-Q49)</f>
        <v>135.356781868124</v>
      </c>
      <c r="R50" s="30" t="n">
        <f aca="false">R49+(2/27)*(E50-R49)</f>
        <v>134.553525351539</v>
      </c>
      <c r="S50" s="33" t="n">
        <f aca="false">Q50-R50</f>
        <v>0.803256516585577</v>
      </c>
      <c r="T50" s="33" t="n">
        <f aca="false">T49+(2/10)*(S50-T49)</f>
        <v>-0.945652542662634</v>
      </c>
      <c r="U50" s="33" t="n">
        <f aca="false">S50-T50</f>
        <v>1.74890905924821</v>
      </c>
      <c r="V50" s="32" t="str">
        <f aca="false">IF(M50="","",IF(M50&lt;Assumptions!$B$5,"BUY",IF(M50&gt;Assumptions!$B$4,"SELL","HOLD")))</f>
        <v>HOLD</v>
      </c>
      <c r="X50" s="32" t="str">
        <f aca="false">IF(T50="","",IF(S50&gt;T50,"BUY","SELL"))</f>
        <v>BUY</v>
      </c>
    </row>
    <row r="51" customFormat="false" ht="15" hidden="false" customHeight="false" outlineLevel="0" collapsed="false">
      <c r="A51" s="24" t="n">
        <v>45839</v>
      </c>
      <c r="B51" s="25" t="n">
        <v>137.35</v>
      </c>
      <c r="C51" s="25" t="n">
        <v>139.08</v>
      </c>
      <c r="D51" s="25" t="n">
        <v>136.76</v>
      </c>
      <c r="E51" s="25" t="n">
        <v>137.92</v>
      </c>
      <c r="F51" s="26" t="n">
        <v>11702895</v>
      </c>
      <c r="G51" s="27" t="n">
        <f aca="false">E51-E50</f>
        <v>-0.990000000000009</v>
      </c>
      <c r="H51" s="28" t="n">
        <f aca="false">G51/E50</f>
        <v>-0.00712691670866035</v>
      </c>
      <c r="I51" s="29" t="n">
        <f aca="false">MAX(G51,0)</f>
        <v>0</v>
      </c>
      <c r="J51" s="29" t="n">
        <f aca="false">MAX(-G51,0)</f>
        <v>0.990000000000009</v>
      </c>
      <c r="K51" s="29" t="n">
        <f aca="false">(K50*13+I51)/14</f>
        <v>0.973297817044725</v>
      </c>
      <c r="L51" s="29" t="n">
        <f aca="false">(L50*13+J51)/14</f>
        <v>0.726233671477942</v>
      </c>
      <c r="M51" s="31" t="n">
        <f aca="false">IF(L51=0,100,100-100/(1+K51/MAX(L51,0.000001)))</f>
        <v>57.2685957052066</v>
      </c>
      <c r="N51" s="30" t="n">
        <f aca="false">AVERAGE(E32:E51)</f>
        <v>132.2745</v>
      </c>
      <c r="Q51" s="30" t="n">
        <f aca="false">Q50+(2/13)*(E51-Q50)</f>
        <v>135.751123119182</v>
      </c>
      <c r="R51" s="30" t="n">
        <f aca="false">R50+(2/27)*(E51-R50)</f>
        <v>134.802893844017</v>
      </c>
      <c r="S51" s="33" t="n">
        <f aca="false">Q51-R51</f>
        <v>0.948229275164778</v>
      </c>
      <c r="T51" s="33" t="n">
        <f aca="false">T50+(2/10)*(S51-T50)</f>
        <v>-0.566876179097152</v>
      </c>
      <c r="U51" s="33" t="n">
        <f aca="false">S51-T51</f>
        <v>1.51510545426193</v>
      </c>
      <c r="V51" s="32" t="str">
        <f aca="false">IF(M51="","",IF(M51&lt;Assumptions!$B$5,"BUY",IF(M51&gt;Assumptions!$B$4,"SELL","HOLD")))</f>
        <v>HOLD</v>
      </c>
      <c r="X51" s="32" t="str">
        <f aca="false">IF(T51="","",IF(S51&gt;T51,"BUY","SELL"))</f>
        <v>BUY</v>
      </c>
    </row>
    <row r="52" customFormat="false" ht="15" hidden="false" customHeight="false" outlineLevel="0" collapsed="false">
      <c r="A52" s="24" t="n">
        <v>45840</v>
      </c>
      <c r="B52" s="25" t="n">
        <v>136.73</v>
      </c>
      <c r="C52" s="25" t="n">
        <v>136.84</v>
      </c>
      <c r="D52" s="25" t="n">
        <v>135.8</v>
      </c>
      <c r="E52" s="25" t="n">
        <v>136.32</v>
      </c>
      <c r="F52" s="26" t="n">
        <v>14343843</v>
      </c>
      <c r="G52" s="27" t="n">
        <f aca="false">E52-E51</f>
        <v>-1.59999999999999</v>
      </c>
      <c r="H52" s="28" t="n">
        <f aca="false">G52/E51</f>
        <v>-0.0116009280742459</v>
      </c>
      <c r="I52" s="29" t="n">
        <f aca="false">MAX(G52,0)</f>
        <v>0</v>
      </c>
      <c r="J52" s="29" t="n">
        <f aca="false">MAX(-G52,0)</f>
        <v>1.59999999999999</v>
      </c>
      <c r="K52" s="29" t="n">
        <f aca="false">(K51*13+I52)/14</f>
        <v>0.903776544398673</v>
      </c>
      <c r="L52" s="29" t="n">
        <f aca="false">(L51*13+J52)/14</f>
        <v>0.78864555208666</v>
      </c>
      <c r="M52" s="31" t="n">
        <f aca="false">IF(L52=0,100,100-100/(1+K52/MAX(L52,0.000001)))</f>
        <v>53.401367559284</v>
      </c>
      <c r="N52" s="30" t="n">
        <f aca="false">AVERAGE(E33:E52)</f>
        <v>132.6695</v>
      </c>
      <c r="O52" s="30" t="n">
        <f aca="false">AVERAGE(E3:E52)</f>
        <v>135.9564</v>
      </c>
      <c r="Q52" s="30" t="n">
        <f aca="false">Q51+(2/13)*(E52-Q51)</f>
        <v>135.838642639308</v>
      </c>
      <c r="R52" s="30" t="n">
        <f aca="false">R51+(2/27)*(E52-R51)</f>
        <v>134.915272077794</v>
      </c>
      <c r="S52" s="33" t="n">
        <f aca="false">Q52-R52</f>
        <v>0.923370561514133</v>
      </c>
      <c r="T52" s="33" t="n">
        <f aca="false">T51+(2/10)*(S52-T51)</f>
        <v>-0.268826830974895</v>
      </c>
      <c r="U52" s="33" t="n">
        <f aca="false">S52-T52</f>
        <v>1.19219739248903</v>
      </c>
      <c r="V52" s="32" t="str">
        <f aca="false">IF(M52="","",IF(M52&lt;Assumptions!$B$5,"BUY",IF(M52&gt;Assumptions!$B$4,"SELL","HOLD")))</f>
        <v>HOLD</v>
      </c>
      <c r="W52" s="32" t="str">
        <f aca="false">IF(O52="","",IF(E52&gt;O52,"BUY","SELL"))</f>
        <v>BUY</v>
      </c>
      <c r="X52" s="32" t="str">
        <f aca="false">IF(T52="","",IF(S52&gt;T52,"BUY","SELL"))</f>
        <v>BUY</v>
      </c>
      <c r="Y52" s="34" t="n">
        <f aca="false">IF(OR(V52="",W52="",X52=""),"",IFERROR(IF(V52="BUY",1,IF(V52="SELL",-1,0))+IF(W52="BUY",1,IF(W52="SELL",-1,0))+IF(X52="BUY",1,IF(X52="SELL",-1,0)),0))</f>
        <v>2</v>
      </c>
      <c r="Z52" s="32" t="str">
        <f aca="false">IF(Y52="","",IF(Y52&gt;=2,"STRONG BUY",IF(Y52=1,"BUY",IF(Y52=0,"HOLD",IF(Y52=-1,"SELL","STRONG SELL")))))</f>
        <v>STRONG BUY</v>
      </c>
    </row>
    <row r="53" customFormat="false" ht="15" hidden="false" customHeight="false" outlineLevel="0" collapsed="false">
      <c r="A53" s="24" t="n">
        <v>45841</v>
      </c>
      <c r="B53" s="25" t="n">
        <v>137.55</v>
      </c>
      <c r="C53" s="25" t="n">
        <v>138.91</v>
      </c>
      <c r="D53" s="25" t="n">
        <v>136.75</v>
      </c>
      <c r="E53" s="25" t="n">
        <v>137.83</v>
      </c>
      <c r="F53" s="26" t="n">
        <v>6331175</v>
      </c>
      <c r="G53" s="27" t="n">
        <f aca="false">E53-E52</f>
        <v>1.51000000000002</v>
      </c>
      <c r="H53" s="28" t="n">
        <f aca="false">G53/E52</f>
        <v>0.0110768779342724</v>
      </c>
      <c r="I53" s="29" t="n">
        <f aca="false">MAX(G53,0)</f>
        <v>1.51000000000002</v>
      </c>
      <c r="J53" s="29" t="n">
        <f aca="false">MAX(-G53,0)</f>
        <v>0</v>
      </c>
      <c r="K53" s="29" t="n">
        <f aca="false">(K52*13+I53)/14</f>
        <v>0.947078219798769</v>
      </c>
      <c r="L53" s="29" t="n">
        <f aca="false">(L52*13+J53)/14</f>
        <v>0.732313726937612</v>
      </c>
      <c r="M53" s="31" t="n">
        <f aca="false">IF(L53=0,100,100-100/(1+K53/MAX(L53,0.000001)))</f>
        <v>56.3941146460335</v>
      </c>
      <c r="N53" s="30" t="n">
        <f aca="false">AVERAGE(E34:E53)</f>
        <v>133.007</v>
      </c>
      <c r="O53" s="30" t="n">
        <f aca="false">AVERAGE(E4:E53)</f>
        <v>135.753</v>
      </c>
      <c r="Q53" s="30" t="n">
        <f aca="false">Q52+(2/13)*(E53-Q52)</f>
        <v>136.145005310184</v>
      </c>
      <c r="R53" s="30" t="n">
        <f aca="false">R52+(2/27)*(E53-R52)</f>
        <v>135.131177849809</v>
      </c>
      <c r="S53" s="33" t="n">
        <f aca="false">Q53-R53</f>
        <v>1.01382746037459</v>
      </c>
      <c r="T53" s="33" t="n">
        <f aca="false">T52+(2/10)*(S53-T52)</f>
        <v>-0.0122959727049985</v>
      </c>
      <c r="U53" s="33" t="n">
        <f aca="false">S53-T53</f>
        <v>1.02612343307958</v>
      </c>
      <c r="V53" s="32" t="str">
        <f aca="false">IF(M53="","",IF(M53&lt;Assumptions!$B$5,"BUY",IF(M53&gt;Assumptions!$B$4,"SELL","HOLD")))</f>
        <v>HOLD</v>
      </c>
      <c r="W53" s="32" t="str">
        <f aca="false">IF(O53="","",IF(E53&gt;O53,"BUY","SELL"))</f>
        <v>BUY</v>
      </c>
      <c r="X53" s="32" t="str">
        <f aca="false">IF(T53="","",IF(S53&gt;T53,"BUY","SELL"))</f>
        <v>BUY</v>
      </c>
      <c r="Y53" s="34" t="n">
        <f aca="false">IF(OR(V53="",W53="",X53=""),"",IFERROR(IF(V53="BUY",1,IF(V53="SELL",-1,0))+IF(W53="BUY",1,IF(W53="SELL",-1,0))+IF(X53="BUY",1,IF(X53="SELL",-1,0)),0))</f>
        <v>2</v>
      </c>
      <c r="Z53" s="32" t="str">
        <f aca="false">IF(Y53="","",IF(Y53&gt;=2,"STRONG BUY",IF(Y53=1,"BUY",IF(Y53=0,"HOLD",IF(Y53=-1,"SELL","STRONG SELL")))))</f>
        <v>STRONG BUY</v>
      </c>
    </row>
    <row r="54" customFormat="false" ht="15" hidden="false" customHeight="false" outlineLevel="0" collapsed="false">
      <c r="A54" s="24" t="n">
        <v>45842</v>
      </c>
      <c r="B54" s="25" t="n">
        <v>136.96</v>
      </c>
      <c r="C54" s="25" t="n">
        <v>138.01</v>
      </c>
      <c r="D54" s="25" t="n">
        <v>135.91</v>
      </c>
      <c r="E54" s="25" t="n">
        <v>136.96</v>
      </c>
      <c r="F54" s="26" t="n">
        <v>9695517</v>
      </c>
      <c r="G54" s="27" t="n">
        <f aca="false">E54-E53</f>
        <v>-0.870000000000005</v>
      </c>
      <c r="H54" s="28" t="n">
        <f aca="false">G54/E53</f>
        <v>-0.00631212363055942</v>
      </c>
      <c r="I54" s="29" t="n">
        <f aca="false">MAX(G54,0)</f>
        <v>0</v>
      </c>
      <c r="J54" s="29" t="n">
        <f aca="false">MAX(-G54,0)</f>
        <v>0.870000000000005</v>
      </c>
      <c r="K54" s="29" t="n">
        <f aca="false">(K53*13+I54)/14</f>
        <v>0.879429775527428</v>
      </c>
      <c r="L54" s="29" t="n">
        <f aca="false">(L53*13+J54)/14</f>
        <v>0.742148460727783</v>
      </c>
      <c r="M54" s="31" t="n">
        <f aca="false">IF(L54=0,100,100-100/(1+K54/MAX(L54,0.000001)))</f>
        <v>54.2329537894106</v>
      </c>
      <c r="N54" s="30" t="n">
        <f aca="false">AVERAGE(E35:E54)</f>
        <v>133.318</v>
      </c>
      <c r="O54" s="30" t="n">
        <f aca="false">AVERAGE(E5:E54)</f>
        <v>135.5244</v>
      </c>
      <c r="Q54" s="30" t="n">
        <f aca="false">Q53+(2/13)*(E54-Q53)</f>
        <v>136.270389108617</v>
      </c>
      <c r="R54" s="30" t="n">
        <f aca="false">R53+(2/27)*(E54-R53)</f>
        <v>135.266646157231</v>
      </c>
      <c r="S54" s="33" t="n">
        <f aca="false">Q54-R54</f>
        <v>1.00374295138633</v>
      </c>
      <c r="T54" s="33" t="n">
        <f aca="false">T53+(2/10)*(S54-T53)</f>
        <v>0.190911812113267</v>
      </c>
      <c r="U54" s="33" t="n">
        <f aca="false">S54-T54</f>
        <v>0.812831139273062</v>
      </c>
      <c r="V54" s="32" t="str">
        <f aca="false">IF(M54="","",IF(M54&lt;Assumptions!$B$5,"BUY",IF(M54&gt;Assumptions!$B$4,"SELL","HOLD")))</f>
        <v>HOLD</v>
      </c>
      <c r="W54" s="32" t="str">
        <f aca="false">IF(O54="","",IF(E54&gt;O54,"BUY","SELL"))</f>
        <v>BUY</v>
      </c>
      <c r="X54" s="32" t="str">
        <f aca="false">IF(T54="","",IF(S54&gt;T54,"BUY","SELL"))</f>
        <v>BUY</v>
      </c>
      <c r="Y54" s="34" t="n">
        <f aca="false">IF(OR(V54="",W54="",X54=""),"",IFERROR(IF(V54="BUY",1,IF(V54="SELL",-1,0))+IF(W54="BUY",1,IF(W54="SELL",-1,0))+IF(X54="BUY",1,IF(X54="SELL",-1,0)),0))</f>
        <v>2</v>
      </c>
      <c r="Z54" s="32" t="str">
        <f aca="false">IF(Y54="","",IF(Y54&gt;=2,"STRONG BUY",IF(Y54=1,"BUY",IF(Y54=0,"HOLD",IF(Y54=-1,"SELL","STRONG SELL")))))</f>
        <v>STRONG BUY</v>
      </c>
    </row>
    <row r="55" customFormat="false" ht="15" hidden="false" customHeight="false" outlineLevel="0" collapsed="false">
      <c r="A55" s="24" t="n">
        <v>45845</v>
      </c>
      <c r="B55" s="25" t="n">
        <v>138.02</v>
      </c>
      <c r="C55" s="25" t="n">
        <v>138.08</v>
      </c>
      <c r="D55" s="25" t="n">
        <v>138.02</v>
      </c>
      <c r="E55" s="25" t="n">
        <v>138.05</v>
      </c>
      <c r="F55" s="26" t="n">
        <v>16226073</v>
      </c>
      <c r="G55" s="27" t="n">
        <f aca="false">E55-E54</f>
        <v>1.09</v>
      </c>
      <c r="H55" s="28" t="n">
        <f aca="false">G55/E54</f>
        <v>0.0079585280373832</v>
      </c>
      <c r="I55" s="29" t="n">
        <f aca="false">MAX(G55,0)</f>
        <v>1.09</v>
      </c>
      <c r="J55" s="29" t="n">
        <f aca="false">MAX(-G55,0)</f>
        <v>0</v>
      </c>
      <c r="K55" s="29" t="n">
        <f aca="false">(K54*13+I55)/14</f>
        <v>0.894470505846898</v>
      </c>
      <c r="L55" s="29" t="n">
        <f aca="false">(L54*13+J55)/14</f>
        <v>0.689137856390085</v>
      </c>
      <c r="M55" s="31" t="n">
        <f aca="false">IF(L55=0,100,100-100/(1+K55/MAX(L55,0.000001)))</f>
        <v>56.483062806222</v>
      </c>
      <c r="N55" s="30" t="n">
        <f aca="false">AVERAGE(E36:E55)</f>
        <v>133.7895</v>
      </c>
      <c r="O55" s="30" t="n">
        <f aca="false">AVERAGE(E6:E55)</f>
        <v>135.35</v>
      </c>
      <c r="Q55" s="30" t="n">
        <f aca="false">Q54+(2/13)*(E55-Q54)</f>
        <v>136.544175399599</v>
      </c>
      <c r="R55" s="30" t="n">
        <f aca="false">R54+(2/27)*(E55-R54)</f>
        <v>135.472820515954</v>
      </c>
      <c r="S55" s="33" t="n">
        <f aca="false">Q55-R55</f>
        <v>1.07135488364469</v>
      </c>
      <c r="T55" s="33" t="n">
        <f aca="false">T54+(2/10)*(S55-T54)</f>
        <v>0.367000426419551</v>
      </c>
      <c r="U55" s="33" t="n">
        <f aca="false">S55-T55</f>
        <v>0.704354457225137</v>
      </c>
      <c r="V55" s="32" t="str">
        <f aca="false">IF(M55="","",IF(M55&lt;Assumptions!$B$5,"BUY",IF(M55&gt;Assumptions!$B$4,"SELL","HOLD")))</f>
        <v>HOLD</v>
      </c>
      <c r="W55" s="32" t="str">
        <f aca="false">IF(O55="","",IF(E55&gt;O55,"BUY","SELL"))</f>
        <v>BUY</v>
      </c>
      <c r="X55" s="32" t="str">
        <f aca="false">IF(T55="","",IF(S55&gt;T55,"BUY","SELL"))</f>
        <v>BUY</v>
      </c>
      <c r="Y55" s="34" t="n">
        <f aca="false">IF(OR(V55="",W55="",X55=""),"",IFERROR(IF(V55="BUY",1,IF(V55="SELL",-1,0))+IF(W55="BUY",1,IF(W55="SELL",-1,0))+IF(X55="BUY",1,IF(X55="SELL",-1,0)),0))</f>
        <v>2</v>
      </c>
      <c r="Z55" s="32" t="str">
        <f aca="false">IF(Y55="","",IF(Y55&gt;=2,"STRONG BUY",IF(Y55=1,"BUY",IF(Y55=0,"HOLD",IF(Y55=-1,"SELL","STRONG SELL")))))</f>
        <v>STRONG BUY</v>
      </c>
    </row>
    <row r="56" customFormat="false" ht="15" hidden="false" customHeight="false" outlineLevel="0" collapsed="false">
      <c r="A56" s="24" t="n">
        <v>45846</v>
      </c>
      <c r="B56" s="25" t="n">
        <v>136.15</v>
      </c>
      <c r="C56" s="25" t="n">
        <v>136.71</v>
      </c>
      <c r="D56" s="25" t="n">
        <v>135.25</v>
      </c>
      <c r="E56" s="25" t="n">
        <v>135.98</v>
      </c>
      <c r="F56" s="26" t="n">
        <v>14271652</v>
      </c>
      <c r="G56" s="27" t="n">
        <f aca="false">E56-E55</f>
        <v>-2.07000000000002</v>
      </c>
      <c r="H56" s="28" t="n">
        <f aca="false">G56/E55</f>
        <v>-0.0149945671858024</v>
      </c>
      <c r="I56" s="29" t="n">
        <f aca="false">MAX(G56,0)</f>
        <v>0</v>
      </c>
      <c r="J56" s="29" t="n">
        <f aca="false">MAX(-G56,0)</f>
        <v>2.07000000000002</v>
      </c>
      <c r="K56" s="29" t="n">
        <f aca="false">(K55*13+I56)/14</f>
        <v>0.830579755429262</v>
      </c>
      <c r="L56" s="29" t="n">
        <f aca="false">(L55*13+J56)/14</f>
        <v>0.787770866647937</v>
      </c>
      <c r="M56" s="31" t="n">
        <f aca="false">IF(L56=0,100,100-100/(1+K56/MAX(L56,0.000001)))</f>
        <v>51.3226085928888</v>
      </c>
      <c r="N56" s="30" t="n">
        <f aca="false">AVERAGE(E37:E56)</f>
        <v>134.322</v>
      </c>
      <c r="O56" s="30" t="n">
        <f aca="false">AVERAGE(E7:E56)</f>
        <v>135.1526</v>
      </c>
      <c r="Q56" s="30" t="n">
        <f aca="false">Q55+(2/13)*(E56-Q55)</f>
        <v>136.457379184276</v>
      </c>
      <c r="R56" s="30" t="n">
        <f aca="false">R55+(2/27)*(E56-R55)</f>
        <v>135.510389366624</v>
      </c>
      <c r="S56" s="33" t="n">
        <f aca="false">Q56-R56</f>
        <v>0.946989817651712</v>
      </c>
      <c r="T56" s="33" t="n">
        <f aca="false">T55+(2/10)*(S56-T55)</f>
        <v>0.482998304665983</v>
      </c>
      <c r="U56" s="33" t="n">
        <f aca="false">S56-T56</f>
        <v>0.463991512985729</v>
      </c>
      <c r="V56" s="32" t="str">
        <f aca="false">IF(M56="","",IF(M56&lt;Assumptions!$B$5,"BUY",IF(M56&gt;Assumptions!$B$4,"SELL","HOLD")))</f>
        <v>HOLD</v>
      </c>
      <c r="W56" s="32" t="str">
        <f aca="false">IF(O56="","",IF(E56&gt;O56,"BUY","SELL"))</f>
        <v>BUY</v>
      </c>
      <c r="X56" s="32" t="str">
        <f aca="false">IF(T56="","",IF(S56&gt;T56,"BUY","SELL"))</f>
        <v>BUY</v>
      </c>
      <c r="Y56" s="34" t="n">
        <f aca="false">IF(OR(V56="",W56="",X56=""),"",IFERROR(IF(V56="BUY",1,IF(V56="SELL",-1,0))+IF(W56="BUY",1,IF(W56="SELL",-1,0))+IF(X56="BUY",1,IF(X56="SELL",-1,0)),0))</f>
        <v>2</v>
      </c>
      <c r="Z56" s="32" t="str">
        <f aca="false">IF(Y56="","",IF(Y56&gt;=2,"STRONG BUY",IF(Y56=1,"BUY",IF(Y56=0,"HOLD",IF(Y56=-1,"SELL","STRONG SELL")))))</f>
        <v>STRONG BUY</v>
      </c>
    </row>
    <row r="57" customFormat="false" ht="15" hidden="false" customHeight="false" outlineLevel="0" collapsed="false">
      <c r="A57" s="24" t="n">
        <v>45847</v>
      </c>
      <c r="B57" s="25" t="n">
        <v>135.86</v>
      </c>
      <c r="C57" s="25" t="n">
        <v>135.86</v>
      </c>
      <c r="D57" s="25" t="n">
        <v>135.8</v>
      </c>
      <c r="E57" s="25" t="n">
        <v>135.83</v>
      </c>
      <c r="F57" s="26" t="n">
        <v>2074057</v>
      </c>
      <c r="G57" s="27" t="n">
        <f aca="false">E57-E56</f>
        <v>-0.149999999999977</v>
      </c>
      <c r="H57" s="28" t="n">
        <f aca="false">G57/E56</f>
        <v>-0.0011031033975583</v>
      </c>
      <c r="I57" s="29" t="n">
        <f aca="false">MAX(G57,0)</f>
        <v>0</v>
      </c>
      <c r="J57" s="29" t="n">
        <f aca="false">MAX(-G57,0)</f>
        <v>0.149999999999977</v>
      </c>
      <c r="K57" s="29" t="n">
        <f aca="false">(K56*13+I57)/14</f>
        <v>0.771252630041458</v>
      </c>
      <c r="L57" s="29" t="n">
        <f aca="false">(L56*13+J57)/14</f>
        <v>0.742215804744512</v>
      </c>
      <c r="M57" s="31" t="n">
        <f aca="false">IF(L57=0,100,100-100/(1+K57/MAX(L57,0.000001)))</f>
        <v>50.9592808356473</v>
      </c>
      <c r="N57" s="30" t="n">
        <f aca="false">AVERAGE(E38:E57)</f>
        <v>134.825</v>
      </c>
      <c r="O57" s="30" t="n">
        <f aca="false">AVERAGE(E8:E57)</f>
        <v>134.941</v>
      </c>
      <c r="Q57" s="30" t="n">
        <f aca="false">Q56+(2/13)*(E57-Q56)</f>
        <v>136.360859309772</v>
      </c>
      <c r="R57" s="30" t="n">
        <f aca="false">R56+(2/27)*(E57-R56)</f>
        <v>135.534064228356</v>
      </c>
      <c r="S57" s="33" t="n">
        <f aca="false">Q57-R57</f>
        <v>0.826795081416179</v>
      </c>
      <c r="T57" s="33" t="n">
        <f aca="false">T56+(2/10)*(S57-T56)</f>
        <v>0.551757660016022</v>
      </c>
      <c r="U57" s="33" t="n">
        <f aca="false">S57-T57</f>
        <v>0.275037421400157</v>
      </c>
      <c r="V57" s="32" t="str">
        <f aca="false">IF(M57="","",IF(M57&lt;Assumptions!$B$5,"BUY",IF(M57&gt;Assumptions!$B$4,"SELL","HOLD")))</f>
        <v>HOLD</v>
      </c>
      <c r="W57" s="32" t="str">
        <f aca="false">IF(O57="","",IF(E57&gt;O57,"BUY","SELL"))</f>
        <v>BUY</v>
      </c>
      <c r="X57" s="32" t="str">
        <f aca="false">IF(T57="","",IF(S57&gt;T57,"BUY","SELL"))</f>
        <v>BUY</v>
      </c>
      <c r="Y57" s="34" t="n">
        <f aca="false">IF(OR(V57="",W57="",X57=""),"",IFERROR(IF(V57="BUY",1,IF(V57="SELL",-1,0))+IF(W57="BUY",1,IF(W57="SELL",-1,0))+IF(X57="BUY",1,IF(X57="SELL",-1,0)),0))</f>
        <v>2</v>
      </c>
      <c r="Z57" s="32" t="str">
        <f aca="false">IF(Y57="","",IF(Y57&gt;=2,"STRONG BUY",IF(Y57=1,"BUY",IF(Y57=0,"HOLD",IF(Y57=-1,"SELL","STRONG SELL")))))</f>
        <v>STRONG BUY</v>
      </c>
    </row>
    <row r="58" customFormat="false" ht="15" hidden="false" customHeight="false" outlineLevel="0" collapsed="false">
      <c r="A58" s="24" t="n">
        <v>45848</v>
      </c>
      <c r="B58" s="25" t="n">
        <v>139.94</v>
      </c>
      <c r="C58" s="25" t="n">
        <v>140.94</v>
      </c>
      <c r="D58" s="25" t="n">
        <v>138.98</v>
      </c>
      <c r="E58" s="25" t="n">
        <v>139.96</v>
      </c>
      <c r="F58" s="26" t="n">
        <v>10263394</v>
      </c>
      <c r="G58" s="27" t="n">
        <f aca="false">E58-E57</f>
        <v>4.13</v>
      </c>
      <c r="H58" s="28" t="n">
        <f aca="false">G58/E57</f>
        <v>0.0304056541264816</v>
      </c>
      <c r="I58" s="29" t="n">
        <f aca="false">MAX(G58,0)</f>
        <v>4.13</v>
      </c>
      <c r="J58" s="29" t="n">
        <f aca="false">MAX(-G58,0)</f>
        <v>0</v>
      </c>
      <c r="K58" s="29" t="n">
        <f aca="false">(K57*13+I58)/14</f>
        <v>1.01116315646707</v>
      </c>
      <c r="L58" s="29" t="n">
        <f aca="false">(L57*13+J58)/14</f>
        <v>0.689200390119904</v>
      </c>
      <c r="M58" s="31" t="n">
        <f aca="false">IF(L58=0,100,100-100/(1+K58/MAX(L58,0.000001)))</f>
        <v>59.4674685008809</v>
      </c>
      <c r="N58" s="30" t="n">
        <f aca="false">AVERAGE(E39:E58)</f>
        <v>135.635</v>
      </c>
      <c r="O58" s="30" t="n">
        <f aca="false">AVERAGE(E9:E58)</f>
        <v>134.8568</v>
      </c>
      <c r="Q58" s="30" t="n">
        <f aca="false">Q57+(2/13)*(E58-Q57)</f>
        <v>136.914573262115</v>
      </c>
      <c r="R58" s="30" t="n">
        <f aca="false">R57+(2/27)*(E58-R57)</f>
        <v>135.861911322552</v>
      </c>
      <c r="S58" s="33" t="n">
        <f aca="false">Q58-R58</f>
        <v>1.05266193956308</v>
      </c>
      <c r="T58" s="33" t="n">
        <f aca="false">T57+(2/10)*(S58-T57)</f>
        <v>0.651938515925434</v>
      </c>
      <c r="U58" s="33" t="n">
        <f aca="false">S58-T58</f>
        <v>0.400723423637646</v>
      </c>
      <c r="V58" s="32" t="str">
        <f aca="false">IF(M58="","",IF(M58&lt;Assumptions!$B$5,"BUY",IF(M58&gt;Assumptions!$B$4,"SELL","HOLD")))</f>
        <v>HOLD</v>
      </c>
      <c r="W58" s="32" t="str">
        <f aca="false">IF(O58="","",IF(E58&gt;O58,"BUY","SELL"))</f>
        <v>BUY</v>
      </c>
      <c r="X58" s="32" t="str">
        <f aca="false">IF(T58="","",IF(S58&gt;T58,"BUY","SELL"))</f>
        <v>BUY</v>
      </c>
      <c r="Y58" s="34" t="n">
        <f aca="false">IF(OR(V58="",W58="",X58=""),"",IFERROR(IF(V58="BUY",1,IF(V58="SELL",-1,0))+IF(W58="BUY",1,IF(W58="SELL",-1,0))+IF(X58="BUY",1,IF(X58="SELL",-1,0)),0))</f>
        <v>2</v>
      </c>
      <c r="Z58" s="32" t="str">
        <f aca="false">IF(Y58="","",IF(Y58&gt;=2,"STRONG BUY",IF(Y58=1,"BUY",IF(Y58=0,"HOLD",IF(Y58=-1,"SELL","STRONG SELL")))))</f>
        <v>STRONG BUY</v>
      </c>
    </row>
    <row r="59" customFormat="false" ht="15" hidden="false" customHeight="false" outlineLevel="0" collapsed="false">
      <c r="A59" s="24" t="n">
        <v>45849</v>
      </c>
      <c r="B59" s="25" t="n">
        <v>143.35</v>
      </c>
      <c r="C59" s="25" t="n">
        <v>143.81</v>
      </c>
      <c r="D59" s="25" t="n">
        <v>142.17</v>
      </c>
      <c r="E59" s="25" t="n">
        <v>142.99</v>
      </c>
      <c r="F59" s="26" t="n">
        <v>7890788</v>
      </c>
      <c r="G59" s="27" t="n">
        <f aca="false">E59-E58</f>
        <v>3.03</v>
      </c>
      <c r="H59" s="28" t="n">
        <f aca="false">G59/E58</f>
        <v>0.0216490425835953</v>
      </c>
      <c r="I59" s="29" t="n">
        <f aca="false">MAX(G59,0)</f>
        <v>3.03</v>
      </c>
      <c r="J59" s="29" t="n">
        <f aca="false">MAX(-G59,0)</f>
        <v>0</v>
      </c>
      <c r="K59" s="29" t="n">
        <f aca="false">(K58*13+I59)/14</f>
        <v>1.15536578814799</v>
      </c>
      <c r="L59" s="29" t="n">
        <f aca="false">(L58*13+J59)/14</f>
        <v>0.639971790825625</v>
      </c>
      <c r="M59" s="31" t="n">
        <f aca="false">IF(L59=0,100,100-100/(1+K59/MAX(L59,0.000001)))</f>
        <v>64.3536793124169</v>
      </c>
      <c r="N59" s="30" t="n">
        <f aca="false">AVERAGE(E40:E59)</f>
        <v>136.4185</v>
      </c>
      <c r="O59" s="30" t="n">
        <f aca="false">AVERAGE(E10:E59)</f>
        <v>134.7886</v>
      </c>
      <c r="Q59" s="30" t="n">
        <f aca="false">Q58+(2/13)*(E59-Q58)</f>
        <v>137.849254298713</v>
      </c>
      <c r="R59" s="30" t="n">
        <f aca="false">R58+(2/27)*(E59-R58)</f>
        <v>136.389917891252</v>
      </c>
      <c r="S59" s="33" t="n">
        <f aca="false">Q59-R59</f>
        <v>1.45933640746094</v>
      </c>
      <c r="T59" s="33" t="n">
        <f aca="false">T58+(2/10)*(S59-T58)</f>
        <v>0.813418094232535</v>
      </c>
      <c r="U59" s="33" t="n">
        <f aca="false">S59-T59</f>
        <v>0.645918313228403</v>
      </c>
      <c r="V59" s="32" t="str">
        <f aca="false">IF(M59="","",IF(M59&lt;Assumptions!$B$5,"BUY",IF(M59&gt;Assumptions!$B$4,"SELL","HOLD")))</f>
        <v>HOLD</v>
      </c>
      <c r="W59" s="32" t="str">
        <f aca="false">IF(O59="","",IF(E59&gt;O59,"BUY","SELL"))</f>
        <v>BUY</v>
      </c>
      <c r="X59" s="32" t="str">
        <f aca="false">IF(T59="","",IF(S59&gt;T59,"BUY","SELL"))</f>
        <v>BUY</v>
      </c>
      <c r="Y59" s="34" t="n">
        <f aca="false">IF(OR(V59="",W59="",X59=""),"",IFERROR(IF(V59="BUY",1,IF(V59="SELL",-1,0))+IF(W59="BUY",1,IF(W59="SELL",-1,0))+IF(X59="BUY",1,IF(X59="SELL",-1,0)),0))</f>
        <v>2</v>
      </c>
      <c r="Z59" s="32" t="str">
        <f aca="false">IF(Y59="","",IF(Y59&gt;=2,"STRONG BUY",IF(Y59=1,"BUY",IF(Y59=0,"HOLD",IF(Y59=-1,"SELL","STRONG SELL")))))</f>
        <v>STRONG BUY</v>
      </c>
    </row>
    <row r="60" customFormat="false" ht="15" hidden="false" customHeight="false" outlineLevel="0" collapsed="false">
      <c r="A60" s="24" t="n">
        <v>45852</v>
      </c>
      <c r="B60" s="25" t="n">
        <v>139.62</v>
      </c>
      <c r="C60" s="25" t="n">
        <v>139.73</v>
      </c>
      <c r="D60" s="25" t="n">
        <v>139.37</v>
      </c>
      <c r="E60" s="25" t="n">
        <v>139.55</v>
      </c>
      <c r="F60" s="26" t="n">
        <v>12242327</v>
      </c>
      <c r="G60" s="27" t="n">
        <f aca="false">E60-E59</f>
        <v>-3.44</v>
      </c>
      <c r="H60" s="28" t="n">
        <f aca="false">G60/E59</f>
        <v>-0.0240576264074411</v>
      </c>
      <c r="I60" s="29" t="n">
        <f aca="false">MAX(G60,0)</f>
        <v>0</v>
      </c>
      <c r="J60" s="29" t="n">
        <f aca="false">MAX(-G60,0)</f>
        <v>3.44</v>
      </c>
      <c r="K60" s="29" t="n">
        <f aca="false">(K59*13+I60)/14</f>
        <v>1.07283966042314</v>
      </c>
      <c r="L60" s="29" t="n">
        <f aca="false">(L59*13+J60)/14</f>
        <v>0.839973805766652</v>
      </c>
      <c r="M60" s="31" t="n">
        <f aca="false">IF(L60=0,100,100-100/(1+K60/MAX(L60,0.000001)))</f>
        <v>56.0869985174336</v>
      </c>
      <c r="N60" s="30" t="n">
        <f aca="false">AVERAGE(E41:E60)</f>
        <v>136.8325</v>
      </c>
      <c r="O60" s="30" t="n">
        <f aca="false">AVERAGE(E11:E60)</f>
        <v>134.7234</v>
      </c>
      <c r="Q60" s="30" t="n">
        <f aca="false">Q59+(2/13)*(E60-Q59)</f>
        <v>138.110907483526</v>
      </c>
      <c r="R60" s="30" t="n">
        <f aca="false">R59+(2/27)*(E60-R59)</f>
        <v>136.623998047455</v>
      </c>
      <c r="S60" s="33" t="n">
        <f aca="false">Q60-R60</f>
        <v>1.48690943607082</v>
      </c>
      <c r="T60" s="33" t="n">
        <f aca="false">T59+(2/10)*(S60-T59)</f>
        <v>0.948116362600191</v>
      </c>
      <c r="U60" s="33" t="n">
        <f aca="false">S60-T60</f>
        <v>0.538793073470626</v>
      </c>
      <c r="V60" s="32" t="str">
        <f aca="false">IF(M60="","",IF(M60&lt;Assumptions!$B$5,"BUY",IF(M60&gt;Assumptions!$B$4,"SELL","HOLD")))</f>
        <v>HOLD</v>
      </c>
      <c r="W60" s="32" t="str">
        <f aca="false">IF(O60="","",IF(E60&gt;O60,"BUY","SELL"))</f>
        <v>BUY</v>
      </c>
      <c r="X60" s="32" t="str">
        <f aca="false">IF(T60="","",IF(S60&gt;T60,"BUY","SELL"))</f>
        <v>BUY</v>
      </c>
      <c r="Y60" s="34" t="n">
        <f aca="false">IF(OR(V60="",W60="",X60=""),"",IFERROR(IF(V60="BUY",1,IF(V60="SELL",-1,0))+IF(W60="BUY",1,IF(W60="SELL",-1,0))+IF(X60="BUY",1,IF(X60="SELL",-1,0)),0))</f>
        <v>2</v>
      </c>
      <c r="Z60" s="32" t="str">
        <f aca="false">IF(Y60="","",IF(Y60&gt;=2,"STRONG BUY",IF(Y60=1,"BUY",IF(Y60=0,"HOLD",IF(Y60=-1,"SELL","STRONG SELL")))))</f>
        <v>STRONG BUY</v>
      </c>
    </row>
    <row r="61" customFormat="false" ht="15" hidden="false" customHeight="false" outlineLevel="0" collapsed="false">
      <c r="A61" s="24" t="n">
        <v>45853</v>
      </c>
      <c r="B61" s="25" t="n">
        <v>140.12</v>
      </c>
      <c r="C61" s="25" t="n">
        <v>140.93</v>
      </c>
      <c r="D61" s="25" t="n">
        <v>139.53</v>
      </c>
      <c r="E61" s="25" t="n">
        <v>140.23</v>
      </c>
      <c r="F61" s="26" t="n">
        <v>17153135</v>
      </c>
      <c r="G61" s="27" t="n">
        <f aca="false">E61-E60</f>
        <v>0.679999999999978</v>
      </c>
      <c r="H61" s="28" t="n">
        <f aca="false">G61/E60</f>
        <v>0.00487280544607652</v>
      </c>
      <c r="I61" s="29" t="n">
        <f aca="false">MAX(G61,0)</f>
        <v>0.679999999999978</v>
      </c>
      <c r="J61" s="29" t="n">
        <f aca="false">MAX(-G61,0)</f>
        <v>0</v>
      </c>
      <c r="K61" s="29" t="n">
        <f aca="false">(K60*13+I61)/14</f>
        <v>1.04477968467862</v>
      </c>
      <c r="L61" s="29" t="n">
        <f aca="false">(L60*13+J61)/14</f>
        <v>0.779975676783319</v>
      </c>
      <c r="M61" s="31" t="n">
        <f aca="false">IF(L61=0,100,100-100/(1+K61/MAX(L61,0.000001)))</f>
        <v>57.2558769654238</v>
      </c>
      <c r="N61" s="30" t="n">
        <f aca="false">AVERAGE(E42:E61)</f>
        <v>137.2605</v>
      </c>
      <c r="O61" s="30" t="n">
        <f aca="false">AVERAGE(E12:E61)</f>
        <v>134.6596</v>
      </c>
      <c r="Q61" s="30" t="n">
        <f aca="false">Q60+(2/13)*(E61-Q60)</f>
        <v>138.43692171683</v>
      </c>
      <c r="R61" s="30" t="n">
        <f aca="false">R60+(2/27)*(E61-R60)</f>
        <v>136.891109303199</v>
      </c>
      <c r="S61" s="33" t="n">
        <f aca="false">Q61-R61</f>
        <v>1.54581241363044</v>
      </c>
      <c r="T61" s="33" t="n">
        <f aca="false">T60+(2/10)*(S61-T60)</f>
        <v>1.06765557280624</v>
      </c>
      <c r="U61" s="33" t="n">
        <f aca="false">S61-T61</f>
        <v>0.478156840824202</v>
      </c>
      <c r="V61" s="32" t="str">
        <f aca="false">IF(M61="","",IF(M61&lt;Assumptions!$B$5,"BUY",IF(M61&gt;Assumptions!$B$4,"SELL","HOLD")))</f>
        <v>HOLD</v>
      </c>
      <c r="W61" s="32" t="str">
        <f aca="false">IF(O61="","",IF(E61&gt;O61,"BUY","SELL"))</f>
        <v>BUY</v>
      </c>
      <c r="X61" s="32" t="str">
        <f aca="false">IF(T61="","",IF(S61&gt;T61,"BUY","SELL"))</f>
        <v>BUY</v>
      </c>
      <c r="Y61" s="34" t="n">
        <f aca="false">IF(OR(V61="",W61="",X61=""),"",IFERROR(IF(V61="BUY",1,IF(V61="SELL",-1,0))+IF(W61="BUY",1,IF(W61="SELL",-1,0))+IF(X61="BUY",1,IF(X61="SELL",-1,0)),0))</f>
        <v>2</v>
      </c>
      <c r="Z61" s="32" t="str">
        <f aca="false">IF(Y61="","",IF(Y61&gt;=2,"STRONG BUY",IF(Y61=1,"BUY",IF(Y61=0,"HOLD",IF(Y61=-1,"SELL","STRONG SELL")))))</f>
        <v>STRONG BUY</v>
      </c>
    </row>
    <row r="62" customFormat="false" ht="15" hidden="false" customHeight="false" outlineLevel="0" collapsed="false">
      <c r="A62" s="24" t="n">
        <v>45854</v>
      </c>
      <c r="B62" s="25" t="n">
        <v>142.22</v>
      </c>
      <c r="C62" s="25" t="n">
        <v>142.22</v>
      </c>
      <c r="D62" s="25" t="n">
        <v>141.3</v>
      </c>
      <c r="E62" s="25" t="n">
        <v>141.76</v>
      </c>
      <c r="F62" s="26" t="n">
        <v>11663655</v>
      </c>
      <c r="G62" s="27" t="n">
        <f aca="false">E62-E61</f>
        <v>1.53</v>
      </c>
      <c r="H62" s="28" t="n">
        <f aca="false">G62/E61</f>
        <v>0.0109106467945518</v>
      </c>
      <c r="I62" s="29" t="n">
        <f aca="false">MAX(G62,0)</f>
        <v>1.53</v>
      </c>
      <c r="J62" s="29" t="n">
        <f aca="false">MAX(-G62,0)</f>
        <v>0</v>
      </c>
      <c r="K62" s="29" t="n">
        <f aca="false">(K61*13+I62)/14</f>
        <v>1.07943827863015</v>
      </c>
      <c r="L62" s="29" t="n">
        <f aca="false">(L61*13+J62)/14</f>
        <v>0.724263128441654</v>
      </c>
      <c r="M62" s="31" t="n">
        <f aca="false">IF(L62=0,100,100-100/(1+K62/MAX(L62,0.000001)))</f>
        <v>59.8457302521347</v>
      </c>
      <c r="N62" s="30" t="n">
        <f aca="false">AVERAGE(E43:E62)</f>
        <v>137.7225</v>
      </c>
      <c r="O62" s="30" t="n">
        <f aca="false">AVERAGE(E13:E62)</f>
        <v>134.6444</v>
      </c>
      <c r="Q62" s="30" t="n">
        <f aca="false">Q61+(2/13)*(E62-Q61)</f>
        <v>138.948164529625</v>
      </c>
      <c r="R62" s="30" t="n">
        <f aca="false">R61+(2/27)*(E62-R61)</f>
        <v>137.251767873333</v>
      </c>
      <c r="S62" s="33" t="n">
        <f aca="false">Q62-R62</f>
        <v>1.69639665629251</v>
      </c>
      <c r="T62" s="33" t="n">
        <f aca="false">T61+(2/10)*(S62-T61)</f>
        <v>1.19340378950349</v>
      </c>
      <c r="U62" s="33" t="n">
        <f aca="false">S62-T62</f>
        <v>0.502992866789012</v>
      </c>
      <c r="V62" s="32" t="str">
        <f aca="false">IF(M62="","",IF(M62&lt;Assumptions!$B$5,"BUY",IF(M62&gt;Assumptions!$B$4,"SELL","HOLD")))</f>
        <v>HOLD</v>
      </c>
      <c r="W62" s="32" t="str">
        <f aca="false">IF(O62="","",IF(E62&gt;O62,"BUY","SELL"))</f>
        <v>BUY</v>
      </c>
      <c r="X62" s="32" t="str">
        <f aca="false">IF(T62="","",IF(S62&gt;T62,"BUY","SELL"))</f>
        <v>BUY</v>
      </c>
      <c r="Y62" s="34" t="n">
        <f aca="false">IF(OR(V62="",W62="",X62=""),"",IFERROR(IF(V62="BUY",1,IF(V62="SELL",-1,0))+IF(W62="BUY",1,IF(W62="SELL",-1,0))+IF(X62="BUY",1,IF(X62="SELL",-1,0)),0))</f>
        <v>2</v>
      </c>
      <c r="Z62" s="32" t="str">
        <f aca="false">IF(Y62="","",IF(Y62&gt;=2,"STRONG BUY",IF(Y62=1,"BUY",IF(Y62=0,"HOLD",IF(Y62=-1,"SELL","STRONG SELL")))))</f>
        <v>STRONG BUY</v>
      </c>
    </row>
    <row r="63" customFormat="false" ht="15" hidden="false" customHeight="false" outlineLevel="0" collapsed="false">
      <c r="A63" s="24" t="n">
        <v>45855</v>
      </c>
      <c r="B63" s="25" t="n">
        <v>140.61</v>
      </c>
      <c r="C63" s="25" t="n">
        <v>142.31</v>
      </c>
      <c r="D63" s="25" t="n">
        <v>139.43</v>
      </c>
      <c r="E63" s="25" t="n">
        <v>140.87</v>
      </c>
      <c r="F63" s="26" t="n">
        <v>11367152</v>
      </c>
      <c r="G63" s="27" t="n">
        <f aca="false">E63-E62</f>
        <v>-0.889999999999986</v>
      </c>
      <c r="H63" s="28" t="n">
        <f aca="false">G63/E62</f>
        <v>-0.00627821670428884</v>
      </c>
      <c r="I63" s="29" t="n">
        <f aca="false">MAX(G63,0)</f>
        <v>0</v>
      </c>
      <c r="J63" s="29" t="n">
        <f aca="false">MAX(-G63,0)</f>
        <v>0.889999999999986</v>
      </c>
      <c r="K63" s="29" t="n">
        <f aca="false">(K62*13+I63)/14</f>
        <v>1.00233554444228</v>
      </c>
      <c r="L63" s="29" t="n">
        <f aca="false">(L62*13+J63)/14</f>
        <v>0.736101476410106</v>
      </c>
      <c r="M63" s="31" t="n">
        <f aca="false">IF(L63=0,100,100-100/(1+K63/MAX(L63,0.000001)))</f>
        <v>57.6572825140838</v>
      </c>
      <c r="N63" s="30" t="n">
        <f aca="false">AVERAGE(E44:E63)</f>
        <v>138.1495</v>
      </c>
      <c r="O63" s="30" t="n">
        <f aca="false">AVERAGE(E14:E63)</f>
        <v>134.5554</v>
      </c>
      <c r="Q63" s="30" t="n">
        <f aca="false">Q62+(2/13)*(E63-Q62)</f>
        <v>139.243831525067</v>
      </c>
      <c r="R63" s="30" t="n">
        <f aca="false">R62+(2/27)*(E63-R62)</f>
        <v>137.519785067901</v>
      </c>
      <c r="S63" s="33" t="n">
        <f aca="false">Q63-R63</f>
        <v>1.72404645716685</v>
      </c>
      <c r="T63" s="33" t="n">
        <f aca="false">T62+(2/10)*(S63-T62)</f>
        <v>1.29953232303617</v>
      </c>
      <c r="U63" s="33" t="n">
        <f aca="false">S63-T63</f>
        <v>0.424514134130684</v>
      </c>
      <c r="V63" s="32" t="str">
        <f aca="false">IF(M63="","",IF(M63&lt;Assumptions!$B$5,"BUY",IF(M63&gt;Assumptions!$B$4,"SELL","HOLD")))</f>
        <v>HOLD</v>
      </c>
      <c r="W63" s="32" t="str">
        <f aca="false">IF(O63="","",IF(E63&gt;O63,"BUY","SELL"))</f>
        <v>BUY</v>
      </c>
      <c r="X63" s="32" t="str">
        <f aca="false">IF(T63="","",IF(S63&gt;T63,"BUY","SELL"))</f>
        <v>BUY</v>
      </c>
      <c r="Y63" s="34" t="n">
        <f aca="false">IF(OR(V63="",W63="",X63=""),"",IFERROR(IF(V63="BUY",1,IF(V63="SELL",-1,0))+IF(W63="BUY",1,IF(W63="SELL",-1,0))+IF(X63="BUY",1,IF(X63="SELL",-1,0)),0))</f>
        <v>2</v>
      </c>
      <c r="Z63" s="32" t="str">
        <f aca="false">IF(Y63="","",IF(Y63&gt;=2,"STRONG BUY",IF(Y63=1,"BUY",IF(Y63=0,"HOLD",IF(Y63=-1,"SELL","STRONG SELL")))))</f>
        <v>STRONG BUY</v>
      </c>
    </row>
    <row r="64" customFormat="false" ht="15" hidden="false" customHeight="false" outlineLevel="0" collapsed="false">
      <c r="A64" s="24" t="n">
        <v>45856</v>
      </c>
      <c r="B64" s="25" t="n">
        <v>139.51</v>
      </c>
      <c r="C64" s="25" t="n">
        <v>139.96</v>
      </c>
      <c r="D64" s="25" t="n">
        <v>137.8</v>
      </c>
      <c r="E64" s="25" t="n">
        <v>138.88</v>
      </c>
      <c r="F64" s="26" t="n">
        <v>13784349</v>
      </c>
      <c r="G64" s="27" t="n">
        <f aca="false">E64-E63</f>
        <v>-1.99000000000001</v>
      </c>
      <c r="H64" s="28" t="n">
        <f aca="false">G64/E63</f>
        <v>-0.0141264996095692</v>
      </c>
      <c r="I64" s="29" t="n">
        <f aca="false">MAX(G64,0)</f>
        <v>0</v>
      </c>
      <c r="J64" s="29" t="n">
        <f aca="false">MAX(-G64,0)</f>
        <v>1.99000000000001</v>
      </c>
      <c r="K64" s="29" t="n">
        <f aca="false">(K63*13+I64)/14</f>
        <v>0.930740148410691</v>
      </c>
      <c r="L64" s="29" t="n">
        <f aca="false">(L63*13+J64)/14</f>
        <v>0.825665656666528</v>
      </c>
      <c r="M64" s="31" t="n">
        <f aca="false">IF(L64=0,100,100-100/(1+K64/MAX(L64,0.000001)))</f>
        <v>52.9911792434421</v>
      </c>
      <c r="N64" s="30" t="n">
        <f aca="false">AVERAGE(E45:E64)</f>
        <v>138.3775</v>
      </c>
      <c r="O64" s="30" t="n">
        <f aca="false">AVERAGE(E15:E64)</f>
        <v>134.3974</v>
      </c>
      <c r="Q64" s="30" t="n">
        <f aca="false">Q63+(2/13)*(E64-Q63)</f>
        <v>139.187857444288</v>
      </c>
      <c r="R64" s="30" t="n">
        <f aca="false">R63+(2/27)*(E64-R63)</f>
        <v>137.620541729538</v>
      </c>
      <c r="S64" s="33" t="n">
        <f aca="false">Q64-R64</f>
        <v>1.56731571475024</v>
      </c>
      <c r="T64" s="33" t="n">
        <f aca="false">T63+(2/10)*(S64-T63)</f>
        <v>1.35308900137898</v>
      </c>
      <c r="U64" s="33" t="n">
        <f aca="false">S64-T64</f>
        <v>0.214226713371257</v>
      </c>
      <c r="V64" s="32" t="str">
        <f aca="false">IF(M64="","",IF(M64&lt;Assumptions!$B$5,"BUY",IF(M64&gt;Assumptions!$B$4,"SELL","HOLD")))</f>
        <v>HOLD</v>
      </c>
      <c r="W64" s="32" t="str">
        <f aca="false">IF(O64="","",IF(E64&gt;O64,"BUY","SELL"))</f>
        <v>BUY</v>
      </c>
      <c r="X64" s="32" t="str">
        <f aca="false">IF(T64="","",IF(S64&gt;T64,"BUY","SELL"))</f>
        <v>BUY</v>
      </c>
      <c r="Y64" s="34" t="n">
        <f aca="false">IF(OR(V64="",W64="",X64=""),"",IFERROR(IF(V64="BUY",1,IF(V64="SELL",-1,0))+IF(W64="BUY",1,IF(W64="SELL",-1,0))+IF(X64="BUY",1,IF(X64="SELL",-1,0)),0))</f>
        <v>2</v>
      </c>
      <c r="Z64" s="32" t="str">
        <f aca="false">IF(Y64="","",IF(Y64&gt;=2,"STRONG BUY",IF(Y64=1,"BUY",IF(Y64=0,"HOLD",IF(Y64=-1,"SELL","STRONG SELL")))))</f>
        <v>STRONG BUY</v>
      </c>
    </row>
    <row r="65" customFormat="false" ht="15" hidden="false" customHeight="false" outlineLevel="0" collapsed="false">
      <c r="A65" s="24" t="n">
        <v>45859</v>
      </c>
      <c r="B65" s="25" t="n">
        <v>140.16</v>
      </c>
      <c r="C65" s="25" t="n">
        <v>140.81</v>
      </c>
      <c r="D65" s="25" t="n">
        <v>139.37</v>
      </c>
      <c r="E65" s="25" t="n">
        <v>140.09</v>
      </c>
      <c r="F65" s="26" t="n">
        <v>10900727</v>
      </c>
      <c r="G65" s="27" t="n">
        <f aca="false">E65-E64</f>
        <v>1.21000000000001</v>
      </c>
      <c r="H65" s="28" t="n">
        <f aca="false">G65/E64</f>
        <v>0.00871255760368669</v>
      </c>
      <c r="I65" s="29" t="n">
        <f aca="false">MAX(G65,0)</f>
        <v>1.21000000000001</v>
      </c>
      <c r="J65" s="29" t="n">
        <f aca="false">MAX(-G65,0)</f>
        <v>0</v>
      </c>
      <c r="K65" s="29" t="n">
        <f aca="false">(K64*13+I65)/14</f>
        <v>0.950687280667071</v>
      </c>
      <c r="L65" s="29" t="n">
        <f aca="false">(L64*13+J65)/14</f>
        <v>0.766689538333204</v>
      </c>
      <c r="M65" s="31" t="n">
        <f aca="false">IF(L65=0,100,100-100/(1+K65/MAX(L65,0.000001)))</f>
        <v>55.3569414789521</v>
      </c>
      <c r="N65" s="30" t="n">
        <f aca="false">AVERAGE(E46:E65)</f>
        <v>138.6655</v>
      </c>
      <c r="O65" s="30" t="n">
        <f aca="false">AVERAGE(E16:E65)</f>
        <v>134.3418</v>
      </c>
      <c r="Q65" s="30" t="n">
        <f aca="false">Q64+(2/13)*(E65-Q64)</f>
        <v>139.326648606705</v>
      </c>
      <c r="R65" s="30" t="n">
        <f aca="false">R64+(2/27)*(E65-R64)</f>
        <v>137.803464564387</v>
      </c>
      <c r="S65" s="33" t="n">
        <f aca="false">Q65-R65</f>
        <v>1.52318404231841</v>
      </c>
      <c r="T65" s="33" t="n">
        <f aca="false">T64+(2/10)*(S65-T64)</f>
        <v>1.38710800956686</v>
      </c>
      <c r="U65" s="33" t="n">
        <f aca="false">S65-T65</f>
        <v>0.13607603275154</v>
      </c>
      <c r="V65" s="32" t="str">
        <f aca="false">IF(M65="","",IF(M65&lt;Assumptions!$B$5,"BUY",IF(M65&gt;Assumptions!$B$4,"SELL","HOLD")))</f>
        <v>HOLD</v>
      </c>
      <c r="W65" s="32" t="str">
        <f aca="false">IF(O65="","",IF(E65&gt;O65,"BUY","SELL"))</f>
        <v>BUY</v>
      </c>
      <c r="X65" s="32" t="str">
        <f aca="false">IF(T65="","",IF(S65&gt;T65,"BUY","SELL"))</f>
        <v>BUY</v>
      </c>
      <c r="Y65" s="34" t="n">
        <f aca="false">IF(OR(V65="",W65="",X65=""),"",IFERROR(IF(V65="BUY",1,IF(V65="SELL",-1,0))+IF(W65="BUY",1,IF(W65="SELL",-1,0))+IF(X65="BUY",1,IF(X65="SELL",-1,0)),0))</f>
        <v>2</v>
      </c>
      <c r="Z65" s="32" t="str">
        <f aca="false">IF(Y65="","",IF(Y65&gt;=2,"STRONG BUY",IF(Y65=1,"BUY",IF(Y65=0,"HOLD",IF(Y65=-1,"SELL","STRONG SELL")))))</f>
        <v>STRONG BUY</v>
      </c>
    </row>
    <row r="66" customFormat="false" ht="15" hidden="false" customHeight="false" outlineLevel="0" collapsed="false">
      <c r="A66" s="24" t="n">
        <v>45860</v>
      </c>
      <c r="B66" s="25" t="n">
        <v>140.09</v>
      </c>
      <c r="C66" s="25" t="n">
        <v>140.49</v>
      </c>
      <c r="D66" s="25" t="n">
        <v>140.09</v>
      </c>
      <c r="E66" s="25" t="n">
        <v>140.29</v>
      </c>
      <c r="F66" s="26" t="n">
        <v>13948399</v>
      </c>
      <c r="G66" s="27" t="n">
        <f aca="false">E66-E65</f>
        <v>0.199999999999989</v>
      </c>
      <c r="H66" s="28" t="n">
        <f aca="false">G66/E65</f>
        <v>0.00142765365122413</v>
      </c>
      <c r="I66" s="29" t="n">
        <f aca="false">MAX(G66,0)</f>
        <v>0.199999999999989</v>
      </c>
      <c r="J66" s="29" t="n">
        <f aca="false">MAX(-G66,0)</f>
        <v>0</v>
      </c>
      <c r="K66" s="29" t="n">
        <f aca="false">(K65*13+I66)/14</f>
        <v>0.897066760619422</v>
      </c>
      <c r="L66" s="29" t="n">
        <f aca="false">(L65*13+J66)/14</f>
        <v>0.711925999880832</v>
      </c>
      <c r="M66" s="31" t="n">
        <f aca="false">IF(L66=0,100,100-100/(1+K66/MAX(L66,0.000001)))</f>
        <v>55.7533124226435</v>
      </c>
      <c r="N66" s="30" t="n">
        <f aca="false">AVERAGE(E47:E66)</f>
        <v>138.9575</v>
      </c>
      <c r="O66" s="30" t="n">
        <f aca="false">AVERAGE(E17:E66)</f>
        <v>134.3786</v>
      </c>
      <c r="Q66" s="30" t="n">
        <f aca="false">Q65+(2/13)*(E66-Q65)</f>
        <v>139.474856513366</v>
      </c>
      <c r="R66" s="30" t="n">
        <f aca="false">R65+(2/27)*(E66-R65)</f>
        <v>137.987652374432</v>
      </c>
      <c r="S66" s="33" t="n">
        <f aca="false">Q66-R66</f>
        <v>1.48720413893372</v>
      </c>
      <c r="T66" s="33" t="n">
        <f aca="false">T65+(2/10)*(S66-T65)</f>
        <v>1.40712723544024</v>
      </c>
      <c r="U66" s="33" t="n">
        <f aca="false">S66-T66</f>
        <v>0.0800769034934841</v>
      </c>
      <c r="V66" s="32" t="str">
        <f aca="false">IF(M66="","",IF(M66&lt;Assumptions!$B$5,"BUY",IF(M66&gt;Assumptions!$B$4,"SELL","HOLD")))</f>
        <v>HOLD</v>
      </c>
      <c r="W66" s="32" t="str">
        <f aca="false">IF(O66="","",IF(E66&gt;O66,"BUY","SELL"))</f>
        <v>BUY</v>
      </c>
      <c r="X66" s="32" t="str">
        <f aca="false">IF(T66="","",IF(S66&gt;T66,"BUY","SELL"))</f>
        <v>BUY</v>
      </c>
      <c r="Y66" s="34" t="n">
        <f aca="false">IF(OR(V66="",W66="",X66=""),"",IFERROR(IF(V66="BUY",1,IF(V66="SELL",-1,0))+IF(W66="BUY",1,IF(W66="SELL",-1,0))+IF(X66="BUY",1,IF(X66="SELL",-1,0)),0))</f>
        <v>2</v>
      </c>
      <c r="Z66" s="32" t="str">
        <f aca="false">IF(Y66="","",IF(Y66&gt;=2,"STRONG BUY",IF(Y66=1,"BUY",IF(Y66=0,"HOLD",IF(Y66=-1,"SELL","STRONG SELL")))))</f>
        <v>STRONG BUY</v>
      </c>
    </row>
    <row r="67" customFormat="false" ht="15" hidden="false" customHeight="false" outlineLevel="0" collapsed="false">
      <c r="A67" s="24" t="n">
        <v>45861</v>
      </c>
      <c r="B67" s="25" t="n">
        <v>141.35</v>
      </c>
      <c r="C67" s="25" t="n">
        <v>141.35</v>
      </c>
      <c r="D67" s="25" t="n">
        <v>141.29</v>
      </c>
      <c r="E67" s="25" t="n">
        <v>141.32</v>
      </c>
      <c r="F67" s="26" t="n">
        <v>5861169</v>
      </c>
      <c r="G67" s="27" t="n">
        <f aca="false">E67-E66</f>
        <v>1.03</v>
      </c>
      <c r="H67" s="28" t="n">
        <f aca="false">G67/E66</f>
        <v>0.00734193456411719</v>
      </c>
      <c r="I67" s="29" t="n">
        <f aca="false">MAX(G67,0)</f>
        <v>1.03</v>
      </c>
      <c r="J67" s="29" t="n">
        <f aca="false">MAX(-G67,0)</f>
        <v>0</v>
      </c>
      <c r="K67" s="29" t="n">
        <f aca="false">(K66*13+I67)/14</f>
        <v>0.906561992003749</v>
      </c>
      <c r="L67" s="29" t="n">
        <f aca="false">(L66*13+J67)/14</f>
        <v>0.661074142746487</v>
      </c>
      <c r="M67" s="31" t="n">
        <f aca="false">IF(L67=0,100,100-100/(1+K67/MAX(L67,0.000001)))</f>
        <v>57.8298733939421</v>
      </c>
      <c r="N67" s="30" t="n">
        <f aca="false">AVERAGE(E48:E67)</f>
        <v>139.1805</v>
      </c>
      <c r="O67" s="30" t="n">
        <f aca="false">AVERAGE(E18:E67)</f>
        <v>134.4716</v>
      </c>
      <c r="Q67" s="30" t="n">
        <f aca="false">Q66+(2/13)*(E67-Q66)</f>
        <v>139.758724742079</v>
      </c>
      <c r="R67" s="30" t="n">
        <f aca="false">R66+(2/27)*(E67-R66)</f>
        <v>138.234492939289</v>
      </c>
      <c r="S67" s="33" t="n">
        <f aca="false">Q67-R67</f>
        <v>1.52423180278979</v>
      </c>
      <c r="T67" s="33" t="n">
        <f aca="false">T66+(2/10)*(S67-T66)</f>
        <v>1.43054814891015</v>
      </c>
      <c r="U67" s="33" t="n">
        <f aca="false">S67-T67</f>
        <v>0.0936836538796395</v>
      </c>
      <c r="V67" s="32" t="str">
        <f aca="false">IF(M67="","",IF(M67&lt;Assumptions!$B$5,"BUY",IF(M67&gt;Assumptions!$B$4,"SELL","HOLD")))</f>
        <v>HOLD</v>
      </c>
      <c r="W67" s="32" t="str">
        <f aca="false">IF(O67="","",IF(E67&gt;O67,"BUY","SELL"))</f>
        <v>BUY</v>
      </c>
      <c r="X67" s="32" t="str">
        <f aca="false">IF(T67="","",IF(S67&gt;T67,"BUY","SELL"))</f>
        <v>BUY</v>
      </c>
      <c r="Y67" s="34" t="n">
        <f aca="false">IF(OR(V67="",W67="",X67=""),"",IFERROR(IF(V67="BUY",1,IF(V67="SELL",-1,0))+IF(W67="BUY",1,IF(W67="SELL",-1,0))+IF(X67="BUY",1,IF(X67="SELL",-1,0)),0))</f>
        <v>2</v>
      </c>
      <c r="Z67" s="32" t="str">
        <f aca="false">IF(Y67="","",IF(Y67&gt;=2,"STRONG BUY",IF(Y67=1,"BUY",IF(Y67=0,"HOLD",IF(Y67=-1,"SELL","STRONG SELL")))))</f>
        <v>STRONG BUY</v>
      </c>
    </row>
    <row r="68" customFormat="false" ht="15" hidden="false" customHeight="false" outlineLevel="0" collapsed="false">
      <c r="A68" s="24" t="n">
        <v>45862</v>
      </c>
      <c r="B68" s="25" t="n">
        <v>141.99</v>
      </c>
      <c r="C68" s="25" t="n">
        <v>141.99</v>
      </c>
      <c r="D68" s="25" t="n">
        <v>140.09</v>
      </c>
      <c r="E68" s="25" t="n">
        <v>141.04</v>
      </c>
      <c r="F68" s="26" t="n">
        <v>8303789</v>
      </c>
      <c r="G68" s="27" t="n">
        <f aca="false">E68-E67</f>
        <v>-0.280000000000001</v>
      </c>
      <c r="H68" s="28" t="n">
        <f aca="false">G68/E67</f>
        <v>-0.00198131899235778</v>
      </c>
      <c r="I68" s="29" t="n">
        <f aca="false">MAX(G68,0)</f>
        <v>0</v>
      </c>
      <c r="J68" s="29" t="n">
        <f aca="false">MAX(-G68,0)</f>
        <v>0.280000000000001</v>
      </c>
      <c r="K68" s="29" t="n">
        <f aca="false">(K67*13+I68)/14</f>
        <v>0.841807564003481</v>
      </c>
      <c r="L68" s="29" t="n">
        <f aca="false">(L67*13+J68)/14</f>
        <v>0.633854561121738</v>
      </c>
      <c r="M68" s="31" t="n">
        <f aca="false">IF(L68=0,100,100-100/(1+K68/MAX(L68,0.000001)))</f>
        <v>57.046091355909</v>
      </c>
      <c r="N68" s="30" t="n">
        <f aca="false">AVERAGE(E49:E68)</f>
        <v>139.333</v>
      </c>
      <c r="O68" s="30" t="n">
        <f aca="false">AVERAGE(E19:E68)</f>
        <v>134.5766</v>
      </c>
      <c r="Q68" s="30" t="n">
        <f aca="false">Q67+(2/13)*(E68-Q67)</f>
        <v>139.955844012528</v>
      </c>
      <c r="R68" s="30" t="n">
        <f aca="false">R67+(2/27)*(E68-R67)</f>
        <v>138.442308277119</v>
      </c>
      <c r="S68" s="33" t="n">
        <f aca="false">Q68-R68</f>
        <v>1.51353573540877</v>
      </c>
      <c r="T68" s="33" t="n">
        <f aca="false">T67+(2/10)*(S68-T67)</f>
        <v>1.44714566620987</v>
      </c>
      <c r="U68" s="33" t="n">
        <f aca="false">S68-T68</f>
        <v>0.0663900691988961</v>
      </c>
      <c r="V68" s="32" t="str">
        <f aca="false">IF(M68="","",IF(M68&lt;Assumptions!$B$5,"BUY",IF(M68&gt;Assumptions!$B$4,"SELL","HOLD")))</f>
        <v>HOLD</v>
      </c>
      <c r="W68" s="32" t="str">
        <f aca="false">IF(O68="","",IF(E68&gt;O68,"BUY","SELL"))</f>
        <v>BUY</v>
      </c>
      <c r="X68" s="32" t="str">
        <f aca="false">IF(T68="","",IF(S68&gt;T68,"BUY","SELL"))</f>
        <v>BUY</v>
      </c>
      <c r="Y68" s="34" t="n">
        <f aca="false">IF(OR(V68="",W68="",X68=""),"",IFERROR(IF(V68="BUY",1,IF(V68="SELL",-1,0))+IF(W68="BUY",1,IF(W68="SELL",-1,0))+IF(X68="BUY",1,IF(X68="SELL",-1,0)),0))</f>
        <v>2</v>
      </c>
      <c r="Z68" s="32" t="str">
        <f aca="false">IF(Y68="","",IF(Y68&gt;=2,"STRONG BUY",IF(Y68=1,"BUY",IF(Y68=0,"HOLD",IF(Y68=-1,"SELL","STRONG SELL")))))</f>
        <v>STRONG BUY</v>
      </c>
    </row>
    <row r="69" customFormat="false" ht="15" hidden="false" customHeight="false" outlineLevel="0" collapsed="false">
      <c r="A69" s="24" t="n">
        <v>45863</v>
      </c>
      <c r="B69" s="25" t="n">
        <v>145.64</v>
      </c>
      <c r="C69" s="25" t="n">
        <v>145.64</v>
      </c>
      <c r="D69" s="25" t="n">
        <v>145.14</v>
      </c>
      <c r="E69" s="25" t="n">
        <v>145.39</v>
      </c>
      <c r="F69" s="26" t="n">
        <v>7874820</v>
      </c>
      <c r="G69" s="27" t="n">
        <f aca="false">E69-E68</f>
        <v>4.34999999999999</v>
      </c>
      <c r="H69" s="28" t="n">
        <f aca="false">G69/E68</f>
        <v>0.0308423142370958</v>
      </c>
      <c r="I69" s="29" t="n">
        <f aca="false">MAX(G69,0)</f>
        <v>4.34999999999999</v>
      </c>
      <c r="J69" s="29" t="n">
        <f aca="false">MAX(-G69,0)</f>
        <v>0</v>
      </c>
      <c r="K69" s="29" t="n">
        <f aca="false">(K68*13+I69)/14</f>
        <v>1.09239273800323</v>
      </c>
      <c r="L69" s="29" t="n">
        <f aca="false">(L68*13+J69)/14</f>
        <v>0.588579235327328</v>
      </c>
      <c r="M69" s="31" t="n">
        <f aca="false">IF(L69=0,100,100-100/(1+K69/MAX(L69,0.000001)))</f>
        <v>64.9857793785129</v>
      </c>
      <c r="N69" s="30" t="n">
        <f aca="false">AVERAGE(E50:E69)</f>
        <v>139.5085</v>
      </c>
      <c r="O69" s="30" t="n">
        <f aca="false">AVERAGE(E20:E69)</f>
        <v>134.775</v>
      </c>
      <c r="Q69" s="30" t="n">
        <f aca="false">Q68+(2/13)*(E69-Q68)</f>
        <v>140.791868010601</v>
      </c>
      <c r="R69" s="30" t="n">
        <f aca="false">R68+(2/27)*(E69-R68)</f>
        <v>138.956952108444</v>
      </c>
      <c r="S69" s="33" t="n">
        <f aca="false">Q69-R69</f>
        <v>1.83491590215687</v>
      </c>
      <c r="T69" s="33" t="n">
        <f aca="false">T68+(2/10)*(S69-T68)</f>
        <v>1.52469971339927</v>
      </c>
      <c r="U69" s="33" t="n">
        <f aca="false">S69-T69</f>
        <v>0.310216188757596</v>
      </c>
      <c r="V69" s="32" t="str">
        <f aca="false">IF(M69="","",IF(M69&lt;Assumptions!$B$5,"BUY",IF(M69&gt;Assumptions!$B$4,"SELL","HOLD")))</f>
        <v>HOLD</v>
      </c>
      <c r="W69" s="32" t="str">
        <f aca="false">IF(O69="","",IF(E69&gt;O69,"BUY","SELL"))</f>
        <v>BUY</v>
      </c>
      <c r="X69" s="32" t="str">
        <f aca="false">IF(T69="","",IF(S69&gt;T69,"BUY","SELL"))</f>
        <v>BUY</v>
      </c>
      <c r="Y69" s="34" t="n">
        <f aca="false">IF(OR(V69="",W69="",X69=""),"",IFERROR(IF(V69="BUY",1,IF(V69="SELL",-1,0))+IF(W69="BUY",1,IF(W69="SELL",-1,0))+IF(X69="BUY",1,IF(X69="SELL",-1,0)),0))</f>
        <v>2</v>
      </c>
      <c r="Z69" s="32" t="str">
        <f aca="false">IF(Y69="","",IF(Y69&gt;=2,"STRONG BUY",IF(Y69=1,"BUY",IF(Y69=0,"HOLD",IF(Y69=-1,"SELL","STRONG SELL")))))</f>
        <v>STRONG BUY</v>
      </c>
    </row>
    <row r="70" customFormat="false" ht="15" hidden="false" customHeight="false" outlineLevel="0" collapsed="false">
      <c r="A70" s="24" t="n">
        <v>45866</v>
      </c>
      <c r="B70" s="25" t="n">
        <v>143.65</v>
      </c>
      <c r="C70" s="25" t="n">
        <v>145.18</v>
      </c>
      <c r="D70" s="25" t="n">
        <v>142.2</v>
      </c>
      <c r="E70" s="25" t="n">
        <v>143.69</v>
      </c>
      <c r="F70" s="26" t="n">
        <v>12627816</v>
      </c>
      <c r="G70" s="27" t="n">
        <f aca="false">E70-E69</f>
        <v>-1.69999999999999</v>
      </c>
      <c r="H70" s="28" t="n">
        <f aca="false">G70/E69</f>
        <v>-0.0116926886305797</v>
      </c>
      <c r="I70" s="29" t="n">
        <f aca="false">MAX(G70,0)</f>
        <v>0</v>
      </c>
      <c r="J70" s="29" t="n">
        <f aca="false">MAX(-G70,0)</f>
        <v>1.69999999999999</v>
      </c>
      <c r="K70" s="29" t="n">
        <f aca="false">(K69*13+I70)/14</f>
        <v>1.01436468528872</v>
      </c>
      <c r="L70" s="29" t="n">
        <f aca="false">(L69*13+J70)/14</f>
        <v>0.667966432803947</v>
      </c>
      <c r="M70" s="31" t="n">
        <f aca="false">IF(L70=0,100,100-100/(1+K70/MAX(L70,0.000001)))</f>
        <v>60.2951865051839</v>
      </c>
      <c r="N70" s="30" t="n">
        <f aca="false">AVERAGE(E51:E70)</f>
        <v>139.7475</v>
      </c>
      <c r="O70" s="30" t="n">
        <f aca="false">AVERAGE(E21:E70)</f>
        <v>134.938</v>
      </c>
      <c r="Q70" s="30" t="n">
        <f aca="false">Q69+(2/13)*(E70-Q69)</f>
        <v>141.237734470508</v>
      </c>
      <c r="R70" s="30" t="n">
        <f aca="false">R69+(2/27)*(E70-R69)</f>
        <v>139.307548248559</v>
      </c>
      <c r="S70" s="33" t="n">
        <f aca="false">Q70-R70</f>
        <v>1.93018622194916</v>
      </c>
      <c r="T70" s="33" t="n">
        <f aca="false">T69+(2/10)*(S70-T69)</f>
        <v>1.60579701510925</v>
      </c>
      <c r="U70" s="33" t="n">
        <f aca="false">S70-T70</f>
        <v>0.32438920683991</v>
      </c>
      <c r="V70" s="32" t="str">
        <f aca="false">IF(M70="","",IF(M70&lt;Assumptions!$B$5,"BUY",IF(M70&gt;Assumptions!$B$4,"SELL","HOLD")))</f>
        <v>HOLD</v>
      </c>
      <c r="W70" s="32" t="str">
        <f aca="false">IF(O70="","",IF(E70&gt;O70,"BUY","SELL"))</f>
        <v>BUY</v>
      </c>
      <c r="X70" s="32" t="str">
        <f aca="false">IF(T70="","",IF(S70&gt;T70,"BUY","SELL"))</f>
        <v>BUY</v>
      </c>
      <c r="Y70" s="34" t="n">
        <f aca="false">IF(OR(V70="",W70="",X70=""),"",IFERROR(IF(V70="BUY",1,IF(V70="SELL",-1,0))+IF(W70="BUY",1,IF(W70="SELL",-1,0))+IF(X70="BUY",1,IF(X70="SELL",-1,0)),0))</f>
        <v>2</v>
      </c>
      <c r="Z70" s="32" t="str">
        <f aca="false">IF(Y70="","",IF(Y70&gt;=2,"STRONG BUY",IF(Y70=1,"BUY",IF(Y70=0,"HOLD",IF(Y70=-1,"SELL","STRONG SELL")))))</f>
        <v>STRONG BUY</v>
      </c>
    </row>
    <row r="71" customFormat="false" ht="15" hidden="false" customHeight="false" outlineLevel="0" collapsed="false">
      <c r="A71" s="24" t="n">
        <v>45867</v>
      </c>
      <c r="B71" s="25" t="n">
        <v>142.33</v>
      </c>
      <c r="C71" s="25" t="n">
        <v>144.34</v>
      </c>
      <c r="D71" s="25" t="n">
        <v>141.22</v>
      </c>
      <c r="E71" s="25" t="n">
        <v>142.78</v>
      </c>
      <c r="F71" s="26" t="n">
        <v>9951907</v>
      </c>
      <c r="G71" s="27" t="n">
        <f aca="false">E71-E70</f>
        <v>-0.909999999999997</v>
      </c>
      <c r="H71" s="28" t="n">
        <f aca="false">G71/E70</f>
        <v>-0.00633307815436006</v>
      </c>
      <c r="I71" s="29" t="n">
        <f aca="false">MAX(G71,0)</f>
        <v>0</v>
      </c>
      <c r="J71" s="29" t="n">
        <f aca="false">MAX(-G71,0)</f>
        <v>0.909999999999997</v>
      </c>
      <c r="K71" s="29" t="n">
        <f aca="false">(K70*13+I71)/14</f>
        <v>0.94191006491095</v>
      </c>
      <c r="L71" s="29" t="n">
        <f aca="false">(L70*13+J71)/14</f>
        <v>0.685254544746522</v>
      </c>
      <c r="M71" s="31" t="n">
        <f aca="false">IF(L71=0,100,100-100/(1+K71/MAX(L71,0.000001)))</f>
        <v>57.8865874614387</v>
      </c>
      <c r="N71" s="30" t="n">
        <f aca="false">AVERAGE(E52:E71)</f>
        <v>139.9905</v>
      </c>
      <c r="O71" s="30" t="n">
        <f aca="false">AVERAGE(E22:E71)</f>
        <v>135.0586</v>
      </c>
      <c r="Q71" s="30" t="n">
        <f aca="false">Q70+(2/13)*(E71-Q70)</f>
        <v>141.47500609043</v>
      </c>
      <c r="R71" s="30" t="n">
        <f aca="false">R70+(2/27)*(E71-R70)</f>
        <v>139.564766896814</v>
      </c>
      <c r="S71" s="33" t="n">
        <f aca="false">Q71-R71</f>
        <v>1.91023919361606</v>
      </c>
      <c r="T71" s="33" t="n">
        <f aca="false">T70+(2/10)*(S71-T70)</f>
        <v>1.66668545081061</v>
      </c>
      <c r="U71" s="33" t="n">
        <f aca="false">S71-T71</f>
        <v>0.243553742805454</v>
      </c>
      <c r="V71" s="32" t="str">
        <f aca="false">IF(M71="","",IF(M71&lt;Assumptions!$B$5,"BUY",IF(M71&gt;Assumptions!$B$4,"SELL","HOLD")))</f>
        <v>HOLD</v>
      </c>
      <c r="W71" s="32" t="str">
        <f aca="false">IF(O71="","",IF(E71&gt;O71,"BUY","SELL"))</f>
        <v>BUY</v>
      </c>
      <c r="X71" s="32" t="str">
        <f aca="false">IF(T71="","",IF(S71&gt;T71,"BUY","SELL"))</f>
        <v>BUY</v>
      </c>
      <c r="Y71" s="34" t="n">
        <f aca="false">IF(OR(V71="",W71="",X71=""),"",IFERROR(IF(V71="BUY",1,IF(V71="SELL",-1,0))+IF(W71="BUY",1,IF(W71="SELL",-1,0))+IF(X71="BUY",1,IF(X71="SELL",-1,0)),0))</f>
        <v>2</v>
      </c>
      <c r="Z71" s="32" t="str">
        <f aca="false">IF(Y71="","",IF(Y71&gt;=2,"STRONG BUY",IF(Y71=1,"BUY",IF(Y71=0,"HOLD",IF(Y71=-1,"SELL","STRONG SELL")))))</f>
        <v>STRONG BUY</v>
      </c>
    </row>
    <row r="72" customFormat="false" ht="15" hidden="false" customHeight="false" outlineLevel="0" collapsed="false">
      <c r="A72" s="24" t="n">
        <v>45868</v>
      </c>
      <c r="B72" s="25" t="n">
        <v>143.45</v>
      </c>
      <c r="C72" s="25" t="n">
        <v>144.05</v>
      </c>
      <c r="D72" s="25" t="n">
        <v>143.45</v>
      </c>
      <c r="E72" s="25" t="n">
        <v>143.75</v>
      </c>
      <c r="F72" s="26" t="n">
        <v>13158525</v>
      </c>
      <c r="G72" s="27" t="n">
        <f aca="false">E72-E71</f>
        <v>0.969999999999999</v>
      </c>
      <c r="H72" s="28" t="n">
        <f aca="false">G72/E71</f>
        <v>0.00679366858103375</v>
      </c>
      <c r="I72" s="29" t="n">
        <f aca="false">MAX(G72,0)</f>
        <v>0.969999999999999</v>
      </c>
      <c r="J72" s="29" t="n">
        <f aca="false">MAX(-G72,0)</f>
        <v>0</v>
      </c>
      <c r="K72" s="29" t="n">
        <f aca="false">(K71*13+I72)/14</f>
        <v>0.943916488845882</v>
      </c>
      <c r="L72" s="29" t="n">
        <f aca="false">(L71*13+J72)/14</f>
        <v>0.636307791550342</v>
      </c>
      <c r="M72" s="31" t="n">
        <f aca="false">IF(L72=0,100,100-100/(1+K72/MAX(L72,0.000001)))</f>
        <v>59.733070840375</v>
      </c>
      <c r="N72" s="30" t="n">
        <f aca="false">AVERAGE(E53:E72)</f>
        <v>140.362</v>
      </c>
      <c r="O72" s="30" t="n">
        <f aca="false">AVERAGE(E23:E72)</f>
        <v>135.2464</v>
      </c>
      <c r="Q72" s="30" t="n">
        <f aca="false">Q71+(2/13)*(E72-Q71)</f>
        <v>141.825005153441</v>
      </c>
      <c r="R72" s="30" t="n">
        <f aca="false">R71+(2/27)*(E72-R71)</f>
        <v>139.874784163717</v>
      </c>
      <c r="S72" s="33" t="n">
        <f aca="false">Q72-R72</f>
        <v>1.95022098972416</v>
      </c>
      <c r="T72" s="33" t="n">
        <f aca="false">T71+(2/10)*(S72-T71)</f>
        <v>1.72339255859332</v>
      </c>
      <c r="U72" s="33" t="n">
        <f aca="false">S72-T72</f>
        <v>0.226828431130839</v>
      </c>
      <c r="V72" s="32" t="str">
        <f aca="false">IF(M72="","",IF(M72&lt;Assumptions!$B$5,"BUY",IF(M72&gt;Assumptions!$B$4,"SELL","HOLD")))</f>
        <v>HOLD</v>
      </c>
      <c r="W72" s="32" t="str">
        <f aca="false">IF(O72="","",IF(E72&gt;O72,"BUY","SELL"))</f>
        <v>BUY</v>
      </c>
      <c r="X72" s="32" t="str">
        <f aca="false">IF(T72="","",IF(S72&gt;T72,"BUY","SELL"))</f>
        <v>BUY</v>
      </c>
      <c r="Y72" s="34" t="n">
        <f aca="false">IF(OR(V72="",W72="",X72=""),"",IFERROR(IF(V72="BUY",1,IF(V72="SELL",-1,0))+IF(W72="BUY",1,IF(W72="SELL",-1,0))+IF(X72="BUY",1,IF(X72="SELL",-1,0)),0))</f>
        <v>2</v>
      </c>
      <c r="Z72" s="32" t="str">
        <f aca="false">IF(Y72="","",IF(Y72&gt;=2,"STRONG BUY",IF(Y72=1,"BUY",IF(Y72=0,"HOLD",IF(Y72=-1,"SELL","STRONG SELL")))))</f>
        <v>STRONG BUY</v>
      </c>
    </row>
    <row r="73" customFormat="false" ht="15" hidden="false" customHeight="false" outlineLevel="0" collapsed="false">
      <c r="A73" s="24" t="n">
        <v>45869</v>
      </c>
      <c r="B73" s="25" t="n">
        <v>145.25</v>
      </c>
      <c r="C73" s="25" t="n">
        <v>145.55</v>
      </c>
      <c r="D73" s="25" t="n">
        <v>144.73</v>
      </c>
      <c r="E73" s="25" t="n">
        <v>145.14</v>
      </c>
      <c r="F73" s="26" t="n">
        <v>14754487</v>
      </c>
      <c r="G73" s="27" t="n">
        <f aca="false">E73-E72</f>
        <v>1.38999999999999</v>
      </c>
      <c r="H73" s="28" t="n">
        <f aca="false">G73/E72</f>
        <v>0.00966956521739121</v>
      </c>
      <c r="I73" s="29" t="n">
        <f aca="false">MAX(G73,0)</f>
        <v>1.38999999999999</v>
      </c>
      <c r="J73" s="29" t="n">
        <f aca="false">MAX(-G73,0)</f>
        <v>0</v>
      </c>
      <c r="K73" s="29" t="n">
        <f aca="false">(K72*13+I73)/14</f>
        <v>0.975779596785461</v>
      </c>
      <c r="L73" s="29" t="n">
        <f aca="false">(L72*13+J73)/14</f>
        <v>0.590857235011032</v>
      </c>
      <c r="M73" s="31" t="n">
        <f aca="false">IF(L73=0,100,100-100/(1+K73/MAX(L73,0.000001)))</f>
        <v>62.2849901764735</v>
      </c>
      <c r="N73" s="30" t="n">
        <f aca="false">AVERAGE(E54:E73)</f>
        <v>140.7275</v>
      </c>
      <c r="O73" s="30" t="n">
        <f aca="false">AVERAGE(E24:E73)</f>
        <v>135.524</v>
      </c>
      <c r="Q73" s="30" t="n">
        <f aca="false">Q72+(2/13)*(E73-Q72)</f>
        <v>142.335004360604</v>
      </c>
      <c r="R73" s="30" t="n">
        <f aca="false">R72+(2/27)*(E73-R72)</f>
        <v>140.26480015159</v>
      </c>
      <c r="S73" s="33" t="n">
        <f aca="false">Q73-R73</f>
        <v>2.07020420901426</v>
      </c>
      <c r="T73" s="33" t="n">
        <f aca="false">T72+(2/10)*(S73-T72)</f>
        <v>1.79275488867751</v>
      </c>
      <c r="U73" s="33" t="n">
        <f aca="false">S73-T73</f>
        <v>0.277449320336755</v>
      </c>
      <c r="V73" s="32" t="str">
        <f aca="false">IF(M73="","",IF(M73&lt;Assumptions!$B$5,"BUY",IF(M73&gt;Assumptions!$B$4,"SELL","HOLD")))</f>
        <v>HOLD</v>
      </c>
      <c r="W73" s="32" t="str">
        <f aca="false">IF(O73="","",IF(E73&gt;O73,"BUY","SELL"))</f>
        <v>BUY</v>
      </c>
      <c r="X73" s="32" t="str">
        <f aca="false">IF(T73="","",IF(S73&gt;T73,"BUY","SELL"))</f>
        <v>BUY</v>
      </c>
      <c r="Y73" s="34" t="n">
        <f aca="false">IF(OR(V73="",W73="",X73=""),"",IFERROR(IF(V73="BUY",1,IF(V73="SELL",-1,0))+IF(W73="BUY",1,IF(W73="SELL",-1,0))+IF(X73="BUY",1,IF(X73="SELL",-1,0)),0))</f>
        <v>2</v>
      </c>
      <c r="Z73" s="32" t="str">
        <f aca="false">IF(Y73="","",IF(Y73&gt;=2,"STRONG BUY",IF(Y73=1,"BUY",IF(Y73=0,"HOLD",IF(Y73=-1,"SELL","STRONG SELL")))))</f>
        <v>STRONG BUY</v>
      </c>
    </row>
    <row r="74" customFormat="false" ht="15" hidden="false" customHeight="false" outlineLevel="0" collapsed="false">
      <c r="A74" s="24" t="n">
        <v>45870</v>
      </c>
      <c r="B74" s="25" t="n">
        <v>142.77</v>
      </c>
      <c r="C74" s="25" t="n">
        <v>143.32</v>
      </c>
      <c r="D74" s="25" t="n">
        <v>141.84</v>
      </c>
      <c r="E74" s="25" t="n">
        <v>142.58</v>
      </c>
      <c r="F74" s="26" t="n">
        <v>10985947</v>
      </c>
      <c r="G74" s="27" t="n">
        <f aca="false">E74-E73</f>
        <v>-2.55999999999997</v>
      </c>
      <c r="H74" s="28" t="n">
        <f aca="false">G74/E73</f>
        <v>-0.0176381424831196</v>
      </c>
      <c r="I74" s="29" t="n">
        <f aca="false">MAX(G74,0)</f>
        <v>0</v>
      </c>
      <c r="J74" s="29" t="n">
        <f aca="false">MAX(-G74,0)</f>
        <v>2.55999999999997</v>
      </c>
      <c r="K74" s="29" t="n">
        <f aca="false">(K73*13+I74)/14</f>
        <v>0.906081054157928</v>
      </c>
      <c r="L74" s="29" t="n">
        <f aca="false">(L73*13+J74)/14</f>
        <v>0.731510289653099</v>
      </c>
      <c r="M74" s="31" t="n">
        <f aca="false">IF(L74=0,100,100-100/(1+K74/MAX(L74,0.000001)))</f>
        <v>55.3301076964222</v>
      </c>
      <c r="N74" s="30" t="n">
        <f aca="false">AVERAGE(E55:E74)</f>
        <v>141.0085</v>
      </c>
      <c r="O74" s="30" t="n">
        <f aca="false">AVERAGE(E25:E74)</f>
        <v>135.7416</v>
      </c>
      <c r="Q74" s="30" t="n">
        <f aca="false">Q73+(2/13)*(E74-Q73)</f>
        <v>142.372695997434</v>
      </c>
      <c r="R74" s="30" t="n">
        <f aca="false">R73+(2/27)*(E74-R73)</f>
        <v>140.436296436657</v>
      </c>
      <c r="S74" s="33" t="n">
        <f aca="false">Q74-R74</f>
        <v>1.93639956077701</v>
      </c>
      <c r="T74" s="33" t="n">
        <f aca="false">T73+(2/10)*(S74-T73)</f>
        <v>1.82148382309741</v>
      </c>
      <c r="U74" s="33" t="n">
        <f aca="false">S74-T74</f>
        <v>0.114915737679597</v>
      </c>
      <c r="V74" s="32" t="str">
        <f aca="false">IF(M74="","",IF(M74&lt;Assumptions!$B$5,"BUY",IF(M74&gt;Assumptions!$B$4,"SELL","HOLD")))</f>
        <v>HOLD</v>
      </c>
      <c r="W74" s="32" t="str">
        <f aca="false">IF(O74="","",IF(E74&gt;O74,"BUY","SELL"))</f>
        <v>BUY</v>
      </c>
      <c r="X74" s="32" t="str">
        <f aca="false">IF(T74="","",IF(S74&gt;T74,"BUY","SELL"))</f>
        <v>BUY</v>
      </c>
      <c r="Y74" s="34" t="n">
        <f aca="false">IF(OR(V74="",W74="",X74=""),"",IFERROR(IF(V74="BUY",1,IF(V74="SELL",-1,0))+IF(W74="BUY",1,IF(W74="SELL",-1,0))+IF(X74="BUY",1,IF(X74="SELL",-1,0)),0))</f>
        <v>2</v>
      </c>
      <c r="Z74" s="32" t="str">
        <f aca="false">IF(Y74="","",IF(Y74&gt;=2,"STRONG BUY",IF(Y74=1,"BUY",IF(Y74=0,"HOLD",IF(Y74=-1,"SELL","STRONG SELL")))))</f>
        <v>STRONG BUY</v>
      </c>
    </row>
    <row r="75" customFormat="false" ht="15" hidden="false" customHeight="false" outlineLevel="0" collapsed="false">
      <c r="A75" s="24" t="n">
        <v>45873</v>
      </c>
      <c r="B75" s="25" t="n">
        <v>144.62</v>
      </c>
      <c r="C75" s="25" t="n">
        <v>146.08</v>
      </c>
      <c r="D75" s="25" t="n">
        <v>143.96</v>
      </c>
      <c r="E75" s="25" t="n">
        <v>145.02</v>
      </c>
      <c r="F75" s="26" t="n">
        <v>17864701</v>
      </c>
      <c r="G75" s="27" t="n">
        <f aca="false">E75-E74</f>
        <v>2.44</v>
      </c>
      <c r="H75" s="28" t="n">
        <f aca="false">G75/E74</f>
        <v>0.017113199607238</v>
      </c>
      <c r="I75" s="29" t="n">
        <f aca="false">MAX(G75,0)</f>
        <v>2.44</v>
      </c>
      <c r="J75" s="29" t="n">
        <f aca="false">MAX(-G75,0)</f>
        <v>0</v>
      </c>
      <c r="K75" s="29" t="n">
        <f aca="false">(K74*13+I75)/14</f>
        <v>1.01564669314665</v>
      </c>
      <c r="L75" s="29" t="n">
        <f aca="false">(L74*13+J75)/14</f>
        <v>0.679259554677878</v>
      </c>
      <c r="M75" s="31" t="n">
        <f aca="false">IF(L75=0,100,100-100/(1+K75/MAX(L75,0.000001)))</f>
        <v>59.9234733160178</v>
      </c>
      <c r="N75" s="30" t="n">
        <f aca="false">AVERAGE(E56:E75)</f>
        <v>141.357</v>
      </c>
      <c r="O75" s="30" t="n">
        <f aca="false">AVERAGE(E26:E75)</f>
        <v>136.02</v>
      </c>
      <c r="Q75" s="30" t="n">
        <f aca="false">Q74+(2/13)*(E75-Q74)</f>
        <v>142.77997353629</v>
      </c>
      <c r="R75" s="30" t="n">
        <f aca="false">R74+(2/27)*(E75-R74)</f>
        <v>140.775830033942</v>
      </c>
      <c r="S75" s="33" t="n">
        <f aca="false">Q75-R75</f>
        <v>2.00414350234865</v>
      </c>
      <c r="T75" s="33" t="n">
        <f aca="false">T74+(2/10)*(S75-T74)</f>
        <v>1.85801575894766</v>
      </c>
      <c r="U75" s="33" t="n">
        <f aca="false">S75-T75</f>
        <v>0.146127743400997</v>
      </c>
      <c r="V75" s="32" t="str">
        <f aca="false">IF(M75="","",IF(M75&lt;Assumptions!$B$5,"BUY",IF(M75&gt;Assumptions!$B$4,"SELL","HOLD")))</f>
        <v>HOLD</v>
      </c>
      <c r="W75" s="32" t="str">
        <f aca="false">IF(O75="","",IF(E75&gt;O75,"BUY","SELL"))</f>
        <v>BUY</v>
      </c>
      <c r="X75" s="32" t="str">
        <f aca="false">IF(T75="","",IF(S75&gt;T75,"BUY","SELL"))</f>
        <v>BUY</v>
      </c>
      <c r="Y75" s="34" t="n">
        <f aca="false">IF(OR(V75="",W75="",X75=""),"",IFERROR(IF(V75="BUY",1,IF(V75="SELL",-1,0))+IF(W75="BUY",1,IF(W75="SELL",-1,0))+IF(X75="BUY",1,IF(X75="SELL",-1,0)),0))</f>
        <v>2</v>
      </c>
      <c r="Z75" s="32" t="str">
        <f aca="false">IF(Y75="","",IF(Y75&gt;=2,"STRONG BUY",IF(Y75=1,"BUY",IF(Y75=0,"HOLD",IF(Y75=-1,"SELL","STRONG SELL")))))</f>
        <v>STRONG BUY</v>
      </c>
    </row>
    <row r="76" customFormat="false" ht="15" hidden="false" customHeight="false" outlineLevel="0" collapsed="false">
      <c r="A76" s="24" t="n">
        <v>45874</v>
      </c>
      <c r="B76" s="25" t="n">
        <v>142.47</v>
      </c>
      <c r="C76" s="25" t="n">
        <v>142.47</v>
      </c>
      <c r="D76" s="25" t="n">
        <v>142.15</v>
      </c>
      <c r="E76" s="25" t="n">
        <v>142.31</v>
      </c>
      <c r="F76" s="26" t="n">
        <v>19671518</v>
      </c>
      <c r="G76" s="27" t="n">
        <f aca="false">E76-E75</f>
        <v>-2.71000000000001</v>
      </c>
      <c r="H76" s="28" t="n">
        <f aca="false">G76/E75</f>
        <v>-0.0186870776444629</v>
      </c>
      <c r="I76" s="29" t="n">
        <f aca="false">MAX(G76,0)</f>
        <v>0</v>
      </c>
      <c r="J76" s="29" t="n">
        <f aca="false">MAX(-G76,0)</f>
        <v>2.71000000000001</v>
      </c>
      <c r="K76" s="29" t="n">
        <f aca="false">(K75*13+I76)/14</f>
        <v>0.94310050077903</v>
      </c>
      <c r="L76" s="29" t="n">
        <f aca="false">(L75*13+J76)/14</f>
        <v>0.824312443629458</v>
      </c>
      <c r="M76" s="31" t="n">
        <f aca="false">IF(L76=0,100,100-100/(1+K76/MAX(L76,0.000001)))</f>
        <v>53.360506595965</v>
      </c>
      <c r="N76" s="30" t="n">
        <f aca="false">AVERAGE(E57:E76)</f>
        <v>141.6735</v>
      </c>
      <c r="O76" s="30" t="n">
        <f aca="false">AVERAGE(E27:E76)</f>
        <v>136.2474</v>
      </c>
      <c r="Q76" s="30" t="n">
        <f aca="false">Q75+(2/13)*(E76-Q75)</f>
        <v>142.707669915323</v>
      </c>
      <c r="R76" s="30" t="n">
        <f aca="false">R75+(2/27)*(E76-R75)</f>
        <v>140.88947225365</v>
      </c>
      <c r="S76" s="33" t="n">
        <f aca="false">Q76-R76</f>
        <v>1.81819766167288</v>
      </c>
      <c r="T76" s="33" t="n">
        <f aca="false">T75+(2/10)*(S76-T75)</f>
        <v>1.8500521394927</v>
      </c>
      <c r="U76" s="33" t="n">
        <f aca="false">S76-T76</f>
        <v>-0.0318544778198191</v>
      </c>
      <c r="V76" s="32" t="str">
        <f aca="false">IF(M76="","",IF(M76&lt;Assumptions!$B$5,"BUY",IF(M76&gt;Assumptions!$B$4,"SELL","HOLD")))</f>
        <v>HOLD</v>
      </c>
      <c r="W76" s="32" t="str">
        <f aca="false">IF(O76="","",IF(E76&gt;O76,"BUY","SELL"))</f>
        <v>BUY</v>
      </c>
      <c r="X76" s="32" t="str">
        <f aca="false">IF(T76="","",IF(S76&gt;T76,"BUY","SELL"))</f>
        <v>SELL</v>
      </c>
      <c r="Y76" s="34" t="n">
        <f aca="false">IF(OR(V76="",W76="",X76=""),"",IFERROR(IF(V76="BUY",1,IF(V76="SELL",-1,0))+IF(W76="BUY",1,IF(W76="SELL",-1,0))+IF(X76="BUY",1,IF(X76="SELL",-1,0)),0))</f>
        <v>0</v>
      </c>
      <c r="Z76" s="32" t="str">
        <f aca="false">IF(Y76="","",IF(Y76&gt;=2,"STRONG BUY",IF(Y76=1,"BUY",IF(Y76=0,"HOLD",IF(Y76=-1,"SELL","STRONG SELL")))))</f>
        <v>HOLD</v>
      </c>
    </row>
    <row r="77" customFormat="false" ht="15" hidden="false" customHeight="false" outlineLevel="0" collapsed="false">
      <c r="A77" s="24" t="n">
        <v>45875</v>
      </c>
      <c r="B77" s="25" t="n">
        <v>142.23</v>
      </c>
      <c r="C77" s="25" t="n">
        <v>144.27</v>
      </c>
      <c r="D77" s="25" t="n">
        <v>140.41</v>
      </c>
      <c r="E77" s="25" t="n">
        <v>142.34</v>
      </c>
      <c r="F77" s="26" t="n">
        <v>10303416</v>
      </c>
      <c r="G77" s="27" t="n">
        <f aca="false">E77-E76</f>
        <v>0.0300000000000011</v>
      </c>
      <c r="H77" s="28" t="n">
        <f aca="false">G77/E76</f>
        <v>0.000210807392312565</v>
      </c>
      <c r="I77" s="29" t="n">
        <f aca="false">MAX(G77,0)</f>
        <v>0.0300000000000011</v>
      </c>
      <c r="J77" s="29" t="n">
        <f aca="false">MAX(-G77,0)</f>
        <v>0</v>
      </c>
      <c r="K77" s="29" t="n">
        <f aca="false">(K76*13+I77)/14</f>
        <v>0.877879036437671</v>
      </c>
      <c r="L77" s="29" t="n">
        <f aca="false">(L76*13+J77)/14</f>
        <v>0.765432983370212</v>
      </c>
      <c r="M77" s="31" t="n">
        <f aca="false">IF(L77=0,100,100-100/(1+K77/MAX(L77,0.000001)))</f>
        <v>53.4213238786084</v>
      </c>
      <c r="N77" s="30" t="n">
        <f aca="false">AVERAGE(E58:E77)</f>
        <v>141.999</v>
      </c>
      <c r="O77" s="30" t="n">
        <f aca="false">AVERAGE(E28:E77)</f>
        <v>136.497</v>
      </c>
      <c r="Q77" s="30" t="n">
        <f aca="false">Q76+(2/13)*(E77-Q76)</f>
        <v>142.651105312965</v>
      </c>
      <c r="R77" s="30" t="n">
        <f aca="false">R76+(2/27)*(E77-R76)</f>
        <v>140.996918753379</v>
      </c>
      <c r="S77" s="33" t="n">
        <f aca="false">Q77-R77</f>
        <v>1.6541865595859</v>
      </c>
      <c r="T77" s="33" t="n">
        <f aca="false">T76+(2/10)*(S77-T76)</f>
        <v>1.81087902351134</v>
      </c>
      <c r="U77" s="33" t="n">
        <f aca="false">S77-T77</f>
        <v>-0.156692463925446</v>
      </c>
      <c r="V77" s="32" t="str">
        <f aca="false">IF(M77="","",IF(M77&lt;Assumptions!$B$5,"BUY",IF(M77&gt;Assumptions!$B$4,"SELL","HOLD")))</f>
        <v>HOLD</v>
      </c>
      <c r="W77" s="32" t="str">
        <f aca="false">IF(O77="","",IF(E77&gt;O77,"BUY","SELL"))</f>
        <v>BUY</v>
      </c>
      <c r="X77" s="32" t="str">
        <f aca="false">IF(T77="","",IF(S77&gt;T77,"BUY","SELL"))</f>
        <v>SELL</v>
      </c>
      <c r="Y77" s="34" t="n">
        <f aca="false">IF(OR(V77="",W77="",X77=""),"",IFERROR(IF(V77="BUY",1,IF(V77="SELL",-1,0))+IF(W77="BUY",1,IF(W77="SELL",-1,0))+IF(X77="BUY",1,IF(X77="SELL",-1,0)),0))</f>
        <v>0</v>
      </c>
      <c r="Z77" s="32" t="str">
        <f aca="false">IF(Y77="","",IF(Y77&gt;=2,"STRONG BUY",IF(Y77=1,"BUY",IF(Y77=0,"HOLD",IF(Y77=-1,"SELL","STRONG SELL")))))</f>
        <v>HOLD</v>
      </c>
    </row>
    <row r="78" customFormat="false" ht="15" hidden="false" customHeight="false" outlineLevel="0" collapsed="false">
      <c r="A78" s="24" t="n">
        <v>45876</v>
      </c>
      <c r="B78" s="25" t="n">
        <v>141.56</v>
      </c>
      <c r="C78" s="25" t="n">
        <v>143.24</v>
      </c>
      <c r="D78" s="25" t="n">
        <v>140.34</v>
      </c>
      <c r="E78" s="25" t="n">
        <v>141.79</v>
      </c>
      <c r="F78" s="26" t="n">
        <v>23461881</v>
      </c>
      <c r="G78" s="27" t="n">
        <f aca="false">E78-E77</f>
        <v>-0.550000000000011</v>
      </c>
      <c r="H78" s="28" t="n">
        <f aca="false">G78/E77</f>
        <v>-0.00386398763523965</v>
      </c>
      <c r="I78" s="29" t="n">
        <f aca="false">MAX(G78,0)</f>
        <v>0</v>
      </c>
      <c r="J78" s="29" t="n">
        <f aca="false">MAX(-G78,0)</f>
        <v>0.550000000000011</v>
      </c>
      <c r="K78" s="29" t="n">
        <f aca="false">(K77*13+I78)/14</f>
        <v>0.815173390977837</v>
      </c>
      <c r="L78" s="29" t="n">
        <f aca="false">(L77*13+J78)/14</f>
        <v>0.750044913129483</v>
      </c>
      <c r="M78" s="31" t="n">
        <f aca="false">IF(L78=0,100,100-100/(1+K78/MAX(L78,0.000001)))</f>
        <v>52.0804918290774</v>
      </c>
      <c r="N78" s="30" t="n">
        <f aca="false">AVERAGE(E59:E78)</f>
        <v>142.0905</v>
      </c>
      <c r="O78" s="30" t="n">
        <f aca="false">AVERAGE(E29:E78)</f>
        <v>136.7412</v>
      </c>
      <c r="Q78" s="30" t="n">
        <f aca="false">Q77+(2/13)*(E78-Q77)</f>
        <v>142.518627572509</v>
      </c>
      <c r="R78" s="30" t="n">
        <f aca="false">R77+(2/27)*(E78-R77)</f>
        <v>141.055665512388</v>
      </c>
      <c r="S78" s="33" t="n">
        <f aca="false">Q78-R78</f>
        <v>1.46296206012079</v>
      </c>
      <c r="T78" s="33" t="n">
        <f aca="false">T77+(2/10)*(S78-T77)</f>
        <v>1.74129563083323</v>
      </c>
      <c r="U78" s="33" t="n">
        <f aca="false">S78-T78</f>
        <v>-0.278333570712443</v>
      </c>
      <c r="V78" s="32" t="str">
        <f aca="false">IF(M78="","",IF(M78&lt;Assumptions!$B$5,"BUY",IF(M78&gt;Assumptions!$B$4,"SELL","HOLD")))</f>
        <v>HOLD</v>
      </c>
      <c r="W78" s="32" t="str">
        <f aca="false">IF(O78="","",IF(E78&gt;O78,"BUY","SELL"))</f>
        <v>BUY</v>
      </c>
      <c r="X78" s="32" t="str">
        <f aca="false">IF(T78="","",IF(S78&gt;T78,"BUY","SELL"))</f>
        <v>SELL</v>
      </c>
      <c r="Y78" s="34" t="n">
        <f aca="false">IF(OR(V78="",W78="",X78=""),"",IFERROR(IF(V78="BUY",1,IF(V78="SELL",-1,0))+IF(W78="BUY",1,IF(W78="SELL",-1,0))+IF(X78="BUY",1,IF(X78="SELL",-1,0)),0))</f>
        <v>0</v>
      </c>
      <c r="Z78" s="32" t="str">
        <f aca="false">IF(Y78="","",IF(Y78&gt;=2,"STRONG BUY",IF(Y78=1,"BUY",IF(Y78=0,"HOLD",IF(Y78=-1,"SELL","STRONG SELL")))))</f>
        <v>HOLD</v>
      </c>
    </row>
    <row r="79" customFormat="false" ht="15" hidden="false" customHeight="false" outlineLevel="0" collapsed="false">
      <c r="A79" s="24" t="n">
        <v>45877</v>
      </c>
      <c r="B79" s="25" t="n">
        <v>140.71</v>
      </c>
      <c r="C79" s="25" t="n">
        <v>141.8</v>
      </c>
      <c r="D79" s="25" t="n">
        <v>139.22</v>
      </c>
      <c r="E79" s="25" t="n">
        <v>140.51</v>
      </c>
      <c r="F79" s="26" t="n">
        <v>10377532</v>
      </c>
      <c r="G79" s="27" t="n">
        <f aca="false">E79-E78</f>
        <v>-1.28</v>
      </c>
      <c r="H79" s="28" t="n">
        <f aca="false">G79/E78</f>
        <v>-0.0090274349389943</v>
      </c>
      <c r="I79" s="29" t="n">
        <f aca="false">MAX(G79,0)</f>
        <v>0</v>
      </c>
      <c r="J79" s="29" t="n">
        <f aca="false">MAX(-G79,0)</f>
        <v>1.28</v>
      </c>
      <c r="K79" s="29" t="n">
        <f aca="false">(K78*13+I79)/14</f>
        <v>0.756946720193706</v>
      </c>
      <c r="L79" s="29" t="n">
        <f aca="false">(L78*13+J79)/14</f>
        <v>0.787898847905949</v>
      </c>
      <c r="M79" s="31" t="n">
        <f aca="false">IF(L79=0,100,100-100/(1+K79/MAX(L79,0.000001)))</f>
        <v>48.9982128844659</v>
      </c>
      <c r="N79" s="30" t="n">
        <f aca="false">AVERAGE(E60:E79)</f>
        <v>141.9665</v>
      </c>
      <c r="O79" s="30" t="n">
        <f aca="false">AVERAGE(E30:E79)</f>
        <v>136.909</v>
      </c>
      <c r="Q79" s="30" t="n">
        <f aca="false">Q78+(2/13)*(E79-Q78)</f>
        <v>142.209607945969</v>
      </c>
      <c r="R79" s="30" t="n">
        <f aca="false">R78+(2/27)*(E79-R78)</f>
        <v>141.015245844804</v>
      </c>
      <c r="S79" s="33" t="n">
        <f aca="false">Q79-R79</f>
        <v>1.19436210116524</v>
      </c>
      <c r="T79" s="33" t="n">
        <f aca="false">T78+(2/10)*(S79-T78)</f>
        <v>1.63190892489963</v>
      </c>
      <c r="U79" s="33" t="n">
        <f aca="false">S79-T79</f>
        <v>-0.437546823734392</v>
      </c>
      <c r="V79" s="32" t="str">
        <f aca="false">IF(M79="","",IF(M79&lt;Assumptions!$B$5,"BUY",IF(M79&gt;Assumptions!$B$4,"SELL","HOLD")))</f>
        <v>HOLD</v>
      </c>
      <c r="W79" s="32" t="str">
        <f aca="false">IF(O79="","",IF(E79&gt;O79,"BUY","SELL"))</f>
        <v>BUY</v>
      </c>
      <c r="X79" s="32" t="str">
        <f aca="false">IF(T79="","",IF(S79&gt;T79,"BUY","SELL"))</f>
        <v>SELL</v>
      </c>
      <c r="Y79" s="34" t="n">
        <f aca="false">IF(OR(V79="",W79="",X79=""),"",IFERROR(IF(V79="BUY",1,IF(V79="SELL",-1,0))+IF(W79="BUY",1,IF(W79="SELL",-1,0))+IF(X79="BUY",1,IF(X79="SELL",-1,0)),0))</f>
        <v>0</v>
      </c>
      <c r="Z79" s="32" t="str">
        <f aca="false">IF(Y79="","",IF(Y79&gt;=2,"STRONG BUY",IF(Y79=1,"BUY",IF(Y79=0,"HOLD",IF(Y79=-1,"SELL","STRONG SELL")))))</f>
        <v>HOLD</v>
      </c>
    </row>
    <row r="80" customFormat="false" ht="15" hidden="false" customHeight="false" outlineLevel="0" collapsed="false">
      <c r="A80" s="24" t="n">
        <v>45880</v>
      </c>
      <c r="B80" s="25" t="n">
        <v>142.29</v>
      </c>
      <c r="C80" s="25" t="n">
        <v>143.04</v>
      </c>
      <c r="D80" s="25" t="n">
        <v>142.18</v>
      </c>
      <c r="E80" s="25" t="n">
        <v>142.61</v>
      </c>
      <c r="F80" s="26" t="n">
        <v>10105666</v>
      </c>
      <c r="G80" s="27" t="n">
        <f aca="false">E80-E79</f>
        <v>2.10000000000002</v>
      </c>
      <c r="H80" s="28" t="n">
        <f aca="false">G80/E79</f>
        <v>0.0149455554764787</v>
      </c>
      <c r="I80" s="29" t="n">
        <f aca="false">MAX(G80,0)</f>
        <v>2.10000000000002</v>
      </c>
      <c r="J80" s="29" t="n">
        <f aca="false">MAX(-G80,0)</f>
        <v>0</v>
      </c>
      <c r="K80" s="29" t="n">
        <f aca="false">(K79*13+I80)/14</f>
        <v>0.852879097322728</v>
      </c>
      <c r="L80" s="29" t="n">
        <f aca="false">(L79*13+J80)/14</f>
        <v>0.73162035876981</v>
      </c>
      <c r="M80" s="31" t="n">
        <f aca="false">IF(L80=0,100,100-100/(1+K80/MAX(L80,0.000001)))</f>
        <v>53.8264051807234</v>
      </c>
      <c r="N80" s="30" t="n">
        <f aca="false">AVERAGE(E61:E80)</f>
        <v>142.1195</v>
      </c>
      <c r="O80" s="30" t="n">
        <f aca="false">AVERAGE(E31:E80)</f>
        <v>137.1738</v>
      </c>
      <c r="Q80" s="30" t="n">
        <f aca="false">Q79+(2/13)*(E80-Q79)</f>
        <v>142.271206723512</v>
      </c>
      <c r="R80" s="30" t="n">
        <f aca="false">R79+(2/27)*(E80-R79)</f>
        <v>141.133375782226</v>
      </c>
      <c r="S80" s="33" t="n">
        <f aca="false">Q80-R80</f>
        <v>1.1378309412865</v>
      </c>
      <c r="T80" s="33" t="n">
        <f aca="false">T79+(2/10)*(S80-T79)</f>
        <v>1.533093328177</v>
      </c>
      <c r="U80" s="33" t="n">
        <f aca="false">S80-T80</f>
        <v>-0.39526238689051</v>
      </c>
      <c r="V80" s="32" t="str">
        <f aca="false">IF(M80="","",IF(M80&lt;Assumptions!$B$5,"BUY",IF(M80&gt;Assumptions!$B$4,"SELL","HOLD")))</f>
        <v>HOLD</v>
      </c>
      <c r="W80" s="32" t="str">
        <f aca="false">IF(O80="","",IF(E80&gt;O80,"BUY","SELL"))</f>
        <v>BUY</v>
      </c>
      <c r="X80" s="32" t="str">
        <f aca="false">IF(T80="","",IF(S80&gt;T80,"BUY","SELL"))</f>
        <v>SELL</v>
      </c>
      <c r="Y80" s="34" t="n">
        <f aca="false">IF(OR(V80="",W80="",X80=""),"",IFERROR(IF(V80="BUY",1,IF(V80="SELL",-1,0))+IF(W80="BUY",1,IF(W80="SELL",-1,0))+IF(X80="BUY",1,IF(X80="SELL",-1,0)),0))</f>
        <v>0</v>
      </c>
      <c r="Z80" s="32" t="str">
        <f aca="false">IF(Y80="","",IF(Y80&gt;=2,"STRONG BUY",IF(Y80=1,"BUY",IF(Y80=0,"HOLD",IF(Y80=-1,"SELL","STRONG SELL")))))</f>
        <v>HOLD</v>
      </c>
    </row>
    <row r="81" customFormat="false" ht="15" hidden="false" customHeight="false" outlineLevel="0" collapsed="false">
      <c r="A81" s="24" t="n">
        <v>45881</v>
      </c>
      <c r="B81" s="25" t="n">
        <v>138.4</v>
      </c>
      <c r="C81" s="25" t="n">
        <v>139.85</v>
      </c>
      <c r="D81" s="25" t="n">
        <v>136.83</v>
      </c>
      <c r="E81" s="25" t="n">
        <v>138.34</v>
      </c>
      <c r="F81" s="26" t="n">
        <v>5708727</v>
      </c>
      <c r="G81" s="27" t="n">
        <f aca="false">E81-E80</f>
        <v>-4.27000000000001</v>
      </c>
      <c r="H81" s="28" t="n">
        <f aca="false">G81/E80</f>
        <v>-0.0299417993128112</v>
      </c>
      <c r="I81" s="29" t="n">
        <f aca="false">MAX(G81,0)</f>
        <v>0</v>
      </c>
      <c r="J81" s="29" t="n">
        <f aca="false">MAX(-G81,0)</f>
        <v>4.27000000000001</v>
      </c>
      <c r="K81" s="29" t="n">
        <f aca="false">(K80*13+I81)/14</f>
        <v>0.791959161799676</v>
      </c>
      <c r="L81" s="29" t="n">
        <f aca="false">(L80*13+J81)/14</f>
        <v>0.984361761714824</v>
      </c>
      <c r="M81" s="31" t="n">
        <f aca="false">IF(L81=0,100,100-100/(1+K81/MAX(L81,0.000001)))</f>
        <v>44.5842387665379</v>
      </c>
      <c r="N81" s="30" t="n">
        <f aca="false">AVERAGE(E62:E81)</f>
        <v>142.025</v>
      </c>
      <c r="O81" s="30" t="n">
        <f aca="false">AVERAGE(E32:E81)</f>
        <v>137.3938</v>
      </c>
      <c r="Q81" s="30" t="n">
        <f aca="false">Q80+(2/13)*(E81-Q80)</f>
        <v>141.666405689126</v>
      </c>
      <c r="R81" s="30" t="n">
        <f aca="false">R80+(2/27)*(E81-R80)</f>
        <v>140.926459057617</v>
      </c>
      <c r="S81" s="33" t="n">
        <f aca="false">Q81-R81</f>
        <v>0.739946631509298</v>
      </c>
      <c r="T81" s="33" t="n">
        <f aca="false">T80+(2/10)*(S81-T80)</f>
        <v>1.37446398884346</v>
      </c>
      <c r="U81" s="33" t="n">
        <f aca="false">S81-T81</f>
        <v>-0.634517357334165</v>
      </c>
      <c r="V81" s="32" t="str">
        <f aca="false">IF(M81="","",IF(M81&lt;Assumptions!$B$5,"BUY",IF(M81&gt;Assumptions!$B$4,"SELL","HOLD")))</f>
        <v>HOLD</v>
      </c>
      <c r="W81" s="32" t="str">
        <f aca="false">IF(O81="","",IF(E81&gt;O81,"BUY","SELL"))</f>
        <v>BUY</v>
      </c>
      <c r="X81" s="32" t="str">
        <f aca="false">IF(T81="","",IF(S81&gt;T81,"BUY","SELL"))</f>
        <v>SELL</v>
      </c>
      <c r="Y81" s="34" t="n">
        <f aca="false">IF(OR(V81="",W81="",X81=""),"",IFERROR(IF(V81="BUY",1,IF(V81="SELL",-1,0))+IF(W81="BUY",1,IF(W81="SELL",-1,0))+IF(X81="BUY",1,IF(X81="SELL",-1,0)),0))</f>
        <v>0</v>
      </c>
      <c r="Z81" s="32" t="str">
        <f aca="false">IF(Y81="","",IF(Y81&gt;=2,"STRONG BUY",IF(Y81=1,"BUY",IF(Y81=0,"HOLD",IF(Y81=-1,"SELL","STRONG SELL")))))</f>
        <v>HOLD</v>
      </c>
    </row>
    <row r="82" customFormat="false" ht="15" hidden="false" customHeight="false" outlineLevel="0" collapsed="false">
      <c r="A82" s="24" t="n">
        <v>45882</v>
      </c>
      <c r="B82" s="25" t="n">
        <v>137.1</v>
      </c>
      <c r="C82" s="25" t="n">
        <v>138.13</v>
      </c>
      <c r="D82" s="25" t="n">
        <v>135.97</v>
      </c>
      <c r="E82" s="25" t="n">
        <v>137.05</v>
      </c>
      <c r="F82" s="26" t="n">
        <v>11490333</v>
      </c>
      <c r="G82" s="27" t="n">
        <f aca="false">E82-E81</f>
        <v>-1.28999999999999</v>
      </c>
      <c r="H82" s="28" t="n">
        <f aca="false">G82/E81</f>
        <v>-0.00932485181437033</v>
      </c>
      <c r="I82" s="29" t="n">
        <f aca="false">MAX(G82,0)</f>
        <v>0</v>
      </c>
      <c r="J82" s="29" t="n">
        <f aca="false">MAX(-G82,0)</f>
        <v>1.28999999999999</v>
      </c>
      <c r="K82" s="29" t="n">
        <f aca="false">(K81*13+I82)/14</f>
        <v>0.735390650242557</v>
      </c>
      <c r="L82" s="29" t="n">
        <f aca="false">(L81*13+J82)/14</f>
        <v>1.00619306444948</v>
      </c>
      <c r="M82" s="31" t="n">
        <f aca="false">IF(L82=0,100,100-100/(1+K82/MAX(L82,0.000001)))</f>
        <v>42.2253977250009</v>
      </c>
      <c r="N82" s="30" t="n">
        <f aca="false">AVERAGE(E63:E82)</f>
        <v>141.7895</v>
      </c>
      <c r="O82" s="30" t="n">
        <f aca="false">AVERAGE(E33:E82)</f>
        <v>137.5664</v>
      </c>
      <c r="Q82" s="30" t="n">
        <f aca="false">Q81+(2/13)*(E82-Q81)</f>
        <v>140.95618942926</v>
      </c>
      <c r="R82" s="30" t="n">
        <f aca="false">R81+(2/27)*(E82-R81)</f>
        <v>140.639313942238</v>
      </c>
      <c r="S82" s="33" t="n">
        <f aca="false">Q82-R82</f>
        <v>0.31687548702277</v>
      </c>
      <c r="T82" s="33" t="n">
        <f aca="false">T81+(2/10)*(S82-T81)</f>
        <v>1.16294628847932</v>
      </c>
      <c r="U82" s="33" t="n">
        <f aca="false">S82-T82</f>
        <v>-0.846070801456555</v>
      </c>
      <c r="V82" s="32" t="str">
        <f aca="false">IF(M82="","",IF(M82&lt;Assumptions!$B$5,"BUY",IF(M82&gt;Assumptions!$B$4,"SELL","HOLD")))</f>
        <v>HOLD</v>
      </c>
      <c r="W82" s="32" t="str">
        <f aca="false">IF(O82="","",IF(E82&gt;O82,"BUY","SELL"))</f>
        <v>SELL</v>
      </c>
      <c r="X82" s="32" t="str">
        <f aca="false">IF(T82="","",IF(S82&gt;T82,"BUY","SELL"))</f>
        <v>SELL</v>
      </c>
      <c r="Y82" s="34" t="n">
        <f aca="false">IF(OR(V82="",W82="",X82=""),"",IFERROR(IF(V82="BUY",1,IF(V82="SELL",-1,0))+IF(W82="BUY",1,IF(W82="SELL",-1,0))+IF(X82="BUY",1,IF(X82="SELL",-1,0)),0))</f>
        <v>-2</v>
      </c>
      <c r="Z82" s="32" t="str">
        <f aca="false">IF(Y82="","",IF(Y82&gt;=2,"STRONG BUY",IF(Y82=1,"BUY",IF(Y82=0,"HOLD",IF(Y82=-1,"SELL","STRONG SELL")))))</f>
        <v>STRONG SELL</v>
      </c>
    </row>
    <row r="83" customFormat="false" ht="15" hidden="false" customHeight="false" outlineLevel="0" collapsed="false">
      <c r="A83" s="24" t="n">
        <v>45883</v>
      </c>
      <c r="B83" s="25" t="n">
        <v>134.73</v>
      </c>
      <c r="C83" s="25" t="n">
        <v>136.29</v>
      </c>
      <c r="D83" s="25" t="n">
        <v>134.63</v>
      </c>
      <c r="E83" s="25" t="n">
        <v>135.46</v>
      </c>
      <c r="F83" s="26" t="n">
        <v>13768250</v>
      </c>
      <c r="G83" s="27" t="n">
        <f aca="false">E83-E82</f>
        <v>-1.59</v>
      </c>
      <c r="H83" s="28" t="n">
        <f aca="false">G83/E82</f>
        <v>-0.0116016052535571</v>
      </c>
      <c r="I83" s="29" t="n">
        <f aca="false">MAX(G83,0)</f>
        <v>0</v>
      </c>
      <c r="J83" s="29" t="n">
        <f aca="false">MAX(-G83,0)</f>
        <v>1.59</v>
      </c>
      <c r="K83" s="29" t="n">
        <f aca="false">(K82*13+I83)/14</f>
        <v>0.682862746653803</v>
      </c>
      <c r="L83" s="29" t="n">
        <f aca="false">(L82*13+J83)/14</f>
        <v>1.04789355984594</v>
      </c>
      <c r="M83" s="31" t="n">
        <f aca="false">IF(L83=0,100,100-100/(1+K83/MAX(L83,0.000001)))</f>
        <v>39.4545866503189</v>
      </c>
      <c r="N83" s="30" t="n">
        <f aca="false">AVERAGE(E64:E83)</f>
        <v>141.519</v>
      </c>
      <c r="O83" s="30" t="n">
        <f aca="false">AVERAGE(E34:E83)</f>
        <v>137.654</v>
      </c>
      <c r="Q83" s="30" t="n">
        <f aca="false">Q82+(2/13)*(E83-Q82)</f>
        <v>140.110621824759</v>
      </c>
      <c r="R83" s="30" t="n">
        <f aca="false">R82+(2/27)*(E83-R82)</f>
        <v>140.255661057627</v>
      </c>
      <c r="S83" s="33" t="n">
        <f aca="false">Q83-R83</f>
        <v>-0.145039232868612</v>
      </c>
      <c r="T83" s="33" t="n">
        <f aca="false">T82+(2/10)*(S83-T82)</f>
        <v>0.901349184209737</v>
      </c>
      <c r="U83" s="33" t="n">
        <f aca="false">S83-T83</f>
        <v>-1.04638841707835</v>
      </c>
      <c r="V83" s="32" t="str">
        <f aca="false">IF(M83="","",IF(M83&lt;Assumptions!$B$5,"BUY",IF(M83&gt;Assumptions!$B$4,"SELL","HOLD")))</f>
        <v>HOLD</v>
      </c>
      <c r="W83" s="32" t="str">
        <f aca="false">IF(O83="","",IF(E83&gt;O83,"BUY","SELL"))</f>
        <v>SELL</v>
      </c>
      <c r="X83" s="32" t="str">
        <f aca="false">IF(T83="","",IF(S83&gt;T83,"BUY","SELL"))</f>
        <v>SELL</v>
      </c>
      <c r="Y83" s="34" t="n">
        <f aca="false">IF(OR(V83="",W83="",X83=""),"",IFERROR(IF(V83="BUY",1,IF(V83="SELL",-1,0))+IF(W83="BUY",1,IF(W83="SELL",-1,0))+IF(X83="BUY",1,IF(X83="SELL",-1,0)),0))</f>
        <v>-2</v>
      </c>
      <c r="Z83" s="32" t="str">
        <f aca="false">IF(Y83="","",IF(Y83&gt;=2,"STRONG BUY",IF(Y83=1,"BUY",IF(Y83=0,"HOLD",IF(Y83=-1,"SELL","STRONG SELL")))))</f>
        <v>STRONG SELL</v>
      </c>
    </row>
    <row r="84" customFormat="false" ht="15" hidden="false" customHeight="false" outlineLevel="0" collapsed="false">
      <c r="A84" s="24" t="n">
        <v>45884</v>
      </c>
      <c r="B84" s="25" t="n">
        <v>136.85</v>
      </c>
      <c r="C84" s="25" t="n">
        <v>137.29</v>
      </c>
      <c r="D84" s="25" t="n">
        <v>136.75</v>
      </c>
      <c r="E84" s="25" t="n">
        <v>137.02</v>
      </c>
      <c r="F84" s="26" t="n">
        <v>8624731</v>
      </c>
      <c r="G84" s="27" t="n">
        <f aca="false">E84-E83</f>
        <v>1.56</v>
      </c>
      <c r="H84" s="28" t="n">
        <f aca="false">G84/E83</f>
        <v>0.0115163147792707</v>
      </c>
      <c r="I84" s="29" t="n">
        <f aca="false">MAX(G84,0)</f>
        <v>1.56</v>
      </c>
      <c r="J84" s="29" t="n">
        <f aca="false">MAX(-G84,0)</f>
        <v>0</v>
      </c>
      <c r="K84" s="29" t="n">
        <f aca="false">(K83*13+I84)/14</f>
        <v>0.745515407607103</v>
      </c>
      <c r="L84" s="29" t="n">
        <f aca="false">(L83*13+J84)/14</f>
        <v>0.973044019856949</v>
      </c>
      <c r="M84" s="31" t="n">
        <f aca="false">IF(L84=0,100,100-100/(1+K84/MAX(L84,0.000001)))</f>
        <v>43.380251837273</v>
      </c>
      <c r="N84" s="30" t="n">
        <f aca="false">AVERAGE(E65:E84)</f>
        <v>141.426</v>
      </c>
      <c r="O84" s="30" t="n">
        <f aca="false">AVERAGE(E35:E84)</f>
        <v>137.7796</v>
      </c>
      <c r="Q84" s="30" t="n">
        <f aca="false">Q83+(2/13)*(E84-Q83)</f>
        <v>139.635141544027</v>
      </c>
      <c r="R84" s="30" t="n">
        <f aca="false">R83+(2/27)*(E84-R83)</f>
        <v>140.015982460766</v>
      </c>
      <c r="S84" s="33" t="n">
        <f aca="false">Q84-R84</f>
        <v>-0.38084091673943</v>
      </c>
      <c r="T84" s="33" t="n">
        <f aca="false">T83+(2/10)*(S84-T83)</f>
        <v>0.644911164019904</v>
      </c>
      <c r="U84" s="33" t="n">
        <f aca="false">S84-T84</f>
        <v>-1.02575208075933</v>
      </c>
      <c r="V84" s="32" t="str">
        <f aca="false">IF(M84="","",IF(M84&lt;Assumptions!$B$5,"BUY",IF(M84&gt;Assumptions!$B$4,"SELL","HOLD")))</f>
        <v>HOLD</v>
      </c>
      <c r="W84" s="32" t="str">
        <f aca="false">IF(O84="","",IF(E84&gt;O84,"BUY","SELL"))</f>
        <v>SELL</v>
      </c>
      <c r="X84" s="32" t="str">
        <f aca="false">IF(T84="","",IF(S84&gt;T84,"BUY","SELL"))</f>
        <v>SELL</v>
      </c>
      <c r="Y84" s="34" t="n">
        <f aca="false">IF(OR(V84="",W84="",X84=""),"",IFERROR(IF(V84="BUY",1,IF(V84="SELL",-1,0))+IF(W84="BUY",1,IF(W84="SELL",-1,0))+IF(X84="BUY",1,IF(X84="SELL",-1,0)),0))</f>
        <v>-2</v>
      </c>
      <c r="Z84" s="32" t="str">
        <f aca="false">IF(Y84="","",IF(Y84&gt;=2,"STRONG BUY",IF(Y84=1,"BUY",IF(Y84=0,"HOLD",IF(Y84=-1,"SELL","STRONG SELL")))))</f>
        <v>STRONG SELL</v>
      </c>
    </row>
    <row r="85" customFormat="false" ht="15" hidden="false" customHeight="false" outlineLevel="0" collapsed="false">
      <c r="A85" s="24" t="n">
        <v>45887</v>
      </c>
      <c r="B85" s="25" t="n">
        <v>139.89</v>
      </c>
      <c r="C85" s="25" t="n">
        <v>139.89</v>
      </c>
      <c r="D85" s="25" t="n">
        <v>139.75</v>
      </c>
      <c r="E85" s="25" t="n">
        <v>139.82</v>
      </c>
      <c r="F85" s="26" t="n">
        <v>10430225</v>
      </c>
      <c r="G85" s="27" t="n">
        <f aca="false">E85-E84</f>
        <v>2.79999999999998</v>
      </c>
      <c r="H85" s="28" t="n">
        <f aca="false">G85/E84</f>
        <v>0.0204349729966427</v>
      </c>
      <c r="I85" s="29" t="n">
        <f aca="false">MAX(G85,0)</f>
        <v>2.79999999999998</v>
      </c>
      <c r="J85" s="29" t="n">
        <f aca="false">MAX(-G85,0)</f>
        <v>0</v>
      </c>
      <c r="K85" s="29" t="n">
        <f aca="false">(K84*13+I85)/14</f>
        <v>0.892264307063737</v>
      </c>
      <c r="L85" s="29" t="n">
        <f aca="false">(L84*13+J85)/14</f>
        <v>0.903540875581452</v>
      </c>
      <c r="M85" s="31" t="n">
        <f aca="false">IF(L85=0,100,100-100/(1+K85/MAX(L85,0.000001)))</f>
        <v>49.6860302936339</v>
      </c>
      <c r="N85" s="30" t="n">
        <f aca="false">AVERAGE(E66:E85)</f>
        <v>141.4125</v>
      </c>
      <c r="O85" s="30" t="n">
        <f aca="false">AVERAGE(E36:E85)</f>
        <v>138.0036</v>
      </c>
      <c r="Q85" s="30" t="n">
        <f aca="false">Q84+(2/13)*(E85-Q84)</f>
        <v>139.663581306484</v>
      </c>
      <c r="R85" s="30" t="n">
        <f aca="false">R84+(2/27)*(E85-R84)</f>
        <v>140.00146524145</v>
      </c>
      <c r="S85" s="33" t="n">
        <f aca="false">Q85-R85</f>
        <v>-0.337883934965987</v>
      </c>
      <c r="T85" s="33" t="n">
        <f aca="false">T84+(2/10)*(S85-T84)</f>
        <v>0.448352144222726</v>
      </c>
      <c r="U85" s="33" t="n">
        <f aca="false">S85-T85</f>
        <v>-0.786236079188713</v>
      </c>
      <c r="V85" s="32" t="str">
        <f aca="false">IF(M85="","",IF(M85&lt;Assumptions!$B$5,"BUY",IF(M85&gt;Assumptions!$B$4,"SELL","HOLD")))</f>
        <v>HOLD</v>
      </c>
      <c r="W85" s="32" t="str">
        <f aca="false">IF(O85="","",IF(E85&gt;O85,"BUY","SELL"))</f>
        <v>BUY</v>
      </c>
      <c r="X85" s="32" t="str">
        <f aca="false">IF(T85="","",IF(S85&gt;T85,"BUY","SELL"))</f>
        <v>SELL</v>
      </c>
      <c r="Y85" s="34" t="n">
        <f aca="false">IF(OR(V85="",W85="",X85=""),"",IFERROR(IF(V85="BUY",1,IF(V85="SELL",-1,0))+IF(W85="BUY",1,IF(W85="SELL",-1,0))+IF(X85="BUY",1,IF(X85="SELL",-1,0)),0))</f>
        <v>0</v>
      </c>
      <c r="Z85" s="32" t="str">
        <f aca="false">IF(Y85="","",IF(Y85&gt;=2,"STRONG BUY",IF(Y85=1,"BUY",IF(Y85=0,"HOLD",IF(Y85=-1,"SELL","STRONG SELL")))))</f>
        <v>HOLD</v>
      </c>
    </row>
    <row r="86" customFormat="false" ht="15" hidden="false" customHeight="false" outlineLevel="0" collapsed="false">
      <c r="A86" s="24" t="n">
        <v>45888</v>
      </c>
      <c r="B86" s="25" t="n">
        <v>141.1</v>
      </c>
      <c r="C86" s="25" t="n">
        <v>141.97</v>
      </c>
      <c r="D86" s="25" t="n">
        <v>140.53</v>
      </c>
      <c r="E86" s="25" t="n">
        <v>141.25</v>
      </c>
      <c r="F86" s="26" t="n">
        <v>19244141</v>
      </c>
      <c r="G86" s="27" t="n">
        <f aca="false">E86-E85</f>
        <v>1.43000000000001</v>
      </c>
      <c r="H86" s="28" t="n">
        <f aca="false">G86/E85</f>
        <v>0.0102274352739237</v>
      </c>
      <c r="I86" s="29" t="n">
        <f aca="false">MAX(G86,0)</f>
        <v>1.43000000000001</v>
      </c>
      <c r="J86" s="29" t="n">
        <f aca="false">MAX(-G86,0)</f>
        <v>0</v>
      </c>
      <c r="K86" s="29" t="n">
        <f aca="false">(K85*13+I86)/14</f>
        <v>0.930673999416328</v>
      </c>
      <c r="L86" s="29" t="n">
        <f aca="false">(L85*13+J86)/14</f>
        <v>0.839002241611349</v>
      </c>
      <c r="M86" s="31" t="n">
        <f aca="false">IF(L86=0,100,100-100/(1+K86/MAX(L86,0.000001)))</f>
        <v>52.5900714401789</v>
      </c>
      <c r="N86" s="30" t="n">
        <f aca="false">AVERAGE(E67:E86)</f>
        <v>141.4605</v>
      </c>
      <c r="O86" s="30" t="n">
        <f aca="false">AVERAGE(E37:E86)</f>
        <v>138.322</v>
      </c>
      <c r="Q86" s="30" t="n">
        <f aca="false">Q85+(2/13)*(E86-Q85)</f>
        <v>139.907645720871</v>
      </c>
      <c r="R86" s="30" t="n">
        <f aca="false">R85+(2/27)*(E86-R85)</f>
        <v>140.093949297639</v>
      </c>
      <c r="S86" s="33" t="n">
        <f aca="false">Q86-R86</f>
        <v>-0.186303576767813</v>
      </c>
      <c r="T86" s="33" t="n">
        <f aca="false">T85+(2/10)*(S86-T85)</f>
        <v>0.321421000024618</v>
      </c>
      <c r="U86" s="33" t="n">
        <f aca="false">S86-T86</f>
        <v>-0.507724576792431</v>
      </c>
      <c r="V86" s="32" t="str">
        <f aca="false">IF(M86="","",IF(M86&lt;Assumptions!$B$5,"BUY",IF(M86&gt;Assumptions!$B$4,"SELL","HOLD")))</f>
        <v>HOLD</v>
      </c>
      <c r="W86" s="32" t="str">
        <f aca="false">IF(O86="","",IF(E86&gt;O86,"BUY","SELL"))</f>
        <v>BUY</v>
      </c>
      <c r="X86" s="32" t="str">
        <f aca="false">IF(T86="","",IF(S86&gt;T86,"BUY","SELL"))</f>
        <v>SELL</v>
      </c>
      <c r="Y86" s="34" t="n">
        <f aca="false">IF(OR(V86="",W86="",X86=""),"",IFERROR(IF(V86="BUY",1,IF(V86="SELL",-1,0))+IF(W86="BUY",1,IF(W86="SELL",-1,0))+IF(X86="BUY",1,IF(X86="SELL",-1,0)),0))</f>
        <v>0</v>
      </c>
      <c r="Z86" s="32" t="str">
        <f aca="false">IF(Y86="","",IF(Y86&gt;=2,"STRONG BUY",IF(Y86=1,"BUY",IF(Y86=0,"HOLD",IF(Y86=-1,"SELL","STRONG SELL")))))</f>
        <v>HOLD</v>
      </c>
    </row>
    <row r="87" customFormat="false" ht="15" hidden="false" customHeight="false" outlineLevel="0" collapsed="false">
      <c r="A87" s="24" t="n">
        <v>45889</v>
      </c>
      <c r="B87" s="25" t="n">
        <v>143.83</v>
      </c>
      <c r="C87" s="25" t="n">
        <v>143.87</v>
      </c>
      <c r="D87" s="25" t="n">
        <v>143.83</v>
      </c>
      <c r="E87" s="25" t="n">
        <v>143.85</v>
      </c>
      <c r="F87" s="26" t="n">
        <v>5234522</v>
      </c>
      <c r="G87" s="27" t="n">
        <f aca="false">E87-E86</f>
        <v>2.59999999999999</v>
      </c>
      <c r="H87" s="28" t="n">
        <f aca="false">G87/E86</f>
        <v>0.0184070796460177</v>
      </c>
      <c r="I87" s="29" t="n">
        <f aca="false">MAX(G87,0)</f>
        <v>2.59999999999999</v>
      </c>
      <c r="J87" s="29" t="n">
        <f aca="false">MAX(-G87,0)</f>
        <v>0</v>
      </c>
      <c r="K87" s="29" t="n">
        <f aca="false">(K86*13+I87)/14</f>
        <v>1.04991157088659</v>
      </c>
      <c r="L87" s="29" t="n">
        <f aca="false">(L86*13+J87)/14</f>
        <v>0.779073510067681</v>
      </c>
      <c r="M87" s="31" t="n">
        <f aca="false">IF(L87=0,100,100-100/(1+K87/MAX(L87,0.000001)))</f>
        <v>57.4040533091063</v>
      </c>
      <c r="N87" s="30" t="n">
        <f aca="false">AVERAGE(E68:E87)</f>
        <v>141.587</v>
      </c>
      <c r="O87" s="30" t="n">
        <f aca="false">AVERAGE(E38:E87)</f>
        <v>138.6836</v>
      </c>
      <c r="Q87" s="30" t="n">
        <f aca="false">Q86+(2/13)*(E87-Q86)</f>
        <v>140.514161763814</v>
      </c>
      <c r="R87" s="30" t="n">
        <f aca="false">R86+(2/27)*(E87-R86)</f>
        <v>140.372175275592</v>
      </c>
      <c r="S87" s="33" t="n">
        <f aca="false">Q87-R87</f>
        <v>0.141986488222415</v>
      </c>
      <c r="T87" s="33" t="n">
        <f aca="false">T86+(2/10)*(S87-T86)</f>
        <v>0.285534097664177</v>
      </c>
      <c r="U87" s="33" t="n">
        <f aca="false">S87-T87</f>
        <v>-0.143547609441763</v>
      </c>
      <c r="V87" s="32" t="str">
        <f aca="false">IF(M87="","",IF(M87&lt;Assumptions!$B$5,"BUY",IF(M87&gt;Assumptions!$B$4,"SELL","HOLD")))</f>
        <v>HOLD</v>
      </c>
      <c r="W87" s="32" t="str">
        <f aca="false">IF(O87="","",IF(E87&gt;O87,"BUY","SELL"))</f>
        <v>BUY</v>
      </c>
      <c r="X87" s="32" t="str">
        <f aca="false">IF(T87="","",IF(S87&gt;T87,"BUY","SELL"))</f>
        <v>SELL</v>
      </c>
      <c r="Y87" s="34" t="n">
        <f aca="false">IF(OR(V87="",W87="",X87=""),"",IFERROR(IF(V87="BUY",1,IF(V87="SELL",-1,0))+IF(W87="BUY",1,IF(W87="SELL",-1,0))+IF(X87="BUY",1,IF(X87="SELL",-1,0)),0))</f>
        <v>0</v>
      </c>
      <c r="Z87" s="32" t="str">
        <f aca="false">IF(Y87="","",IF(Y87&gt;=2,"STRONG BUY",IF(Y87=1,"BUY",IF(Y87=0,"HOLD",IF(Y87=-1,"SELL","STRONG SELL")))))</f>
        <v>HOLD</v>
      </c>
    </row>
    <row r="88" customFormat="false" ht="15" hidden="false" customHeight="false" outlineLevel="0" collapsed="false">
      <c r="A88" s="24" t="n">
        <v>45890</v>
      </c>
      <c r="B88" s="25" t="n">
        <v>139.97</v>
      </c>
      <c r="C88" s="25" t="n">
        <v>140.96</v>
      </c>
      <c r="D88" s="25" t="n">
        <v>138.56</v>
      </c>
      <c r="E88" s="25" t="n">
        <v>139.76</v>
      </c>
      <c r="F88" s="26" t="n">
        <v>11044710</v>
      </c>
      <c r="G88" s="27" t="n">
        <f aca="false">E88-E87</f>
        <v>-4.09</v>
      </c>
      <c r="H88" s="28" t="n">
        <f aca="false">G88/E87</f>
        <v>-0.0284323948557525</v>
      </c>
      <c r="I88" s="29" t="n">
        <f aca="false">MAX(G88,0)</f>
        <v>0</v>
      </c>
      <c r="J88" s="29" t="n">
        <f aca="false">MAX(-G88,0)</f>
        <v>4.09</v>
      </c>
      <c r="K88" s="29" t="n">
        <f aca="false">(K87*13+I88)/14</f>
        <v>0.974917887251833</v>
      </c>
      <c r="L88" s="29" t="n">
        <f aca="false">(L87*13+J88)/14</f>
        <v>1.01556825934856</v>
      </c>
      <c r="M88" s="31" t="n">
        <f aca="false">IF(L88=0,100,100-100/(1+K88/MAX(L88,0.000001)))</f>
        <v>48.9788833203849</v>
      </c>
      <c r="N88" s="30" t="n">
        <f aca="false">AVERAGE(E69:E88)</f>
        <v>141.523</v>
      </c>
      <c r="O88" s="30" t="n">
        <f aca="false">AVERAGE(E39:E88)</f>
        <v>139.0036</v>
      </c>
      <c r="Q88" s="30" t="n">
        <f aca="false">Q87+(2/13)*(E88-Q87)</f>
        <v>140.398136877073</v>
      </c>
      <c r="R88" s="30" t="n">
        <f aca="false">R87+(2/27)*(E88-R87)</f>
        <v>140.326828958881</v>
      </c>
      <c r="S88" s="33" t="n">
        <f aca="false">Q88-R88</f>
        <v>0.0713079181922751</v>
      </c>
      <c r="T88" s="33" t="n">
        <f aca="false">T87+(2/10)*(S88-T87)</f>
        <v>0.242688861769797</v>
      </c>
      <c r="U88" s="33" t="n">
        <f aca="false">S88-T88</f>
        <v>-0.171380943577522</v>
      </c>
      <c r="V88" s="32" t="str">
        <f aca="false">IF(M88="","",IF(M88&lt;Assumptions!$B$5,"BUY",IF(M88&gt;Assumptions!$B$4,"SELL","HOLD")))</f>
        <v>HOLD</v>
      </c>
      <c r="W88" s="32" t="str">
        <f aca="false">IF(O88="","",IF(E88&gt;O88,"BUY","SELL"))</f>
        <v>BUY</v>
      </c>
      <c r="X88" s="32" t="str">
        <f aca="false">IF(T88="","",IF(S88&gt;T88,"BUY","SELL"))</f>
        <v>SELL</v>
      </c>
      <c r="Y88" s="34" t="n">
        <f aca="false">IF(OR(V88="",W88="",X88=""),"",IFERROR(IF(V88="BUY",1,IF(V88="SELL",-1,0))+IF(W88="BUY",1,IF(W88="SELL",-1,0))+IF(X88="BUY",1,IF(X88="SELL",-1,0)),0))</f>
        <v>0</v>
      </c>
      <c r="Z88" s="32" t="str">
        <f aca="false">IF(Y88="","",IF(Y88&gt;=2,"STRONG BUY",IF(Y88=1,"BUY",IF(Y88=0,"HOLD",IF(Y88=-1,"SELL","STRONG SELL")))))</f>
        <v>HOLD</v>
      </c>
    </row>
    <row r="89" customFormat="false" ht="15" hidden="false" customHeight="false" outlineLevel="0" collapsed="false">
      <c r="A89" s="24" t="n">
        <v>45891</v>
      </c>
      <c r="B89" s="25" t="n">
        <v>139.83</v>
      </c>
      <c r="C89" s="25" t="n">
        <v>140.31</v>
      </c>
      <c r="D89" s="25" t="n">
        <v>139.83</v>
      </c>
      <c r="E89" s="25" t="n">
        <v>140.07</v>
      </c>
      <c r="F89" s="26" t="n">
        <v>11368159</v>
      </c>
      <c r="G89" s="27" t="n">
        <f aca="false">E89-E88</f>
        <v>0.310000000000002</v>
      </c>
      <c r="H89" s="28" t="n">
        <f aca="false">G89/E88</f>
        <v>0.00221808815111622</v>
      </c>
      <c r="I89" s="29" t="n">
        <f aca="false">MAX(G89,0)</f>
        <v>0.310000000000002</v>
      </c>
      <c r="J89" s="29" t="n">
        <f aca="false">MAX(-G89,0)</f>
        <v>0</v>
      </c>
      <c r="K89" s="29" t="n">
        <f aca="false">(K88*13+I89)/14</f>
        <v>0.927423752448131</v>
      </c>
      <c r="L89" s="29" t="n">
        <f aca="false">(L88*13+J89)/14</f>
        <v>0.943027669395092</v>
      </c>
      <c r="M89" s="31" t="n">
        <f aca="false">IF(L89=0,100,100-100/(1+K89/MAX(L89,0.000001)))</f>
        <v>49.5828836620738</v>
      </c>
      <c r="N89" s="30" t="n">
        <f aca="false">AVERAGE(E70:E89)</f>
        <v>141.257</v>
      </c>
      <c r="O89" s="30" t="n">
        <f aca="false">AVERAGE(E40:E89)</f>
        <v>139.2586</v>
      </c>
      <c r="Q89" s="30" t="n">
        <f aca="false">Q88+(2/13)*(E89-Q88)</f>
        <v>140.347654280601</v>
      </c>
      <c r="R89" s="30" t="n">
        <f aca="false">R88+(2/27)*(E89-R88)</f>
        <v>140.307804591557</v>
      </c>
      <c r="S89" s="33" t="n">
        <f aca="false">Q89-R89</f>
        <v>0.0398496890439901</v>
      </c>
      <c r="T89" s="33" t="n">
        <f aca="false">T88+(2/10)*(S89-T88)</f>
        <v>0.202121027224635</v>
      </c>
      <c r="U89" s="33" t="n">
        <f aca="false">S89-T89</f>
        <v>-0.162271338180645</v>
      </c>
      <c r="V89" s="32" t="str">
        <f aca="false">IF(M89="","",IF(M89&lt;Assumptions!$B$5,"BUY",IF(M89&gt;Assumptions!$B$4,"SELL","HOLD")))</f>
        <v>HOLD</v>
      </c>
      <c r="W89" s="32" t="str">
        <f aca="false">IF(O89="","",IF(E89&gt;O89,"BUY","SELL"))</f>
        <v>BUY</v>
      </c>
      <c r="X89" s="32" t="str">
        <f aca="false">IF(T89="","",IF(S89&gt;T89,"BUY","SELL"))</f>
        <v>SELL</v>
      </c>
      <c r="Y89" s="34" t="n">
        <f aca="false">IF(OR(V89="",W89="",X89=""),"",IFERROR(IF(V89="BUY",1,IF(V89="SELL",-1,0))+IF(W89="BUY",1,IF(W89="SELL",-1,0))+IF(X89="BUY",1,IF(X89="SELL",-1,0)),0))</f>
        <v>0</v>
      </c>
      <c r="Z89" s="32" t="str">
        <f aca="false">IF(Y89="","",IF(Y89&gt;=2,"STRONG BUY",IF(Y89=1,"BUY",IF(Y89=0,"HOLD",IF(Y89=-1,"SELL","STRONG SELL")))))</f>
        <v>HOLD</v>
      </c>
    </row>
    <row r="90" customFormat="false" ht="15" hidden="false" customHeight="false" outlineLevel="0" collapsed="false">
      <c r="A90" s="24" t="n">
        <v>45894</v>
      </c>
      <c r="B90" s="25" t="n">
        <v>137.75</v>
      </c>
      <c r="C90" s="25" t="n">
        <v>138.1</v>
      </c>
      <c r="D90" s="25" t="n">
        <v>137.08</v>
      </c>
      <c r="E90" s="25" t="n">
        <v>137.59</v>
      </c>
      <c r="F90" s="26" t="n">
        <v>11083710</v>
      </c>
      <c r="G90" s="27" t="n">
        <f aca="false">E90-E89</f>
        <v>-2.47999999999999</v>
      </c>
      <c r="H90" s="28" t="n">
        <f aca="false">G90/E89</f>
        <v>-0.0177054329977868</v>
      </c>
      <c r="I90" s="29" t="n">
        <f aca="false">MAX(G90,0)</f>
        <v>0</v>
      </c>
      <c r="J90" s="29" t="n">
        <f aca="false">MAX(-G90,0)</f>
        <v>2.47999999999999</v>
      </c>
      <c r="K90" s="29" t="n">
        <f aca="false">(K89*13+I90)/14</f>
        <v>0.861179198701836</v>
      </c>
      <c r="L90" s="29" t="n">
        <f aca="false">(L89*13+J90)/14</f>
        <v>1.05281140729544</v>
      </c>
      <c r="M90" s="31" t="n">
        <f aca="false">IF(L90=0,100,100-100/(1+K90/MAX(L90,0.000001)))</f>
        <v>44.9939093746556</v>
      </c>
      <c r="N90" s="30" t="n">
        <f aca="false">AVERAGE(E71:E90)</f>
        <v>140.952</v>
      </c>
      <c r="O90" s="30" t="n">
        <f aca="false">AVERAGE(E41:E90)</f>
        <v>139.385</v>
      </c>
      <c r="Q90" s="30" t="n">
        <f aca="false">Q89+(2/13)*(E90-Q89)</f>
        <v>139.923399775893</v>
      </c>
      <c r="R90" s="30" t="n">
        <f aca="false">R89+(2/27)*(E90-R89)</f>
        <v>140.106485732923</v>
      </c>
      <c r="S90" s="33" t="n">
        <f aca="false">Q90-R90</f>
        <v>-0.183085957029988</v>
      </c>
      <c r="T90" s="33" t="n">
        <f aca="false">T89+(2/10)*(S90-T89)</f>
        <v>0.125079630373711</v>
      </c>
      <c r="U90" s="33" t="n">
        <f aca="false">S90-T90</f>
        <v>-0.308165587403699</v>
      </c>
      <c r="V90" s="32" t="str">
        <f aca="false">IF(M90="","",IF(M90&lt;Assumptions!$B$5,"BUY",IF(M90&gt;Assumptions!$B$4,"SELL","HOLD")))</f>
        <v>HOLD</v>
      </c>
      <c r="W90" s="32" t="str">
        <f aca="false">IF(O90="","",IF(E90&gt;O90,"BUY","SELL"))</f>
        <v>SELL</v>
      </c>
      <c r="X90" s="32" t="str">
        <f aca="false">IF(T90="","",IF(S90&gt;T90,"BUY","SELL"))</f>
        <v>SELL</v>
      </c>
      <c r="Y90" s="34" t="n">
        <f aca="false">IF(OR(V90="",W90="",X90=""),"",IFERROR(IF(V90="BUY",1,IF(V90="SELL",-1,0))+IF(W90="BUY",1,IF(W90="SELL",-1,0))+IF(X90="BUY",1,IF(X90="SELL",-1,0)),0))</f>
        <v>-2</v>
      </c>
      <c r="Z90" s="32" t="str">
        <f aca="false">IF(Y90="","",IF(Y90&gt;=2,"STRONG BUY",IF(Y90=1,"BUY",IF(Y90=0,"HOLD",IF(Y90=-1,"SELL","STRONG SELL")))))</f>
        <v>STRONG SELL</v>
      </c>
    </row>
    <row r="91" customFormat="false" ht="15" hidden="false" customHeight="false" outlineLevel="0" collapsed="false">
      <c r="A91" s="24" t="n">
        <v>45895</v>
      </c>
      <c r="B91" s="25" t="n">
        <v>136.55</v>
      </c>
      <c r="C91" s="25" t="n">
        <v>138.46</v>
      </c>
      <c r="D91" s="25" t="n">
        <v>135.4</v>
      </c>
      <c r="E91" s="25" t="n">
        <v>136.93</v>
      </c>
      <c r="F91" s="26" t="n">
        <v>16699000</v>
      </c>
      <c r="G91" s="27" t="n">
        <f aca="false">E91-E90</f>
        <v>-0.659999999999997</v>
      </c>
      <c r="H91" s="28" t="n">
        <f aca="false">G91/E90</f>
        <v>-0.0047968602369358</v>
      </c>
      <c r="I91" s="29" t="n">
        <f aca="false">MAX(G91,0)</f>
        <v>0</v>
      </c>
      <c r="J91" s="29" t="n">
        <f aca="false">MAX(-G91,0)</f>
        <v>0.659999999999997</v>
      </c>
      <c r="K91" s="29" t="n">
        <f aca="false">(K90*13+I91)/14</f>
        <v>0.799666398794562</v>
      </c>
      <c r="L91" s="29" t="n">
        <f aca="false">(L90*13+J91)/14</f>
        <v>1.02475344963148</v>
      </c>
      <c r="M91" s="31" t="n">
        <f aca="false">IF(L91=0,100,100-100/(1+K91/MAX(L91,0.000001)))</f>
        <v>43.8312704986436</v>
      </c>
      <c r="N91" s="30" t="n">
        <f aca="false">AVERAGE(E72:E91)</f>
        <v>140.6595</v>
      </c>
      <c r="O91" s="30" t="n">
        <f aca="false">AVERAGE(E42:E91)</f>
        <v>139.4902</v>
      </c>
      <c r="Q91" s="30" t="n">
        <f aca="false">Q90+(2/13)*(E91-Q90)</f>
        <v>139.462876733448</v>
      </c>
      <c r="R91" s="30" t="n">
        <f aca="false">R90+(2/27)*(E91-R90)</f>
        <v>139.871190493447</v>
      </c>
      <c r="S91" s="33" t="n">
        <f aca="false">Q91-R91</f>
        <v>-0.40831375999926</v>
      </c>
      <c r="T91" s="33" t="n">
        <f aca="false">T90+(2/10)*(S91-T90)</f>
        <v>0.0184009522991167</v>
      </c>
      <c r="U91" s="33" t="n">
        <f aca="false">S91-T91</f>
        <v>-0.426714712298376</v>
      </c>
      <c r="V91" s="32" t="str">
        <f aca="false">IF(M91="","",IF(M91&lt;Assumptions!$B$5,"BUY",IF(M91&gt;Assumptions!$B$4,"SELL","HOLD")))</f>
        <v>HOLD</v>
      </c>
      <c r="W91" s="32" t="str">
        <f aca="false">IF(O91="","",IF(E91&gt;O91,"BUY","SELL"))</f>
        <v>SELL</v>
      </c>
      <c r="X91" s="32" t="str">
        <f aca="false">IF(T91="","",IF(S91&gt;T91,"BUY","SELL"))</f>
        <v>SELL</v>
      </c>
      <c r="Y91" s="34" t="n">
        <f aca="false">IF(OR(V91="",W91="",X91=""),"",IFERROR(IF(V91="BUY",1,IF(V91="SELL",-1,0))+IF(W91="BUY",1,IF(W91="SELL",-1,0))+IF(X91="BUY",1,IF(X91="SELL",-1,0)),0))</f>
        <v>-2</v>
      </c>
      <c r="Z91" s="32" t="str">
        <f aca="false">IF(Y91="","",IF(Y91&gt;=2,"STRONG BUY",IF(Y91=1,"BUY",IF(Y91=0,"HOLD",IF(Y91=-1,"SELL","STRONG SELL")))))</f>
        <v>STRONG SELL</v>
      </c>
    </row>
    <row r="92" customFormat="false" ht="15" hidden="false" customHeight="false" outlineLevel="0" collapsed="false">
      <c r="A92" s="24" t="n">
        <v>45896</v>
      </c>
      <c r="B92" s="25" t="n">
        <v>137.12</v>
      </c>
      <c r="C92" s="25" t="n">
        <v>138.25</v>
      </c>
      <c r="D92" s="25" t="n">
        <v>136.51</v>
      </c>
      <c r="E92" s="25" t="n">
        <v>137.38</v>
      </c>
      <c r="F92" s="26" t="n">
        <v>8465515</v>
      </c>
      <c r="G92" s="27" t="n">
        <f aca="false">E92-E91</f>
        <v>0.449999999999989</v>
      </c>
      <c r="H92" s="28" t="n">
        <f aca="false">G92/E91</f>
        <v>0.00328635069013356</v>
      </c>
      <c r="I92" s="29" t="n">
        <f aca="false">MAX(G92,0)</f>
        <v>0.449999999999989</v>
      </c>
      <c r="J92" s="29" t="n">
        <f aca="false">MAX(-G92,0)</f>
        <v>0</v>
      </c>
      <c r="K92" s="29" t="n">
        <f aca="false">(K91*13+I92)/14</f>
        <v>0.774690227452093</v>
      </c>
      <c r="L92" s="29" t="n">
        <f aca="false">(L91*13+J92)/14</f>
        <v>0.951556774657805</v>
      </c>
      <c r="M92" s="31" t="n">
        <f aca="false">IF(L92=0,100,100-100/(1+K92/MAX(L92,0.000001)))</f>
        <v>44.8771367310258</v>
      </c>
      <c r="N92" s="30" t="n">
        <f aca="false">AVERAGE(E73:E92)</f>
        <v>140.341</v>
      </c>
      <c r="O92" s="30" t="n">
        <f aca="false">AVERAGE(E43:E92)</f>
        <v>139.5874</v>
      </c>
      <c r="Q92" s="30" t="n">
        <f aca="false">Q91+(2/13)*(E92-Q91)</f>
        <v>139.142434159071</v>
      </c>
      <c r="R92" s="30" t="n">
        <f aca="false">R91+(2/27)*(E92-R91)</f>
        <v>139.686657864303</v>
      </c>
      <c r="S92" s="33" t="n">
        <f aca="false">Q92-R92</f>
        <v>-0.544223705231616</v>
      </c>
      <c r="T92" s="33" t="n">
        <f aca="false">T91+(2/10)*(S92-T91)</f>
        <v>-0.0941239792070298</v>
      </c>
      <c r="U92" s="33" t="n">
        <f aca="false">S92-T92</f>
        <v>-0.450099726024586</v>
      </c>
      <c r="V92" s="32" t="str">
        <f aca="false">IF(M92="","",IF(M92&lt;Assumptions!$B$5,"BUY",IF(M92&gt;Assumptions!$B$4,"SELL","HOLD")))</f>
        <v>HOLD</v>
      </c>
      <c r="W92" s="32" t="str">
        <f aca="false">IF(O92="","",IF(E92&gt;O92,"BUY","SELL"))</f>
        <v>SELL</v>
      </c>
      <c r="X92" s="32" t="str">
        <f aca="false">IF(T92="","",IF(S92&gt;T92,"BUY","SELL"))</f>
        <v>SELL</v>
      </c>
      <c r="Y92" s="34" t="n">
        <f aca="false">IF(OR(V92="",W92="",X92=""),"",IFERROR(IF(V92="BUY",1,IF(V92="SELL",-1,0))+IF(W92="BUY",1,IF(W92="SELL",-1,0))+IF(X92="BUY",1,IF(X92="SELL",-1,0)),0))</f>
        <v>-2</v>
      </c>
      <c r="Z92" s="32" t="str">
        <f aca="false">IF(Y92="","",IF(Y92&gt;=2,"STRONG BUY",IF(Y92=1,"BUY",IF(Y92=0,"HOLD",IF(Y92=-1,"SELL","STRONG SELL")))))</f>
        <v>STRONG SELL</v>
      </c>
    </row>
    <row r="93" customFormat="false" ht="15" hidden="false" customHeight="false" outlineLevel="0" collapsed="false">
      <c r="A93" s="24" t="n">
        <v>45897</v>
      </c>
      <c r="B93" s="25" t="n">
        <v>137.8</v>
      </c>
      <c r="C93" s="25" t="n">
        <v>138.6</v>
      </c>
      <c r="D93" s="25" t="n">
        <v>136.52</v>
      </c>
      <c r="E93" s="25" t="n">
        <v>137.56</v>
      </c>
      <c r="F93" s="26" t="n">
        <v>12576127</v>
      </c>
      <c r="G93" s="27" t="n">
        <f aca="false">E93-E92</f>
        <v>0.180000000000007</v>
      </c>
      <c r="H93" s="28" t="n">
        <f aca="false">G93/E92</f>
        <v>0.00131023438637361</v>
      </c>
      <c r="I93" s="29" t="n">
        <f aca="false">MAX(G93,0)</f>
        <v>0.180000000000007</v>
      </c>
      <c r="J93" s="29" t="n">
        <f aca="false">MAX(-G93,0)</f>
        <v>0</v>
      </c>
      <c r="K93" s="29" t="n">
        <f aca="false">(K92*13+I93)/14</f>
        <v>0.732212354062658</v>
      </c>
      <c r="L93" s="29" t="n">
        <f aca="false">(L92*13+J93)/14</f>
        <v>0.883588433610819</v>
      </c>
      <c r="M93" s="31" t="n">
        <f aca="false">IF(L93=0,100,100-100/(1+K93/MAX(L93,0.000001)))</f>
        <v>45.315756722519</v>
      </c>
      <c r="N93" s="30" t="n">
        <f aca="false">AVERAGE(E74:E93)</f>
        <v>139.962</v>
      </c>
      <c r="O93" s="30" t="n">
        <f aca="false">AVERAGE(E44:E93)</f>
        <v>139.692</v>
      </c>
      <c r="Q93" s="30" t="n">
        <f aca="false">Q92+(2/13)*(E93-Q92)</f>
        <v>138.898982749983</v>
      </c>
      <c r="R93" s="30" t="n">
        <f aca="false">R92+(2/27)*(E93-R92)</f>
        <v>139.529127652132</v>
      </c>
      <c r="S93" s="33" t="n">
        <f aca="false">Q93-R93</f>
        <v>-0.630144902148913</v>
      </c>
      <c r="T93" s="33" t="n">
        <f aca="false">T92+(2/10)*(S93-T92)</f>
        <v>-0.201328163795407</v>
      </c>
      <c r="U93" s="33" t="n">
        <f aca="false">S93-T93</f>
        <v>-0.428816738353507</v>
      </c>
      <c r="V93" s="32" t="str">
        <f aca="false">IF(M93="","",IF(M93&lt;Assumptions!$B$5,"BUY",IF(M93&gt;Assumptions!$B$4,"SELL","HOLD")))</f>
        <v>HOLD</v>
      </c>
      <c r="W93" s="32" t="str">
        <f aca="false">IF(O93="","",IF(E93&gt;O93,"BUY","SELL"))</f>
        <v>SELL</v>
      </c>
      <c r="X93" s="32" t="str">
        <f aca="false">IF(T93="","",IF(S93&gt;T93,"BUY","SELL"))</f>
        <v>SELL</v>
      </c>
      <c r="Y93" s="34" t="n">
        <f aca="false">IF(OR(V93="",W93="",X93=""),"",IFERROR(IF(V93="BUY",1,IF(V93="SELL",-1,0))+IF(W93="BUY",1,IF(W93="SELL",-1,0))+IF(X93="BUY",1,IF(X93="SELL",-1,0)),0))</f>
        <v>-2</v>
      </c>
      <c r="Z93" s="32" t="str">
        <f aca="false">IF(Y93="","",IF(Y93&gt;=2,"STRONG BUY",IF(Y93=1,"BUY",IF(Y93=0,"HOLD",IF(Y93=-1,"SELL","STRONG SELL")))))</f>
        <v>STRONG SELL</v>
      </c>
    </row>
    <row r="94" customFormat="false" ht="15" hidden="false" customHeight="false" outlineLevel="0" collapsed="false">
      <c r="A94" s="24" t="n">
        <v>45898</v>
      </c>
      <c r="B94" s="25" t="n">
        <v>139.86</v>
      </c>
      <c r="C94" s="25" t="n">
        <v>140.26</v>
      </c>
      <c r="D94" s="25" t="n">
        <v>139.86</v>
      </c>
      <c r="E94" s="25" t="n">
        <v>140.06</v>
      </c>
      <c r="F94" s="26" t="n">
        <v>17892234</v>
      </c>
      <c r="G94" s="27" t="n">
        <f aca="false">E94-E93</f>
        <v>2.5</v>
      </c>
      <c r="H94" s="28" t="n">
        <f aca="false">G94/E93</f>
        <v>0.0181738877580692</v>
      </c>
      <c r="I94" s="29" t="n">
        <f aca="false">MAX(G94,0)</f>
        <v>2.5</v>
      </c>
      <c r="J94" s="29" t="n">
        <f aca="false">MAX(-G94,0)</f>
        <v>0</v>
      </c>
      <c r="K94" s="29" t="n">
        <f aca="false">(K93*13+I94)/14</f>
        <v>0.85848290020104</v>
      </c>
      <c r="L94" s="29" t="n">
        <f aca="false">(L93*13+J94)/14</f>
        <v>0.820474974067189</v>
      </c>
      <c r="M94" s="31" t="n">
        <f aca="false">IF(L94=0,100,100-100/(1+K94/MAX(L94,0.000001)))</f>
        <v>51.1318904040525</v>
      </c>
      <c r="N94" s="30" t="n">
        <f aca="false">AVERAGE(E75:E94)</f>
        <v>139.836</v>
      </c>
      <c r="O94" s="30" t="n">
        <f aca="false">AVERAGE(E45:E94)</f>
        <v>139.8068</v>
      </c>
      <c r="Q94" s="30" t="n">
        <f aca="false">Q93+(2/13)*(E94-Q93)</f>
        <v>139.077600788447</v>
      </c>
      <c r="R94" s="30" t="n">
        <f aca="false">R93+(2/27)*(E94-R93)</f>
        <v>139.568451529752</v>
      </c>
      <c r="S94" s="33" t="n">
        <f aca="false">Q94-R94</f>
        <v>-0.490850741304655</v>
      </c>
      <c r="T94" s="33" t="n">
        <f aca="false">T93+(2/10)*(S94-T93)</f>
        <v>-0.259232679297256</v>
      </c>
      <c r="U94" s="33" t="n">
        <f aca="false">S94-T94</f>
        <v>-0.231618062007399</v>
      </c>
      <c r="V94" s="32" t="str">
        <f aca="false">IF(M94="","",IF(M94&lt;Assumptions!$B$5,"BUY",IF(M94&gt;Assumptions!$B$4,"SELL","HOLD")))</f>
        <v>HOLD</v>
      </c>
      <c r="W94" s="32" t="str">
        <f aca="false">IF(O94="","",IF(E94&gt;O94,"BUY","SELL"))</f>
        <v>BUY</v>
      </c>
      <c r="X94" s="32" t="str">
        <f aca="false">IF(T94="","",IF(S94&gt;T94,"BUY","SELL"))</f>
        <v>SELL</v>
      </c>
      <c r="Y94" s="34" t="n">
        <f aca="false">IF(OR(V94="",W94="",X94=""),"",IFERROR(IF(V94="BUY",1,IF(V94="SELL",-1,0))+IF(W94="BUY",1,IF(W94="SELL",-1,0))+IF(X94="BUY",1,IF(X94="SELL",-1,0)),0))</f>
        <v>0</v>
      </c>
      <c r="Z94" s="32" t="str">
        <f aca="false">IF(Y94="","",IF(Y94&gt;=2,"STRONG BUY",IF(Y94=1,"BUY",IF(Y94=0,"HOLD",IF(Y94=-1,"SELL","STRONG SELL")))))</f>
        <v>HOLD</v>
      </c>
    </row>
    <row r="95" customFormat="false" ht="15" hidden="false" customHeight="false" outlineLevel="0" collapsed="false">
      <c r="A95" s="24" t="n">
        <v>45901</v>
      </c>
      <c r="B95" s="25" t="n">
        <v>136.5</v>
      </c>
      <c r="C95" s="25" t="n">
        <v>137.66</v>
      </c>
      <c r="D95" s="25" t="n">
        <v>135.38</v>
      </c>
      <c r="E95" s="25" t="n">
        <v>136.52</v>
      </c>
      <c r="F95" s="26" t="n">
        <v>12055694</v>
      </c>
      <c r="G95" s="27" t="n">
        <f aca="false">E95-E94</f>
        <v>-3.53999999999999</v>
      </c>
      <c r="H95" s="28" t="n">
        <f aca="false">G95/E94</f>
        <v>-0.0252748821933457</v>
      </c>
      <c r="I95" s="29" t="n">
        <f aca="false">MAX(G95,0)</f>
        <v>0</v>
      </c>
      <c r="J95" s="29" t="n">
        <f aca="false">MAX(-G95,0)</f>
        <v>3.53999999999999</v>
      </c>
      <c r="K95" s="29" t="n">
        <f aca="false">(K94*13+I95)/14</f>
        <v>0.797162693043822</v>
      </c>
      <c r="L95" s="29" t="n">
        <f aca="false">(L94*13+J95)/14</f>
        <v>1.01472676163382</v>
      </c>
      <c r="M95" s="31" t="n">
        <f aca="false">IF(L95=0,100,100-100/(1+K95/MAX(L95,0.000001)))</f>
        <v>43.9962101984665</v>
      </c>
      <c r="N95" s="30" t="n">
        <f aca="false">AVERAGE(E76:E95)</f>
        <v>139.411</v>
      </c>
      <c r="O95" s="30" t="n">
        <f aca="false">AVERAGE(E46:E95)</f>
        <v>139.8506</v>
      </c>
      <c r="Q95" s="30" t="n">
        <f aca="false">Q94+(2/13)*(E95-Q94)</f>
        <v>138.684123744071</v>
      </c>
      <c r="R95" s="30" t="n">
        <f aca="false">R94+(2/27)*(E95-R94)</f>
        <v>139.342640305326</v>
      </c>
      <c r="S95" s="33" t="n">
        <f aca="false">Q95-R95</f>
        <v>-0.658516561255084</v>
      </c>
      <c r="T95" s="33" t="n">
        <f aca="false">T94+(2/10)*(S95-T94)</f>
        <v>-0.339089455688822</v>
      </c>
      <c r="U95" s="33" t="n">
        <f aca="false">S95-T95</f>
        <v>-0.319427105566262</v>
      </c>
      <c r="V95" s="32" t="str">
        <f aca="false">IF(M95="","",IF(M95&lt;Assumptions!$B$5,"BUY",IF(M95&gt;Assumptions!$B$4,"SELL","HOLD")))</f>
        <v>HOLD</v>
      </c>
      <c r="W95" s="32" t="str">
        <f aca="false">IF(O95="","",IF(E95&gt;O95,"BUY","SELL"))</f>
        <v>SELL</v>
      </c>
      <c r="X95" s="32" t="str">
        <f aca="false">IF(T95="","",IF(S95&gt;T95,"BUY","SELL"))</f>
        <v>SELL</v>
      </c>
      <c r="Y95" s="34" t="n">
        <f aca="false">IF(OR(V95="",W95="",X95=""),"",IFERROR(IF(V95="BUY",1,IF(V95="SELL",-1,0))+IF(W95="BUY",1,IF(W95="SELL",-1,0))+IF(X95="BUY",1,IF(X95="SELL",-1,0)),0))</f>
        <v>-2</v>
      </c>
      <c r="Z95" s="32" t="str">
        <f aca="false">IF(Y95="","",IF(Y95&gt;=2,"STRONG BUY",IF(Y95=1,"BUY",IF(Y95=0,"HOLD",IF(Y95=-1,"SELL","STRONG SELL")))))</f>
        <v>STRONG SELL</v>
      </c>
    </row>
    <row r="96" customFormat="false" ht="15" hidden="false" customHeight="false" outlineLevel="0" collapsed="false">
      <c r="A96" s="24" t="n">
        <v>45902</v>
      </c>
      <c r="B96" s="25" t="n">
        <v>134.97</v>
      </c>
      <c r="C96" s="25" t="n">
        <v>135.59</v>
      </c>
      <c r="D96" s="25" t="n">
        <v>134.53</v>
      </c>
      <c r="E96" s="25" t="n">
        <v>135.06</v>
      </c>
      <c r="F96" s="26" t="n">
        <v>11159258</v>
      </c>
      <c r="G96" s="27" t="n">
        <f aca="false">E96-E95</f>
        <v>-1.46000000000001</v>
      </c>
      <c r="H96" s="28" t="n">
        <f aca="false">G96/E95</f>
        <v>-0.0106944037503663</v>
      </c>
      <c r="I96" s="29" t="n">
        <f aca="false">MAX(G96,0)</f>
        <v>0</v>
      </c>
      <c r="J96" s="29" t="n">
        <f aca="false">MAX(-G96,0)</f>
        <v>1.46000000000001</v>
      </c>
      <c r="K96" s="29" t="n">
        <f aca="false">(K95*13+I96)/14</f>
        <v>0.740222500683549</v>
      </c>
      <c r="L96" s="29" t="n">
        <f aca="false">(L95*13+J96)/14</f>
        <v>1.04653199294569</v>
      </c>
      <c r="M96" s="31" t="n">
        <f aca="false">IF(L96=0,100,100-100/(1+K96/MAX(L96,0.000001)))</f>
        <v>41.4283273568277</v>
      </c>
      <c r="N96" s="30" t="n">
        <f aca="false">AVERAGE(E77:E96)</f>
        <v>139.0485</v>
      </c>
      <c r="O96" s="30" t="n">
        <f aca="false">AVERAGE(E47:E96)</f>
        <v>139.8628</v>
      </c>
      <c r="Q96" s="30" t="n">
        <f aca="false">Q95+(2/13)*(E96-Q95)</f>
        <v>138.126566244983</v>
      </c>
      <c r="R96" s="30" t="n">
        <f aca="false">R95+(2/27)*(E96-R95)</f>
        <v>139.025407690117</v>
      </c>
      <c r="S96" s="33" t="n">
        <f aca="false">Q96-R96</f>
        <v>-0.898841445133598</v>
      </c>
      <c r="T96" s="33" t="n">
        <f aca="false">T95+(2/10)*(S96-T95)</f>
        <v>-0.451039853577777</v>
      </c>
      <c r="U96" s="33" t="n">
        <f aca="false">S96-T96</f>
        <v>-0.447801591555821</v>
      </c>
      <c r="V96" s="32" t="str">
        <f aca="false">IF(M96="","",IF(M96&lt;Assumptions!$B$5,"BUY",IF(M96&gt;Assumptions!$B$4,"SELL","HOLD")))</f>
        <v>HOLD</v>
      </c>
      <c r="W96" s="32" t="str">
        <f aca="false">IF(O96="","",IF(E96&gt;O96,"BUY","SELL"))</f>
        <v>SELL</v>
      </c>
      <c r="X96" s="32" t="str">
        <f aca="false">IF(T96="","",IF(S96&gt;T96,"BUY","SELL"))</f>
        <v>SELL</v>
      </c>
      <c r="Y96" s="34" t="n">
        <f aca="false">IF(OR(V96="",W96="",X96=""),"",IFERROR(IF(V96="BUY",1,IF(V96="SELL",-1,0))+IF(W96="BUY",1,IF(W96="SELL",-1,0))+IF(X96="BUY",1,IF(X96="SELL",-1,0)),0))</f>
        <v>-2</v>
      </c>
      <c r="Z96" s="32" t="str">
        <f aca="false">IF(Y96="","",IF(Y96&gt;=2,"STRONG BUY",IF(Y96=1,"BUY",IF(Y96=0,"HOLD",IF(Y96=-1,"SELL","STRONG SELL")))))</f>
        <v>STRONG SELL</v>
      </c>
    </row>
    <row r="97" customFormat="false" ht="15" hidden="false" customHeight="false" outlineLevel="0" collapsed="false">
      <c r="A97" s="24" t="n">
        <v>45903</v>
      </c>
      <c r="B97" s="25" t="n">
        <v>132.32</v>
      </c>
      <c r="C97" s="25" t="n">
        <v>132.89</v>
      </c>
      <c r="D97" s="25" t="n">
        <v>132.11</v>
      </c>
      <c r="E97" s="25" t="n">
        <v>132.5</v>
      </c>
      <c r="F97" s="26" t="n">
        <v>10000547</v>
      </c>
      <c r="G97" s="27" t="n">
        <f aca="false">E97-E96</f>
        <v>-2.56</v>
      </c>
      <c r="H97" s="28" t="n">
        <f aca="false">G97/E96</f>
        <v>-0.0189545387235303</v>
      </c>
      <c r="I97" s="29" t="n">
        <f aca="false">MAX(G97,0)</f>
        <v>0</v>
      </c>
      <c r="J97" s="29" t="n">
        <f aca="false">MAX(-G97,0)</f>
        <v>2.56</v>
      </c>
      <c r="K97" s="29" t="n">
        <f aca="false">(K96*13+I97)/14</f>
        <v>0.687349464920439</v>
      </c>
      <c r="L97" s="29" t="n">
        <f aca="false">(L96*13+J97)/14</f>
        <v>1.15463685059243</v>
      </c>
      <c r="M97" s="31" t="n">
        <f aca="false">IF(L97=0,100,100-100/(1+K97/MAX(L97,0.000001)))</f>
        <v>37.3156661985874</v>
      </c>
      <c r="N97" s="30" t="n">
        <f aca="false">AVERAGE(E78:E97)</f>
        <v>138.5565</v>
      </c>
      <c r="O97" s="30" t="n">
        <f aca="false">AVERAGE(E48:E97)</f>
        <v>139.7756</v>
      </c>
      <c r="Q97" s="30" t="n">
        <f aca="false">Q96+(2/13)*(E97-Q96)</f>
        <v>137.260940668832</v>
      </c>
      <c r="R97" s="30" t="n">
        <f aca="false">R96+(2/27)*(E97-R96)</f>
        <v>138.542044157515</v>
      </c>
      <c r="S97" s="33" t="n">
        <f aca="false">Q97-R97</f>
        <v>-1.28110348868361</v>
      </c>
      <c r="T97" s="33" t="n">
        <f aca="false">T96+(2/10)*(S97-T96)</f>
        <v>-0.617052580598944</v>
      </c>
      <c r="U97" s="33" t="n">
        <f aca="false">S97-T97</f>
        <v>-0.664050908084668</v>
      </c>
      <c r="V97" s="32" t="str">
        <f aca="false">IF(M97="","",IF(M97&lt;Assumptions!$B$5,"BUY",IF(M97&gt;Assumptions!$B$4,"SELL","HOLD")))</f>
        <v>HOLD</v>
      </c>
      <c r="W97" s="32" t="str">
        <f aca="false">IF(O97="","",IF(E97&gt;O97,"BUY","SELL"))</f>
        <v>SELL</v>
      </c>
      <c r="X97" s="32" t="str">
        <f aca="false">IF(T97="","",IF(S97&gt;T97,"BUY","SELL"))</f>
        <v>SELL</v>
      </c>
      <c r="Y97" s="34" t="n">
        <f aca="false">IF(OR(V97="",W97="",X97=""),"",IFERROR(IF(V97="BUY",1,IF(V97="SELL",-1,0))+IF(W97="BUY",1,IF(W97="SELL",-1,0))+IF(X97="BUY",1,IF(X97="SELL",-1,0)),0))</f>
        <v>-2</v>
      </c>
      <c r="Z97" s="32" t="str">
        <f aca="false">IF(Y97="","",IF(Y97&gt;=2,"STRONG BUY",IF(Y97=1,"BUY",IF(Y97=0,"HOLD",IF(Y97=-1,"SELL","STRONG SELL")))))</f>
        <v>STRONG SELL</v>
      </c>
    </row>
    <row r="98" customFormat="false" ht="15" hidden="false" customHeight="false" outlineLevel="0" collapsed="false">
      <c r="A98" s="24" t="n">
        <v>45904</v>
      </c>
      <c r="B98" s="25" t="n">
        <v>129.55</v>
      </c>
      <c r="C98" s="25" t="n">
        <v>130.29</v>
      </c>
      <c r="D98" s="25" t="n">
        <v>129.15</v>
      </c>
      <c r="E98" s="25" t="n">
        <v>129.72</v>
      </c>
      <c r="F98" s="26" t="n">
        <v>10200869</v>
      </c>
      <c r="G98" s="27" t="n">
        <f aca="false">E98-E97</f>
        <v>-2.78</v>
      </c>
      <c r="H98" s="28" t="n">
        <f aca="false">G98/E97</f>
        <v>-0.0209811320754717</v>
      </c>
      <c r="I98" s="29" t="n">
        <f aca="false">MAX(G98,0)</f>
        <v>0</v>
      </c>
      <c r="J98" s="29" t="n">
        <f aca="false">MAX(-G98,0)</f>
        <v>2.78</v>
      </c>
      <c r="K98" s="29" t="n">
        <f aca="false">(K97*13+I98)/14</f>
        <v>0.638253074568979</v>
      </c>
      <c r="L98" s="29" t="n">
        <f aca="false">(L97*13+J98)/14</f>
        <v>1.27073421840725</v>
      </c>
      <c r="M98" s="31" t="n">
        <f aca="false">IF(L98=0,100,100-100/(1+K98/MAX(L98,0.000001)))</f>
        <v>33.4341185463787</v>
      </c>
      <c r="N98" s="30" t="n">
        <f aca="false">AVERAGE(E79:E98)</f>
        <v>137.953</v>
      </c>
      <c r="O98" s="30" t="n">
        <f aca="false">AVERAGE(E49:E98)</f>
        <v>139.6102</v>
      </c>
      <c r="Q98" s="30" t="n">
        <f aca="false">Q97+(2/13)*(E98-Q97)</f>
        <v>136.10079595055</v>
      </c>
      <c r="R98" s="30" t="n">
        <f aca="false">R97+(2/27)*(E98-R97)</f>
        <v>137.888559405107</v>
      </c>
      <c r="S98" s="33" t="n">
        <f aca="false">Q98-R98</f>
        <v>-1.78776345455688</v>
      </c>
      <c r="T98" s="33" t="n">
        <f aca="false">T97+(2/10)*(S98-T97)</f>
        <v>-0.851194755390532</v>
      </c>
      <c r="U98" s="33" t="n">
        <f aca="false">S98-T98</f>
        <v>-0.936568699166349</v>
      </c>
      <c r="V98" s="32" t="str">
        <f aca="false">IF(M98="","",IF(M98&lt;Assumptions!$B$5,"BUY",IF(M98&gt;Assumptions!$B$4,"SELL","HOLD")))</f>
        <v>HOLD</v>
      </c>
      <c r="W98" s="32" t="str">
        <f aca="false">IF(O98="","",IF(E98&gt;O98,"BUY","SELL"))</f>
        <v>SELL</v>
      </c>
      <c r="X98" s="32" t="str">
        <f aca="false">IF(T98="","",IF(S98&gt;T98,"BUY","SELL"))</f>
        <v>SELL</v>
      </c>
      <c r="Y98" s="34" t="n">
        <f aca="false">IF(OR(V98="",W98="",X98=""),"",IFERROR(IF(V98="BUY",1,IF(V98="SELL",-1,0))+IF(W98="BUY",1,IF(W98="SELL",-1,0))+IF(X98="BUY",1,IF(X98="SELL",-1,0)),0))</f>
        <v>-2</v>
      </c>
      <c r="Z98" s="32" t="str">
        <f aca="false">IF(Y98="","",IF(Y98&gt;=2,"STRONG BUY",IF(Y98=1,"BUY",IF(Y98=0,"HOLD",IF(Y98=-1,"SELL","STRONG SELL")))))</f>
        <v>STRONG SELL</v>
      </c>
    </row>
    <row r="99" customFormat="false" ht="15" hidden="false" customHeight="false" outlineLevel="0" collapsed="false">
      <c r="A99" s="24" t="n">
        <v>45905</v>
      </c>
      <c r="B99" s="25" t="n">
        <v>130.95</v>
      </c>
      <c r="C99" s="25" t="n">
        <v>131.93</v>
      </c>
      <c r="D99" s="25" t="n">
        <v>130.95</v>
      </c>
      <c r="E99" s="25" t="n">
        <v>131.44</v>
      </c>
      <c r="F99" s="26" t="n">
        <v>18552763</v>
      </c>
      <c r="G99" s="27" t="n">
        <f aca="false">E99-E98</f>
        <v>1.72</v>
      </c>
      <c r="H99" s="28" t="n">
        <f aca="false">G99/E98</f>
        <v>0.013259327782917</v>
      </c>
      <c r="I99" s="29" t="n">
        <f aca="false">MAX(G99,0)</f>
        <v>1.72</v>
      </c>
      <c r="J99" s="29" t="n">
        <f aca="false">MAX(-G99,0)</f>
        <v>0</v>
      </c>
      <c r="K99" s="29" t="n">
        <f aca="false">(K98*13+I99)/14</f>
        <v>0.715520712099766</v>
      </c>
      <c r="L99" s="29" t="n">
        <f aca="false">(L98*13+J99)/14</f>
        <v>1.17996748852102</v>
      </c>
      <c r="M99" s="31" t="n">
        <f aca="false">IF(L99=0,100,100-100/(1+K99/MAX(L99,0.000001)))</f>
        <v>37.7486239094196</v>
      </c>
      <c r="N99" s="30" t="n">
        <f aca="false">AVERAGE(E80:E99)</f>
        <v>137.4995</v>
      </c>
      <c r="O99" s="30" t="n">
        <f aca="false">AVERAGE(E50:E99)</f>
        <v>139.4014</v>
      </c>
      <c r="Q99" s="30" t="n">
        <f aca="false">Q98+(2/13)*(E99-Q98)</f>
        <v>135.383750419696</v>
      </c>
      <c r="R99" s="30" t="n">
        <f aca="false">R98+(2/27)*(E99-R98)</f>
        <v>137.410888338062</v>
      </c>
      <c r="S99" s="33" t="n">
        <f aca="false">Q99-R99</f>
        <v>-2.02713791836578</v>
      </c>
      <c r="T99" s="33" t="n">
        <f aca="false">T98+(2/10)*(S99-T98)</f>
        <v>-1.08638338798558</v>
      </c>
      <c r="U99" s="33" t="n">
        <f aca="false">S99-T99</f>
        <v>-0.9407545303802</v>
      </c>
      <c r="V99" s="32" t="str">
        <f aca="false">IF(M99="","",IF(M99&lt;Assumptions!$B$5,"BUY",IF(M99&gt;Assumptions!$B$4,"SELL","HOLD")))</f>
        <v>HOLD</v>
      </c>
      <c r="W99" s="32" t="str">
        <f aca="false">IF(O99="","",IF(E99&gt;O99,"BUY","SELL"))</f>
        <v>SELL</v>
      </c>
      <c r="X99" s="32" t="str">
        <f aca="false">IF(T99="","",IF(S99&gt;T99,"BUY","SELL"))</f>
        <v>SELL</v>
      </c>
      <c r="Y99" s="34" t="n">
        <f aca="false">IF(OR(V99="",W99="",X99=""),"",IFERROR(IF(V99="BUY",1,IF(V99="SELL",-1,0))+IF(W99="BUY",1,IF(W99="SELL",-1,0))+IF(X99="BUY",1,IF(X99="SELL",-1,0)),0))</f>
        <v>-2</v>
      </c>
      <c r="Z99" s="32" t="str">
        <f aca="false">IF(Y99="","",IF(Y99&gt;=2,"STRONG BUY",IF(Y99=1,"BUY",IF(Y99=0,"HOLD",IF(Y99=-1,"SELL","STRONG SELL")))))</f>
        <v>STRONG SELL</v>
      </c>
    </row>
    <row r="100" customFormat="false" ht="15" hidden="false" customHeight="false" outlineLevel="0" collapsed="false">
      <c r="A100" s="24" t="n">
        <v>45908</v>
      </c>
      <c r="B100" s="25" t="n">
        <v>132.17</v>
      </c>
      <c r="C100" s="25" t="n">
        <v>132.17</v>
      </c>
      <c r="D100" s="25" t="n">
        <v>131.37</v>
      </c>
      <c r="E100" s="25" t="n">
        <v>131.77</v>
      </c>
      <c r="F100" s="26" t="n">
        <v>9774430</v>
      </c>
      <c r="G100" s="27" t="n">
        <f aca="false">E100-E99</f>
        <v>0.330000000000013</v>
      </c>
      <c r="H100" s="28" t="n">
        <f aca="false">G100/E99</f>
        <v>0.00251065124771769</v>
      </c>
      <c r="I100" s="29" t="n">
        <f aca="false">MAX(G100,0)</f>
        <v>0.330000000000013</v>
      </c>
      <c r="J100" s="29" t="n">
        <f aca="false">MAX(-G100,0)</f>
        <v>0</v>
      </c>
      <c r="K100" s="29" t="n">
        <f aca="false">(K99*13+I100)/14</f>
        <v>0.687983518378355</v>
      </c>
      <c r="L100" s="29" t="n">
        <f aca="false">(L99*13+J100)/14</f>
        <v>1.0956840964838</v>
      </c>
      <c r="M100" s="31" t="n">
        <f aca="false">IF(L100=0,100,100-100/(1+K100/MAX(L100,0.000001)))</f>
        <v>38.5712849549899</v>
      </c>
      <c r="N100" s="30" t="n">
        <f aca="false">AVERAGE(E81:E100)</f>
        <v>136.9575</v>
      </c>
      <c r="O100" s="30" t="n">
        <f aca="false">AVERAGE(E51:E100)</f>
        <v>139.2586</v>
      </c>
      <c r="Q100" s="30" t="n">
        <f aca="false">Q99+(2/13)*(E100-Q99)</f>
        <v>134.827788816666</v>
      </c>
      <c r="R100" s="30" t="n">
        <f aca="false">R99+(2/27)*(E100-R99)</f>
        <v>136.993044757465</v>
      </c>
      <c r="S100" s="33" t="n">
        <f aca="false">Q100-R100</f>
        <v>-2.16525594079877</v>
      </c>
      <c r="T100" s="33" t="n">
        <f aca="false">T99+(2/10)*(S100-T99)</f>
        <v>-1.30215789854822</v>
      </c>
      <c r="U100" s="33" t="n">
        <f aca="false">S100-T100</f>
        <v>-0.863098042250553</v>
      </c>
      <c r="V100" s="32" t="str">
        <f aca="false">IF(M100="","",IF(M100&lt;Assumptions!$B$5,"BUY",IF(M100&gt;Assumptions!$B$4,"SELL","HOLD")))</f>
        <v>HOLD</v>
      </c>
      <c r="W100" s="32" t="str">
        <f aca="false">IF(O100="","",IF(E100&gt;O100,"BUY","SELL"))</f>
        <v>SELL</v>
      </c>
      <c r="X100" s="32" t="str">
        <f aca="false">IF(T100="","",IF(S100&gt;T100,"BUY","SELL"))</f>
        <v>SELL</v>
      </c>
      <c r="Y100" s="34" t="n">
        <f aca="false">IF(OR(V100="",W100="",X100=""),"",IFERROR(IF(V100="BUY",1,IF(V100="SELL",-1,0))+IF(W100="BUY",1,IF(W100="SELL",-1,0))+IF(X100="BUY",1,IF(X100="SELL",-1,0)),0))</f>
        <v>-2</v>
      </c>
      <c r="Z100" s="32" t="str">
        <f aca="false">IF(Y100="","",IF(Y100&gt;=2,"STRONG BUY",IF(Y100=1,"BUY",IF(Y100=0,"HOLD",IF(Y100=-1,"SELL","STRONG SELL")))))</f>
        <v>STRONG SELL</v>
      </c>
    </row>
    <row r="101" customFormat="false" ht="15" hidden="false" customHeight="false" outlineLevel="0" collapsed="false">
      <c r="A101" s="24" t="n">
        <v>45909</v>
      </c>
      <c r="B101" s="25" t="n">
        <v>134.56</v>
      </c>
      <c r="C101" s="25" t="n">
        <v>135.66</v>
      </c>
      <c r="D101" s="25" t="n">
        <v>133.3</v>
      </c>
      <c r="E101" s="25" t="n">
        <v>134.48</v>
      </c>
      <c r="F101" s="26" t="n">
        <v>18101073</v>
      </c>
      <c r="G101" s="27" t="n">
        <f aca="false">E101-E100</f>
        <v>2.70999999999998</v>
      </c>
      <c r="H101" s="28" t="n">
        <f aca="false">G101/E100</f>
        <v>0.0205661379676708</v>
      </c>
      <c r="I101" s="29" t="n">
        <f aca="false">MAX(G101,0)</f>
        <v>2.70999999999998</v>
      </c>
      <c r="J101" s="29" t="n">
        <f aca="false">MAX(-G101,0)</f>
        <v>0</v>
      </c>
      <c r="K101" s="29" t="n">
        <f aca="false">(K100*13+I101)/14</f>
        <v>0.832413267065614</v>
      </c>
      <c r="L101" s="29" t="n">
        <f aca="false">(L100*13+J101)/14</f>
        <v>1.01742094673496</v>
      </c>
      <c r="M101" s="31" t="n">
        <f aca="false">IF(L101=0,100,100-100/(1+K101/MAX(L101,0.000001)))</f>
        <v>44.9993443118008</v>
      </c>
      <c r="N101" s="30" t="n">
        <f aca="false">AVERAGE(E82:E101)</f>
        <v>136.7645</v>
      </c>
      <c r="O101" s="30" t="n">
        <f aca="false">AVERAGE(E52:E101)</f>
        <v>139.1898</v>
      </c>
      <c r="Q101" s="30" t="n">
        <f aca="false">Q100+(2/13)*(E101-Q100)</f>
        <v>134.774282844871</v>
      </c>
      <c r="R101" s="30" t="n">
        <f aca="false">R100+(2/27)*(E101-R100)</f>
        <v>136.806893293949</v>
      </c>
      <c r="S101" s="33" t="n">
        <f aca="false">Q101-R101</f>
        <v>-2.03261044907765</v>
      </c>
      <c r="T101" s="33" t="n">
        <f aca="false">T100+(2/10)*(S101-T100)</f>
        <v>-1.44824840865411</v>
      </c>
      <c r="U101" s="33" t="n">
        <f aca="false">S101-T101</f>
        <v>-0.584362040423545</v>
      </c>
      <c r="V101" s="32" t="str">
        <f aca="false">IF(M101="","",IF(M101&lt;Assumptions!$B$5,"BUY",IF(M101&gt;Assumptions!$B$4,"SELL","HOLD")))</f>
        <v>HOLD</v>
      </c>
      <c r="W101" s="32" t="str">
        <f aca="false">IF(O101="","",IF(E101&gt;O101,"BUY","SELL"))</f>
        <v>SELL</v>
      </c>
      <c r="X101" s="32" t="str">
        <f aca="false">IF(T101="","",IF(S101&gt;T101,"BUY","SELL"))</f>
        <v>SELL</v>
      </c>
      <c r="Y101" s="34" t="n">
        <f aca="false">IF(OR(V101="",W101="",X101=""),"",IFERROR(IF(V101="BUY",1,IF(V101="SELL",-1,0))+IF(W101="BUY",1,IF(W101="SELL",-1,0))+IF(X101="BUY",1,IF(X101="SELL",-1,0)),0))</f>
        <v>-2</v>
      </c>
      <c r="Z101" s="32" t="str">
        <f aca="false">IF(Y101="","",IF(Y101&gt;=2,"STRONG BUY",IF(Y101=1,"BUY",IF(Y101=0,"HOLD",IF(Y101=-1,"SELL","STRONG SELL")))))</f>
        <v>STRONG SELL</v>
      </c>
    </row>
    <row r="102" customFormat="false" ht="15" hidden="false" customHeight="false" outlineLevel="0" collapsed="false">
      <c r="A102" s="24" t="n">
        <v>45910</v>
      </c>
      <c r="B102" s="25" t="n">
        <v>136.57</v>
      </c>
      <c r="C102" s="25" t="n">
        <v>136.59</v>
      </c>
      <c r="D102" s="25" t="n">
        <v>136.57</v>
      </c>
      <c r="E102" s="25" t="n">
        <v>136.58</v>
      </c>
      <c r="F102" s="26" t="n">
        <v>9782590</v>
      </c>
      <c r="G102" s="27" t="n">
        <f aca="false">E102-E101</f>
        <v>2.10000000000002</v>
      </c>
      <c r="H102" s="28" t="n">
        <f aca="false">G102/E101</f>
        <v>0.0156157049375374</v>
      </c>
      <c r="I102" s="29" t="n">
        <f aca="false">MAX(G102,0)</f>
        <v>2.10000000000002</v>
      </c>
      <c r="J102" s="29" t="n">
        <f aca="false">MAX(-G102,0)</f>
        <v>0</v>
      </c>
      <c r="K102" s="29" t="n">
        <f aca="false">(K101*13+I102)/14</f>
        <v>0.922955176560929</v>
      </c>
      <c r="L102" s="29" t="n">
        <f aca="false">(L101*13+J102)/14</f>
        <v>0.944748021968178</v>
      </c>
      <c r="M102" s="31" t="n">
        <f aca="false">IF(L102=0,100,100-100/(1+K102/MAX(L102,0.000001)))</f>
        <v>49.4165870298768</v>
      </c>
      <c r="N102" s="30" t="n">
        <f aca="false">AVERAGE(E83:E102)</f>
        <v>136.741</v>
      </c>
      <c r="O102" s="30" t="n">
        <f aca="false">AVERAGE(E53:E102)</f>
        <v>139.195</v>
      </c>
      <c r="Q102" s="30" t="n">
        <f aca="false">Q101+(2/13)*(E102-Q101)</f>
        <v>135.052085484122</v>
      </c>
      <c r="R102" s="30" t="n">
        <f aca="false">R101+(2/27)*(E102-R101)</f>
        <v>136.790086383286</v>
      </c>
      <c r="S102" s="33" t="n">
        <f aca="false">Q102-R102</f>
        <v>-1.73800089916421</v>
      </c>
      <c r="T102" s="33" t="n">
        <f aca="false">T101+(2/10)*(S102-T101)</f>
        <v>-1.50619890675613</v>
      </c>
      <c r="U102" s="33" t="n">
        <f aca="false">S102-T102</f>
        <v>-0.23180199240808</v>
      </c>
      <c r="V102" s="32" t="str">
        <f aca="false">IF(M102="","",IF(M102&lt;Assumptions!$B$5,"BUY",IF(M102&gt;Assumptions!$B$4,"SELL","HOLD")))</f>
        <v>HOLD</v>
      </c>
      <c r="W102" s="32" t="str">
        <f aca="false">IF(O102="","",IF(E102&gt;O102,"BUY","SELL"))</f>
        <v>SELL</v>
      </c>
      <c r="X102" s="32" t="str">
        <f aca="false">IF(T102="","",IF(S102&gt;T102,"BUY","SELL"))</f>
        <v>SELL</v>
      </c>
      <c r="Y102" s="34" t="n">
        <f aca="false">IF(OR(V102="",W102="",X102=""),"",IFERROR(IF(V102="BUY",1,IF(V102="SELL",-1,0))+IF(W102="BUY",1,IF(W102="SELL",-1,0))+IF(X102="BUY",1,IF(X102="SELL",-1,0)),0))</f>
        <v>-2</v>
      </c>
      <c r="Z102" s="32" t="str">
        <f aca="false">IF(Y102="","",IF(Y102&gt;=2,"STRONG BUY",IF(Y102=1,"BUY",IF(Y102=0,"HOLD",IF(Y102=-1,"SELL","STRONG SELL")))))</f>
        <v>STRONG SELL</v>
      </c>
    </row>
    <row r="103" customFormat="false" ht="15" hidden="false" customHeight="false" outlineLevel="0" collapsed="false">
      <c r="A103" s="24" t="n">
        <v>45911</v>
      </c>
      <c r="B103" s="25" t="n">
        <v>136.77</v>
      </c>
      <c r="C103" s="25" t="n">
        <v>136.77</v>
      </c>
      <c r="D103" s="25" t="n">
        <v>136.65</v>
      </c>
      <c r="E103" s="25" t="n">
        <v>136.71</v>
      </c>
      <c r="F103" s="26" t="n">
        <v>18269325</v>
      </c>
      <c r="G103" s="27" t="n">
        <f aca="false">E103-E102</f>
        <v>0.129999999999995</v>
      </c>
      <c r="H103" s="28" t="n">
        <f aca="false">G103/E102</f>
        <v>0.000951823107336326</v>
      </c>
      <c r="I103" s="29" t="n">
        <f aca="false">MAX(G103,0)</f>
        <v>0.129999999999995</v>
      </c>
      <c r="J103" s="29" t="n">
        <f aca="false">MAX(-G103,0)</f>
        <v>0</v>
      </c>
      <c r="K103" s="29" t="n">
        <f aca="false">(K102*13+I103)/14</f>
        <v>0.866315521092291</v>
      </c>
      <c r="L103" s="29" t="n">
        <f aca="false">(L102*13+J103)/14</f>
        <v>0.877266020399023</v>
      </c>
      <c r="M103" s="31" t="n">
        <f aca="false">IF(L103=0,100,100-100/(1+K103/MAX(L103,0.000001)))</f>
        <v>49.6859768514937</v>
      </c>
      <c r="N103" s="30" t="n">
        <f aca="false">AVERAGE(E84:E103)</f>
        <v>136.8035</v>
      </c>
      <c r="O103" s="30" t="n">
        <f aca="false">AVERAGE(E54:E103)</f>
        <v>139.1726</v>
      </c>
      <c r="Q103" s="30" t="n">
        <f aca="false">Q102+(2/13)*(E103-Q102)</f>
        <v>135.307149255795</v>
      </c>
      <c r="R103" s="30" t="n">
        <f aca="false">R102+(2/27)*(E103-R102)</f>
        <v>136.784154058598</v>
      </c>
      <c r="S103" s="33" t="n">
        <f aca="false">Q103-R103</f>
        <v>-1.47700480280278</v>
      </c>
      <c r="T103" s="33" t="n">
        <f aca="false">T102+(2/10)*(S103-T102)</f>
        <v>-1.50036008596546</v>
      </c>
      <c r="U103" s="33" t="n">
        <f aca="false">S103-T103</f>
        <v>0.0233552831626755</v>
      </c>
      <c r="V103" s="32" t="str">
        <f aca="false">IF(M103="","",IF(M103&lt;Assumptions!$B$5,"BUY",IF(M103&gt;Assumptions!$B$4,"SELL","HOLD")))</f>
        <v>HOLD</v>
      </c>
      <c r="W103" s="32" t="str">
        <f aca="false">IF(O103="","",IF(E103&gt;O103,"BUY","SELL"))</f>
        <v>SELL</v>
      </c>
      <c r="X103" s="32" t="str">
        <f aca="false">IF(T103="","",IF(S103&gt;T103,"BUY","SELL"))</f>
        <v>BUY</v>
      </c>
      <c r="Y103" s="34" t="n">
        <f aca="false">IF(OR(V103="",W103="",X103=""),"",IFERROR(IF(V103="BUY",1,IF(V103="SELL",-1,0))+IF(W103="BUY",1,IF(W103="SELL",-1,0))+IF(X103="BUY",1,IF(X103="SELL",-1,0)),0))</f>
        <v>0</v>
      </c>
      <c r="Z103" s="32" t="str">
        <f aca="false">IF(Y103="","",IF(Y103&gt;=2,"STRONG BUY",IF(Y103=1,"BUY",IF(Y103=0,"HOLD",IF(Y103=-1,"SELL","STRONG SELL")))))</f>
        <v>HOLD</v>
      </c>
    </row>
    <row r="104" customFormat="false" ht="15" hidden="false" customHeight="false" outlineLevel="0" collapsed="false">
      <c r="A104" s="24" t="n">
        <v>45912</v>
      </c>
      <c r="B104" s="25" t="n">
        <v>135.06</v>
      </c>
      <c r="C104" s="25" t="n">
        <v>136.26</v>
      </c>
      <c r="D104" s="25" t="n">
        <v>133.76</v>
      </c>
      <c r="E104" s="25" t="n">
        <v>135.01</v>
      </c>
      <c r="F104" s="26" t="n">
        <v>17119961</v>
      </c>
      <c r="G104" s="27" t="n">
        <f aca="false">E104-E103</f>
        <v>-1.70000000000002</v>
      </c>
      <c r="H104" s="28" t="n">
        <f aca="false">G104/E103</f>
        <v>-0.0124350815595056</v>
      </c>
      <c r="I104" s="29" t="n">
        <f aca="false">MAX(G104,0)</f>
        <v>0</v>
      </c>
      <c r="J104" s="29" t="n">
        <f aca="false">MAX(-G104,0)</f>
        <v>1.70000000000002</v>
      </c>
      <c r="K104" s="29" t="n">
        <f aca="false">(K103*13+I104)/14</f>
        <v>0.80443584101427</v>
      </c>
      <c r="L104" s="29" t="n">
        <f aca="false">(L103*13+J104)/14</f>
        <v>0.936032733227665</v>
      </c>
      <c r="M104" s="31" t="n">
        <f aca="false">IF(L104=0,100,100-100/(1+K104/MAX(L104,0.000001)))</f>
        <v>46.2194981810943</v>
      </c>
      <c r="N104" s="30" t="n">
        <f aca="false">AVERAGE(E85:E104)</f>
        <v>136.703</v>
      </c>
      <c r="O104" s="30" t="n">
        <f aca="false">AVERAGE(E55:E104)</f>
        <v>139.1336</v>
      </c>
      <c r="Q104" s="30" t="n">
        <f aca="false">Q103+(2/13)*(E104-Q103)</f>
        <v>135.261433985673</v>
      </c>
      <c r="R104" s="30" t="n">
        <f aca="false">R103+(2/27)*(E104-R103)</f>
        <v>136.652735239443</v>
      </c>
      <c r="S104" s="33" t="n">
        <f aca="false">Q104-R104</f>
        <v>-1.39130125376974</v>
      </c>
      <c r="T104" s="33" t="n">
        <f aca="false">T103+(2/10)*(S104-T103)</f>
        <v>-1.47854831952631</v>
      </c>
      <c r="U104" s="33" t="n">
        <f aca="false">S104-T104</f>
        <v>0.0872470657565738</v>
      </c>
      <c r="V104" s="32" t="str">
        <f aca="false">IF(M104="","",IF(M104&lt;Assumptions!$B$5,"BUY",IF(M104&gt;Assumptions!$B$4,"SELL","HOLD")))</f>
        <v>HOLD</v>
      </c>
      <c r="W104" s="32" t="str">
        <f aca="false">IF(O104="","",IF(E104&gt;O104,"BUY","SELL"))</f>
        <v>SELL</v>
      </c>
      <c r="X104" s="32" t="str">
        <f aca="false">IF(T104="","",IF(S104&gt;T104,"BUY","SELL"))</f>
        <v>BUY</v>
      </c>
      <c r="Y104" s="34" t="n">
        <f aca="false">IF(OR(V104="",W104="",X104=""),"",IFERROR(IF(V104="BUY",1,IF(V104="SELL",-1,0))+IF(W104="BUY",1,IF(W104="SELL",-1,0))+IF(X104="BUY",1,IF(X104="SELL",-1,0)),0))</f>
        <v>0</v>
      </c>
      <c r="Z104" s="32" t="str">
        <f aca="false">IF(Y104="","",IF(Y104&gt;=2,"STRONG BUY",IF(Y104=1,"BUY",IF(Y104=0,"HOLD",IF(Y104=-1,"SELL","STRONG SELL")))))</f>
        <v>HOLD</v>
      </c>
    </row>
    <row r="105" customFormat="false" ht="15" hidden="false" customHeight="false" outlineLevel="0" collapsed="false">
      <c r="A105" s="24" t="n">
        <v>45915</v>
      </c>
      <c r="B105" s="25" t="n">
        <v>136.52</v>
      </c>
      <c r="C105" s="25" t="n">
        <v>139.01</v>
      </c>
      <c r="D105" s="25" t="n">
        <v>134.55</v>
      </c>
      <c r="E105" s="25" t="n">
        <v>136.78</v>
      </c>
      <c r="F105" s="26" t="n">
        <v>13048787</v>
      </c>
      <c r="G105" s="27" t="n">
        <f aca="false">E105-E104</f>
        <v>1.77000000000001</v>
      </c>
      <c r="H105" s="28" t="n">
        <f aca="false">G105/E104</f>
        <v>0.0131101399896305</v>
      </c>
      <c r="I105" s="29" t="n">
        <f aca="false">MAX(G105,0)</f>
        <v>1.77000000000001</v>
      </c>
      <c r="J105" s="29" t="n">
        <f aca="false">MAX(-G105,0)</f>
        <v>0</v>
      </c>
      <c r="K105" s="29" t="n">
        <f aca="false">(K104*13+I105)/14</f>
        <v>0.873404709513251</v>
      </c>
      <c r="L105" s="29" t="n">
        <f aca="false">(L104*13+J105)/14</f>
        <v>0.869173252282832</v>
      </c>
      <c r="M105" s="31" t="n">
        <f aca="false">IF(L105=0,100,100-100/(1+K105/MAX(L105,0.000001)))</f>
        <v>50.1214137135666</v>
      </c>
      <c r="N105" s="30" t="n">
        <f aca="false">AVERAGE(E86:E105)</f>
        <v>136.551</v>
      </c>
      <c r="O105" s="30" t="n">
        <f aca="false">AVERAGE(E56:E105)</f>
        <v>139.1082</v>
      </c>
      <c r="Q105" s="30" t="n">
        <f aca="false">Q104+(2/13)*(E105-Q104)</f>
        <v>135.495059526339</v>
      </c>
      <c r="R105" s="30" t="n">
        <f aca="false">R104+(2/27)*(E105-R104)</f>
        <v>136.662162258743</v>
      </c>
      <c r="S105" s="33" t="n">
        <f aca="false">Q105-R105</f>
        <v>-1.1671027324046</v>
      </c>
      <c r="T105" s="33" t="n">
        <f aca="false">T104+(2/10)*(S105-T104)</f>
        <v>-1.41625920210197</v>
      </c>
      <c r="U105" s="33" t="n">
        <f aca="false">S105-T105</f>
        <v>0.24915646969737</v>
      </c>
      <c r="V105" s="32" t="str">
        <f aca="false">IF(M105="","",IF(M105&lt;Assumptions!$B$5,"BUY",IF(M105&gt;Assumptions!$B$4,"SELL","HOLD")))</f>
        <v>HOLD</v>
      </c>
      <c r="W105" s="32" t="str">
        <f aca="false">IF(O105="","",IF(E105&gt;O105,"BUY","SELL"))</f>
        <v>SELL</v>
      </c>
      <c r="X105" s="32" t="str">
        <f aca="false">IF(T105="","",IF(S105&gt;T105,"BUY","SELL"))</f>
        <v>BUY</v>
      </c>
      <c r="Y105" s="34" t="n">
        <f aca="false">IF(OR(V105="",W105="",X105=""),"",IFERROR(IF(V105="BUY",1,IF(V105="SELL",-1,0))+IF(W105="BUY",1,IF(W105="SELL",-1,0))+IF(X105="BUY",1,IF(X105="SELL",-1,0)),0))</f>
        <v>0</v>
      </c>
      <c r="Z105" s="32" t="str">
        <f aca="false">IF(Y105="","",IF(Y105&gt;=2,"STRONG BUY",IF(Y105=1,"BUY",IF(Y105=0,"HOLD",IF(Y105=-1,"SELL","STRONG SELL")))))</f>
        <v>HOLD</v>
      </c>
    </row>
    <row r="106" customFormat="false" ht="15" hidden="false" customHeight="false" outlineLevel="0" collapsed="false">
      <c r="A106" s="24" t="n">
        <v>45916</v>
      </c>
      <c r="B106" s="25" t="n">
        <v>135.8</v>
      </c>
      <c r="C106" s="25" t="n">
        <v>136.29</v>
      </c>
      <c r="D106" s="25" t="n">
        <v>134.85</v>
      </c>
      <c r="E106" s="25" t="n">
        <v>135.57</v>
      </c>
      <c r="F106" s="26" t="n">
        <v>11764576</v>
      </c>
      <c r="G106" s="27" t="n">
        <f aca="false">E106-E105</f>
        <v>-1.21000000000001</v>
      </c>
      <c r="H106" s="28" t="n">
        <f aca="false">G106/E105</f>
        <v>-0.0088463225617781</v>
      </c>
      <c r="I106" s="29" t="n">
        <f aca="false">MAX(G106,0)</f>
        <v>0</v>
      </c>
      <c r="J106" s="29" t="n">
        <f aca="false">MAX(-G106,0)</f>
        <v>1.21000000000001</v>
      </c>
      <c r="K106" s="29" t="n">
        <f aca="false">(K105*13+I106)/14</f>
        <v>0.811018658833733</v>
      </c>
      <c r="L106" s="29" t="n">
        <f aca="false">(L105*13+J106)/14</f>
        <v>0.893518019976916</v>
      </c>
      <c r="M106" s="31" t="n">
        <f aca="false">IF(L106=0,100,100-100/(1+K106/MAX(L106,0.000001)))</f>
        <v>47.5800062806291</v>
      </c>
      <c r="N106" s="30" t="n">
        <f aca="false">AVERAGE(E87:E106)</f>
        <v>136.267</v>
      </c>
      <c r="O106" s="30" t="n">
        <f aca="false">AVERAGE(E57:E106)</f>
        <v>139.1</v>
      </c>
      <c r="Q106" s="30" t="n">
        <f aca="false">Q105+(2/13)*(E106-Q105)</f>
        <v>135.506588829979</v>
      </c>
      <c r="R106" s="30" t="n">
        <f aca="false">R105+(2/27)*(E106-R105)</f>
        <v>136.581261350688</v>
      </c>
      <c r="S106" s="33" t="n">
        <f aca="false">Q106-R106</f>
        <v>-1.07467252070936</v>
      </c>
      <c r="T106" s="33" t="n">
        <f aca="false">T105+(2/10)*(S106-T105)</f>
        <v>-1.34794186582345</v>
      </c>
      <c r="U106" s="33" t="n">
        <f aca="false">S106-T106</f>
        <v>0.273269345114092</v>
      </c>
      <c r="V106" s="32" t="str">
        <f aca="false">IF(M106="","",IF(M106&lt;Assumptions!$B$5,"BUY",IF(M106&gt;Assumptions!$B$4,"SELL","HOLD")))</f>
        <v>HOLD</v>
      </c>
      <c r="W106" s="32" t="str">
        <f aca="false">IF(O106="","",IF(E106&gt;O106,"BUY","SELL"))</f>
        <v>SELL</v>
      </c>
      <c r="X106" s="32" t="str">
        <f aca="false">IF(T106="","",IF(S106&gt;T106,"BUY","SELL"))</f>
        <v>BUY</v>
      </c>
      <c r="Y106" s="34" t="n">
        <f aca="false">IF(OR(V106="",W106="",X106=""),"",IFERROR(IF(V106="BUY",1,IF(V106="SELL",-1,0))+IF(W106="BUY",1,IF(W106="SELL",-1,0))+IF(X106="BUY",1,IF(X106="SELL",-1,0)),0))</f>
        <v>0</v>
      </c>
      <c r="Z106" s="32" t="str">
        <f aca="false">IF(Y106="","",IF(Y106&gt;=2,"STRONG BUY",IF(Y106=1,"BUY",IF(Y106=0,"HOLD",IF(Y106=-1,"SELL","STRONG SELL")))))</f>
        <v>HOLD</v>
      </c>
    </row>
    <row r="107" customFormat="false" ht="15" hidden="false" customHeight="false" outlineLevel="0" collapsed="false">
      <c r="A107" s="24" t="n">
        <v>45917</v>
      </c>
      <c r="B107" s="25" t="n">
        <v>133.12</v>
      </c>
      <c r="C107" s="25" t="n">
        <v>133.86</v>
      </c>
      <c r="D107" s="25" t="n">
        <v>133.12</v>
      </c>
      <c r="E107" s="25" t="n">
        <v>133.49</v>
      </c>
      <c r="F107" s="26" t="n">
        <v>19988233</v>
      </c>
      <c r="G107" s="27" t="n">
        <f aca="false">E107-E106</f>
        <v>-2.07999999999998</v>
      </c>
      <c r="H107" s="28" t="n">
        <f aca="false">G107/E106</f>
        <v>-0.0153426274249464</v>
      </c>
      <c r="I107" s="29" t="n">
        <f aca="false">MAX(G107,0)</f>
        <v>0</v>
      </c>
      <c r="J107" s="29" t="n">
        <f aca="false">MAX(-G107,0)</f>
        <v>2.07999999999998</v>
      </c>
      <c r="K107" s="29" t="n">
        <f aca="false">(K106*13+I107)/14</f>
        <v>0.753088754631324</v>
      </c>
      <c r="L107" s="29" t="n">
        <f aca="false">(L106*13+J107)/14</f>
        <v>0.978266732835706</v>
      </c>
      <c r="M107" s="31" t="n">
        <f aca="false">IF(L107=0,100,100-100/(1+K107/MAX(L107,0.000001)))</f>
        <v>43.4970611225018</v>
      </c>
      <c r="N107" s="30" t="n">
        <f aca="false">AVERAGE(E88:E107)</f>
        <v>135.749</v>
      </c>
      <c r="O107" s="30" t="n">
        <f aca="false">AVERAGE(E58:E107)</f>
        <v>139.0532</v>
      </c>
      <c r="Q107" s="30" t="n">
        <f aca="false">Q106+(2/13)*(E107-Q106)</f>
        <v>135.196344394598</v>
      </c>
      <c r="R107" s="30" t="n">
        <f aca="false">R106+(2/27)*(E107-R106)</f>
        <v>136.352279028415</v>
      </c>
      <c r="S107" s="33" t="n">
        <f aca="false">Q107-R107</f>
        <v>-1.15593463381751</v>
      </c>
      <c r="T107" s="33" t="n">
        <f aca="false">T106+(2/10)*(S107-T106)</f>
        <v>-1.30954041942226</v>
      </c>
      <c r="U107" s="33" t="n">
        <f aca="false">S107-T107</f>
        <v>0.153605785604751</v>
      </c>
      <c r="V107" s="32" t="str">
        <f aca="false">IF(M107="","",IF(M107&lt;Assumptions!$B$5,"BUY",IF(M107&gt;Assumptions!$B$4,"SELL","HOLD")))</f>
        <v>HOLD</v>
      </c>
      <c r="W107" s="32" t="str">
        <f aca="false">IF(O107="","",IF(E107&gt;O107,"BUY","SELL"))</f>
        <v>SELL</v>
      </c>
      <c r="X107" s="32" t="str">
        <f aca="false">IF(T107="","",IF(S107&gt;T107,"BUY","SELL"))</f>
        <v>BUY</v>
      </c>
      <c r="Y107" s="34" t="n">
        <f aca="false">IF(OR(V107="",W107="",X107=""),"",IFERROR(IF(V107="BUY",1,IF(V107="SELL",-1,0))+IF(W107="BUY",1,IF(W107="SELL",-1,0))+IF(X107="BUY",1,IF(X107="SELL",-1,0)),0))</f>
        <v>0</v>
      </c>
      <c r="Z107" s="32" t="str">
        <f aca="false">IF(Y107="","",IF(Y107&gt;=2,"STRONG BUY",IF(Y107=1,"BUY",IF(Y107=0,"HOLD",IF(Y107=-1,"SELL","STRONG SELL")))))</f>
        <v>HOLD</v>
      </c>
    </row>
    <row r="108" customFormat="false" ht="15" hidden="false" customHeight="false" outlineLevel="0" collapsed="false">
      <c r="A108" s="24" t="n">
        <v>45918</v>
      </c>
      <c r="B108" s="25" t="n">
        <v>132.21</v>
      </c>
      <c r="C108" s="25" t="n">
        <v>132.41</v>
      </c>
      <c r="D108" s="25" t="n">
        <v>130.63</v>
      </c>
      <c r="E108" s="25" t="n">
        <v>131.52</v>
      </c>
      <c r="F108" s="26" t="n">
        <v>12044544</v>
      </c>
      <c r="G108" s="27" t="n">
        <f aca="false">E108-E107</f>
        <v>-1.97</v>
      </c>
      <c r="H108" s="28" t="n">
        <f aca="false">G108/E107</f>
        <v>-0.014757659749794</v>
      </c>
      <c r="I108" s="29" t="n">
        <f aca="false">MAX(G108,0)</f>
        <v>0</v>
      </c>
      <c r="J108" s="29" t="n">
        <f aca="false">MAX(-G108,0)</f>
        <v>1.97</v>
      </c>
      <c r="K108" s="29" t="n">
        <f aca="false">(K107*13+I108)/14</f>
        <v>0.699296700729086</v>
      </c>
      <c r="L108" s="29" t="n">
        <f aca="false">(L107*13+J108)/14</f>
        <v>1.04910482334744</v>
      </c>
      <c r="M108" s="31" t="n">
        <f aca="false">IF(L108=0,100,100-100/(1+K108/MAX(L108,0.000001)))</f>
        <v>39.9963447239868</v>
      </c>
      <c r="N108" s="30" t="n">
        <f aca="false">AVERAGE(E89:E108)</f>
        <v>135.337</v>
      </c>
      <c r="O108" s="30" t="n">
        <f aca="false">AVERAGE(E59:E108)</f>
        <v>138.8844</v>
      </c>
      <c r="Q108" s="30" t="n">
        <f aca="false">Q107+(2/13)*(E108-Q107)</f>
        <v>134.630752949275</v>
      </c>
      <c r="R108" s="30" t="n">
        <f aca="false">R107+(2/27)*(E108-R107)</f>
        <v>135.994332433718</v>
      </c>
      <c r="S108" s="33" t="n">
        <f aca="false">Q108-R108</f>
        <v>-1.36357948444279</v>
      </c>
      <c r="T108" s="33" t="n">
        <f aca="false">T107+(2/10)*(S108-T107)</f>
        <v>-1.32034823242637</v>
      </c>
      <c r="U108" s="33" t="n">
        <f aca="false">S108-T108</f>
        <v>-0.0432312520164277</v>
      </c>
      <c r="V108" s="32" t="str">
        <f aca="false">IF(M108="","",IF(M108&lt;Assumptions!$B$5,"BUY",IF(M108&gt;Assumptions!$B$4,"SELL","HOLD")))</f>
        <v>HOLD</v>
      </c>
      <c r="W108" s="32" t="str">
        <f aca="false">IF(O108="","",IF(E108&gt;O108,"BUY","SELL"))</f>
        <v>SELL</v>
      </c>
      <c r="X108" s="32" t="str">
        <f aca="false">IF(T108="","",IF(S108&gt;T108,"BUY","SELL"))</f>
        <v>SELL</v>
      </c>
      <c r="Y108" s="34" t="n">
        <f aca="false">IF(OR(V108="",W108="",X108=""),"",IFERROR(IF(V108="BUY",1,IF(V108="SELL",-1,0))+IF(W108="BUY",1,IF(W108="SELL",-1,0))+IF(X108="BUY",1,IF(X108="SELL",-1,0)),0))</f>
        <v>-2</v>
      </c>
      <c r="Z108" s="32" t="str">
        <f aca="false">IF(Y108="","",IF(Y108&gt;=2,"STRONG BUY",IF(Y108=1,"BUY",IF(Y108=0,"HOLD",IF(Y108=-1,"SELL","STRONG SELL")))))</f>
        <v>STRONG SELL</v>
      </c>
    </row>
    <row r="109" customFormat="false" ht="15" hidden="false" customHeight="false" outlineLevel="0" collapsed="false">
      <c r="A109" s="24" t="n">
        <v>45919</v>
      </c>
      <c r="B109" s="25" t="n">
        <v>132.03</v>
      </c>
      <c r="C109" s="25" t="n">
        <v>132.16</v>
      </c>
      <c r="D109" s="25" t="n">
        <v>131.32</v>
      </c>
      <c r="E109" s="25" t="n">
        <v>131.74</v>
      </c>
      <c r="F109" s="26" t="n">
        <v>11896589</v>
      </c>
      <c r="G109" s="27" t="n">
        <f aca="false">E109-E108</f>
        <v>0.219999999999999</v>
      </c>
      <c r="H109" s="28" t="n">
        <f aca="false">G109/E108</f>
        <v>0.00167274939172749</v>
      </c>
      <c r="I109" s="29" t="n">
        <f aca="false">MAX(G109,0)</f>
        <v>0.219999999999999</v>
      </c>
      <c r="J109" s="29" t="n">
        <f aca="false">MAX(-G109,0)</f>
        <v>0</v>
      </c>
      <c r="K109" s="29" t="n">
        <f aca="false">(K108*13+I109)/14</f>
        <v>0.66506122210558</v>
      </c>
      <c r="L109" s="29" t="n">
        <f aca="false">(L108*13+J109)/14</f>
        <v>0.97416876453691</v>
      </c>
      <c r="M109" s="31" t="n">
        <f aca="false">IF(L109=0,100,100-100/(1+K109/MAX(L109,0.000001)))</f>
        <v>40.5715627169421</v>
      </c>
      <c r="N109" s="30" t="n">
        <f aca="false">AVERAGE(E90:E109)</f>
        <v>134.9205</v>
      </c>
      <c r="O109" s="30" t="n">
        <f aca="false">AVERAGE(E60:E109)</f>
        <v>138.6594</v>
      </c>
      <c r="Q109" s="30" t="n">
        <f aca="false">Q108+(2/13)*(E109-Q108)</f>
        <v>134.186021726309</v>
      </c>
      <c r="R109" s="30" t="n">
        <f aca="false">R108+(2/27)*(E109-R108)</f>
        <v>135.679196697887</v>
      </c>
      <c r="S109" s="33" t="n">
        <f aca="false">Q109-R109</f>
        <v>-1.49317497157722</v>
      </c>
      <c r="T109" s="33" t="n">
        <f aca="false">T108+(2/10)*(S109-T108)</f>
        <v>-1.35491358025654</v>
      </c>
      <c r="U109" s="33" t="n">
        <f aca="false">S109-T109</f>
        <v>-0.138261391320681</v>
      </c>
      <c r="V109" s="32" t="str">
        <f aca="false">IF(M109="","",IF(M109&lt;Assumptions!$B$5,"BUY",IF(M109&gt;Assumptions!$B$4,"SELL","HOLD")))</f>
        <v>HOLD</v>
      </c>
      <c r="W109" s="32" t="str">
        <f aca="false">IF(O109="","",IF(E109&gt;O109,"BUY","SELL"))</f>
        <v>SELL</v>
      </c>
      <c r="X109" s="32" t="str">
        <f aca="false">IF(T109="","",IF(S109&gt;T109,"BUY","SELL"))</f>
        <v>SELL</v>
      </c>
      <c r="Y109" s="34" t="n">
        <f aca="false">IF(OR(V109="",W109="",X109=""),"",IFERROR(IF(V109="BUY",1,IF(V109="SELL",-1,0))+IF(W109="BUY",1,IF(W109="SELL",-1,0))+IF(X109="BUY",1,IF(X109="SELL",-1,0)),0))</f>
        <v>-2</v>
      </c>
      <c r="Z109" s="32" t="str">
        <f aca="false">IF(Y109="","",IF(Y109&gt;=2,"STRONG BUY",IF(Y109=1,"BUY",IF(Y109=0,"HOLD",IF(Y109=-1,"SELL","STRONG SELL")))))</f>
        <v>STRONG SELL</v>
      </c>
    </row>
    <row r="110" customFormat="false" ht="15" hidden="false" customHeight="false" outlineLevel="0" collapsed="false">
      <c r="A110" s="24" t="n">
        <v>45922</v>
      </c>
      <c r="B110" s="25" t="n">
        <v>133.93</v>
      </c>
      <c r="C110" s="25" t="n">
        <v>134.04</v>
      </c>
      <c r="D110" s="25" t="n">
        <v>133.84</v>
      </c>
      <c r="E110" s="25" t="n">
        <v>133.94</v>
      </c>
      <c r="F110" s="26" t="n">
        <v>9341604</v>
      </c>
      <c r="G110" s="27" t="n">
        <f aca="false">E110-E109</f>
        <v>2.19999999999999</v>
      </c>
      <c r="H110" s="28" t="n">
        <f aca="false">G110/E109</f>
        <v>0.0166995597388795</v>
      </c>
      <c r="I110" s="29" t="n">
        <f aca="false">MAX(G110,0)</f>
        <v>2.19999999999999</v>
      </c>
      <c r="J110" s="29" t="n">
        <f aca="false">MAX(-G110,0)</f>
        <v>0</v>
      </c>
      <c r="K110" s="29" t="n">
        <f aca="false">(K109*13+I110)/14</f>
        <v>0.774699706240895</v>
      </c>
      <c r="L110" s="29" t="n">
        <f aca="false">(L109*13+J110)/14</f>
        <v>0.904585281355702</v>
      </c>
      <c r="M110" s="31" t="n">
        <f aca="false">IF(L110=0,100,100-100/(1+K110/MAX(L110,0.000001)))</f>
        <v>46.1327119555597</v>
      </c>
      <c r="N110" s="30" t="n">
        <f aca="false">AVERAGE(E91:E110)</f>
        <v>134.738</v>
      </c>
      <c r="O110" s="30" t="n">
        <f aca="false">AVERAGE(E61:E110)</f>
        <v>138.5472</v>
      </c>
      <c r="Q110" s="30" t="n">
        <f aca="false">Q109+(2/13)*(E110-Q109)</f>
        <v>134.148172229954</v>
      </c>
      <c r="R110" s="30" t="n">
        <f aca="false">R109+(2/27)*(E110-R109)</f>
        <v>135.550367312858</v>
      </c>
      <c r="S110" s="33" t="n">
        <f aca="false">Q110-R110</f>
        <v>-1.40219508290389</v>
      </c>
      <c r="T110" s="33" t="n">
        <f aca="false">T109+(2/10)*(S110-T109)</f>
        <v>-1.36436988078601</v>
      </c>
      <c r="U110" s="33" t="n">
        <f aca="false">S110-T110</f>
        <v>-0.03782520211788</v>
      </c>
      <c r="V110" s="32" t="str">
        <f aca="false">IF(M110="","",IF(M110&lt;Assumptions!$B$5,"BUY",IF(M110&gt;Assumptions!$B$4,"SELL","HOLD")))</f>
        <v>HOLD</v>
      </c>
      <c r="W110" s="32" t="str">
        <f aca="false">IF(O110="","",IF(E110&gt;O110,"BUY","SELL"))</f>
        <v>SELL</v>
      </c>
      <c r="X110" s="32" t="str">
        <f aca="false">IF(T110="","",IF(S110&gt;T110,"BUY","SELL"))</f>
        <v>SELL</v>
      </c>
      <c r="Y110" s="34" t="n">
        <f aca="false">IF(OR(V110="",W110="",X110=""),"",IFERROR(IF(V110="BUY",1,IF(V110="SELL",-1,0))+IF(W110="BUY",1,IF(W110="SELL",-1,0))+IF(X110="BUY",1,IF(X110="SELL",-1,0)),0))</f>
        <v>-2</v>
      </c>
      <c r="Z110" s="32" t="str">
        <f aca="false">IF(Y110="","",IF(Y110&gt;=2,"STRONG BUY",IF(Y110=1,"BUY",IF(Y110=0,"HOLD",IF(Y110=-1,"SELL","STRONG SELL")))))</f>
        <v>STRONG SELL</v>
      </c>
    </row>
    <row r="111" customFormat="false" ht="15" hidden="false" customHeight="false" outlineLevel="0" collapsed="false">
      <c r="A111" s="24" t="n">
        <v>45923</v>
      </c>
      <c r="B111" s="25" t="n">
        <v>133.92</v>
      </c>
      <c r="C111" s="25" t="n">
        <v>134.75</v>
      </c>
      <c r="D111" s="25" t="n">
        <v>133.35</v>
      </c>
      <c r="E111" s="25" t="n">
        <v>134.05</v>
      </c>
      <c r="F111" s="26" t="n">
        <v>6181228</v>
      </c>
      <c r="G111" s="27" t="n">
        <f aca="false">E111-E110</f>
        <v>0.110000000000014</v>
      </c>
      <c r="H111" s="28" t="n">
        <f aca="false">G111/E110</f>
        <v>0.000821263252202581</v>
      </c>
      <c r="I111" s="29" t="n">
        <f aca="false">MAX(G111,0)</f>
        <v>0.110000000000014</v>
      </c>
      <c r="J111" s="29" t="n">
        <f aca="false">MAX(-G111,0)</f>
        <v>0</v>
      </c>
      <c r="K111" s="29" t="n">
        <f aca="false">(K110*13+I111)/14</f>
        <v>0.727221155795118</v>
      </c>
      <c r="L111" s="29" t="n">
        <f aca="false">(L110*13+J111)/14</f>
        <v>0.839972046973152</v>
      </c>
      <c r="M111" s="31" t="n">
        <f aca="false">IF(L111=0,100,100-100/(1+K111/MAX(L111,0.000001)))</f>
        <v>46.4027762825007</v>
      </c>
      <c r="N111" s="30" t="n">
        <f aca="false">AVERAGE(E92:E111)</f>
        <v>134.594</v>
      </c>
      <c r="O111" s="30" t="n">
        <f aca="false">AVERAGE(E62:E111)</f>
        <v>138.4236</v>
      </c>
      <c r="Q111" s="30" t="n">
        <f aca="false">Q110+(2/13)*(E111-Q110)</f>
        <v>134.133068809961</v>
      </c>
      <c r="R111" s="30" t="n">
        <f aca="false">R110+(2/27)*(E111-R110)</f>
        <v>135.439228993387</v>
      </c>
      <c r="S111" s="33" t="n">
        <f aca="false">Q111-R111</f>
        <v>-1.30616018342587</v>
      </c>
      <c r="T111" s="33" t="n">
        <f aca="false">T110+(2/10)*(S111-T110)</f>
        <v>-1.35272794131398</v>
      </c>
      <c r="U111" s="33" t="n">
        <f aca="false">S111-T111</f>
        <v>0.0465677578881067</v>
      </c>
      <c r="V111" s="32" t="str">
        <f aca="false">IF(M111="","",IF(M111&lt;Assumptions!$B$5,"BUY",IF(M111&gt;Assumptions!$B$4,"SELL","HOLD")))</f>
        <v>HOLD</v>
      </c>
      <c r="W111" s="32" t="str">
        <f aca="false">IF(O111="","",IF(E111&gt;O111,"BUY","SELL"))</f>
        <v>SELL</v>
      </c>
      <c r="X111" s="32" t="str">
        <f aca="false">IF(T111="","",IF(S111&gt;T111,"BUY","SELL"))</f>
        <v>BUY</v>
      </c>
      <c r="Y111" s="34" t="n">
        <f aca="false">IF(OR(V111="",W111="",X111=""),"",IFERROR(IF(V111="BUY",1,IF(V111="SELL",-1,0))+IF(W111="BUY",1,IF(W111="SELL",-1,0))+IF(X111="BUY",1,IF(X111="SELL",-1,0)),0))</f>
        <v>0</v>
      </c>
      <c r="Z111" s="32" t="str">
        <f aca="false">IF(Y111="","",IF(Y111&gt;=2,"STRONG BUY",IF(Y111=1,"BUY",IF(Y111=0,"HOLD",IF(Y111=-1,"SELL","STRONG SELL")))))</f>
        <v>HOLD</v>
      </c>
    </row>
    <row r="112" customFormat="false" ht="15" hidden="false" customHeight="false" outlineLevel="0" collapsed="false">
      <c r="A112" s="24" t="n">
        <v>45924</v>
      </c>
      <c r="B112" s="25" t="n">
        <v>136.67</v>
      </c>
      <c r="C112" s="25" t="n">
        <v>136.7</v>
      </c>
      <c r="D112" s="25" t="n">
        <v>135.72</v>
      </c>
      <c r="E112" s="25" t="n">
        <v>136.21</v>
      </c>
      <c r="F112" s="26" t="n">
        <v>8767936</v>
      </c>
      <c r="G112" s="27" t="n">
        <f aca="false">E112-E111</f>
        <v>2.16</v>
      </c>
      <c r="H112" s="28" t="n">
        <f aca="false">G112/E111</f>
        <v>0.0161133905259231</v>
      </c>
      <c r="I112" s="29" t="n">
        <f aca="false">MAX(G112,0)</f>
        <v>2.16</v>
      </c>
      <c r="J112" s="29" t="n">
        <f aca="false">MAX(-G112,0)</f>
        <v>0</v>
      </c>
      <c r="K112" s="29" t="n">
        <f aca="false">(K111*13+I112)/14</f>
        <v>0.829562501809752</v>
      </c>
      <c r="L112" s="29" t="n">
        <f aca="false">(L111*13+J112)/14</f>
        <v>0.779974043617927</v>
      </c>
      <c r="M112" s="31" t="n">
        <f aca="false">IF(L112=0,100,100-100/(1+K112/MAX(L112,0.000001)))</f>
        <v>51.5404576656769</v>
      </c>
      <c r="N112" s="30" t="n">
        <f aca="false">AVERAGE(E93:E112)</f>
        <v>134.5355</v>
      </c>
      <c r="O112" s="30" t="n">
        <f aca="false">AVERAGE(E63:E112)</f>
        <v>138.3126</v>
      </c>
      <c r="Q112" s="30" t="n">
        <f aca="false">Q111+(2/13)*(E112-Q111)</f>
        <v>134.452596685352</v>
      </c>
      <c r="R112" s="30" t="n">
        <f aca="false">R111+(2/27)*(E112-R111)</f>
        <v>135.496323142025</v>
      </c>
      <c r="S112" s="33" t="n">
        <f aca="false">Q112-R112</f>
        <v>-1.04372645667328</v>
      </c>
      <c r="T112" s="33" t="n">
        <f aca="false">T111+(2/10)*(S112-T111)</f>
        <v>-1.29092764438584</v>
      </c>
      <c r="U112" s="33" t="n">
        <f aca="false">S112-T112</f>
        <v>0.247201187712558</v>
      </c>
      <c r="V112" s="32" t="str">
        <f aca="false">IF(M112="","",IF(M112&lt;Assumptions!$B$5,"BUY",IF(M112&gt;Assumptions!$B$4,"SELL","HOLD")))</f>
        <v>HOLD</v>
      </c>
      <c r="W112" s="32" t="str">
        <f aca="false">IF(O112="","",IF(E112&gt;O112,"BUY","SELL"))</f>
        <v>SELL</v>
      </c>
      <c r="X112" s="32" t="str">
        <f aca="false">IF(T112="","",IF(S112&gt;T112,"BUY","SELL"))</f>
        <v>BUY</v>
      </c>
      <c r="Y112" s="34" t="n">
        <f aca="false">IF(OR(V112="",W112="",X112=""),"",IFERROR(IF(V112="BUY",1,IF(V112="SELL",-1,0))+IF(W112="BUY",1,IF(W112="SELL",-1,0))+IF(X112="BUY",1,IF(X112="SELL",-1,0)),0))</f>
        <v>0</v>
      </c>
      <c r="Z112" s="32" t="str">
        <f aca="false">IF(Y112="","",IF(Y112&gt;=2,"STRONG BUY",IF(Y112=1,"BUY",IF(Y112=0,"HOLD",IF(Y112=-1,"SELL","STRONG SELL")))))</f>
        <v>HOLD</v>
      </c>
    </row>
    <row r="113" customFormat="false" ht="15" hidden="false" customHeight="false" outlineLevel="0" collapsed="false">
      <c r="A113" s="24" t="n">
        <v>45925</v>
      </c>
      <c r="B113" s="25" t="n">
        <v>136.6</v>
      </c>
      <c r="C113" s="25" t="n">
        <v>137.89</v>
      </c>
      <c r="D113" s="25" t="n">
        <v>134.89</v>
      </c>
      <c r="E113" s="25" t="n">
        <v>136.39</v>
      </c>
      <c r="F113" s="26" t="n">
        <v>13001416</v>
      </c>
      <c r="G113" s="27" t="n">
        <f aca="false">E113-E112</f>
        <v>0.179999999999978</v>
      </c>
      <c r="H113" s="28" t="n">
        <f aca="false">G113/E112</f>
        <v>0.00132148887746846</v>
      </c>
      <c r="I113" s="29" t="n">
        <f aca="false">MAX(G113,0)</f>
        <v>0.179999999999978</v>
      </c>
      <c r="J113" s="29" t="n">
        <f aca="false">MAX(-G113,0)</f>
        <v>0</v>
      </c>
      <c r="K113" s="29" t="n">
        <f aca="false">(K112*13+I113)/14</f>
        <v>0.783165180251911</v>
      </c>
      <c r="L113" s="29" t="n">
        <f aca="false">(L112*13+J113)/14</f>
        <v>0.724261611930932</v>
      </c>
      <c r="M113" s="31" t="n">
        <f aca="false">IF(L113=0,100,100-100/(1+K113/MAX(L113,0.000001)))</f>
        <v>51.9537787382591</v>
      </c>
      <c r="N113" s="30" t="n">
        <f aca="false">AVERAGE(E94:E113)</f>
        <v>134.477</v>
      </c>
      <c r="O113" s="30" t="n">
        <f aca="false">AVERAGE(E64:E113)</f>
        <v>138.223</v>
      </c>
      <c r="Q113" s="30" t="n">
        <f aca="false">Q112+(2/13)*(E113-Q112)</f>
        <v>134.750658733759</v>
      </c>
      <c r="R113" s="30" t="n">
        <f aca="false">R112+(2/27)*(E113-R112)</f>
        <v>135.562521427801</v>
      </c>
      <c r="S113" s="33" t="n">
        <f aca="false">Q113-R113</f>
        <v>-0.811862694041793</v>
      </c>
      <c r="T113" s="33" t="n">
        <f aca="false">T112+(2/10)*(S113-T112)</f>
        <v>-1.19511465431703</v>
      </c>
      <c r="U113" s="33" t="n">
        <f aca="false">S113-T113</f>
        <v>0.383251960275239</v>
      </c>
      <c r="V113" s="32" t="str">
        <f aca="false">IF(M113="","",IF(M113&lt;Assumptions!$B$5,"BUY",IF(M113&gt;Assumptions!$B$4,"SELL","HOLD")))</f>
        <v>HOLD</v>
      </c>
      <c r="W113" s="32" t="str">
        <f aca="false">IF(O113="","",IF(E113&gt;O113,"BUY","SELL"))</f>
        <v>SELL</v>
      </c>
      <c r="X113" s="32" t="str">
        <f aca="false">IF(T113="","",IF(S113&gt;T113,"BUY","SELL"))</f>
        <v>BUY</v>
      </c>
      <c r="Y113" s="34" t="n">
        <f aca="false">IF(OR(V113="",W113="",X113=""),"",IFERROR(IF(V113="BUY",1,IF(V113="SELL",-1,0))+IF(W113="BUY",1,IF(W113="SELL",-1,0))+IF(X113="BUY",1,IF(X113="SELL",-1,0)),0))</f>
        <v>0</v>
      </c>
      <c r="Z113" s="32" t="str">
        <f aca="false">IF(Y113="","",IF(Y113&gt;=2,"STRONG BUY",IF(Y113=1,"BUY",IF(Y113=0,"HOLD",IF(Y113=-1,"SELL","STRONG SELL")))))</f>
        <v>HOLD</v>
      </c>
    </row>
    <row r="114" customFormat="false" ht="15" hidden="false" customHeight="false" outlineLevel="0" collapsed="false">
      <c r="A114" s="24" t="n">
        <v>45926</v>
      </c>
      <c r="B114" s="25" t="n">
        <v>135.63</v>
      </c>
      <c r="C114" s="25" t="n">
        <v>135.67</v>
      </c>
      <c r="D114" s="25" t="n">
        <v>135.63</v>
      </c>
      <c r="E114" s="25" t="n">
        <v>135.65</v>
      </c>
      <c r="F114" s="26" t="n">
        <v>3945490</v>
      </c>
      <c r="G114" s="27" t="n">
        <f aca="false">E114-E113</f>
        <v>-0.739999999999981</v>
      </c>
      <c r="H114" s="28" t="n">
        <f aca="false">G114/E113</f>
        <v>-0.0054256177139085</v>
      </c>
      <c r="I114" s="29" t="n">
        <f aca="false">MAX(G114,0)</f>
        <v>0</v>
      </c>
      <c r="J114" s="29" t="n">
        <f aca="false">MAX(-G114,0)</f>
        <v>0.739999999999981</v>
      </c>
      <c r="K114" s="29" t="n">
        <f aca="false">(K113*13+I114)/14</f>
        <v>0.727224810233917</v>
      </c>
      <c r="L114" s="29" t="n">
        <f aca="false">(L113*13+J114)/14</f>
        <v>0.725385782507293</v>
      </c>
      <c r="M114" s="31" t="n">
        <f aca="false">IF(L114=0,100,100-100/(1+K114/MAX(L114,0.000001)))</f>
        <v>50.06330078191</v>
      </c>
      <c r="N114" s="30" t="n">
        <f aca="false">AVERAGE(E95:E114)</f>
        <v>134.2565</v>
      </c>
      <c r="O114" s="30" t="n">
        <f aca="false">AVERAGE(E65:E114)</f>
        <v>138.1584</v>
      </c>
      <c r="Q114" s="30" t="n">
        <f aca="false">Q113+(2/13)*(E114-Q113)</f>
        <v>134.889018928565</v>
      </c>
      <c r="R114" s="30" t="n">
        <f aca="false">R113+(2/27)*(E114-R113)</f>
        <v>135.569001322038</v>
      </c>
      <c r="S114" s="33" t="n">
        <f aca="false">Q114-R114</f>
        <v>-0.6799823934725</v>
      </c>
      <c r="T114" s="33" t="n">
        <f aca="false">T113+(2/10)*(S114-T113)</f>
        <v>-1.09208820214813</v>
      </c>
      <c r="U114" s="33" t="n">
        <f aca="false">S114-T114</f>
        <v>0.412105808675625</v>
      </c>
      <c r="V114" s="32" t="str">
        <f aca="false">IF(M114="","",IF(M114&lt;Assumptions!$B$5,"BUY",IF(M114&gt;Assumptions!$B$4,"SELL","HOLD")))</f>
        <v>HOLD</v>
      </c>
      <c r="W114" s="32" t="str">
        <f aca="false">IF(O114="","",IF(E114&gt;O114,"BUY","SELL"))</f>
        <v>SELL</v>
      </c>
      <c r="X114" s="32" t="str">
        <f aca="false">IF(T114="","",IF(S114&gt;T114,"BUY","SELL"))</f>
        <v>BUY</v>
      </c>
      <c r="Y114" s="34" t="n">
        <f aca="false">IF(OR(V114="",W114="",X114=""),"",IFERROR(IF(V114="BUY",1,IF(V114="SELL",-1,0))+IF(W114="BUY",1,IF(W114="SELL",-1,0))+IF(X114="BUY",1,IF(X114="SELL",-1,0)),0))</f>
        <v>0</v>
      </c>
      <c r="Z114" s="32" t="str">
        <f aca="false">IF(Y114="","",IF(Y114&gt;=2,"STRONG BUY",IF(Y114=1,"BUY",IF(Y114=0,"HOLD",IF(Y114=-1,"SELL","STRONG SELL")))))</f>
        <v>HOLD</v>
      </c>
    </row>
    <row r="115" customFormat="false" ht="15" hidden="false" customHeight="false" outlineLevel="0" collapsed="false">
      <c r="A115" s="24" t="n">
        <v>45929</v>
      </c>
      <c r="B115" s="25" t="n">
        <v>140.43</v>
      </c>
      <c r="C115" s="25" t="n">
        <v>141.99</v>
      </c>
      <c r="D115" s="25" t="n">
        <v>139.11</v>
      </c>
      <c r="E115" s="25" t="n">
        <v>140.55</v>
      </c>
      <c r="F115" s="26" t="n">
        <v>14118476</v>
      </c>
      <c r="G115" s="27" t="n">
        <f aca="false">E115-E114</f>
        <v>4.90000000000001</v>
      </c>
      <c r="H115" s="28" t="n">
        <f aca="false">G115/E114</f>
        <v>0.0361223737559897</v>
      </c>
      <c r="I115" s="29" t="n">
        <f aca="false">MAX(G115,0)</f>
        <v>4.90000000000001</v>
      </c>
      <c r="J115" s="29" t="n">
        <f aca="false">MAX(-G115,0)</f>
        <v>0</v>
      </c>
      <c r="K115" s="29" t="n">
        <f aca="false">(K114*13+I115)/14</f>
        <v>1.02528018093149</v>
      </c>
      <c r="L115" s="29" t="n">
        <f aca="false">(L114*13+J115)/14</f>
        <v>0.6735725123282</v>
      </c>
      <c r="M115" s="31" t="n">
        <f aca="false">IF(L115=0,100,100-100/(1+K115/MAX(L115,0.000001)))</f>
        <v>60.3513291646391</v>
      </c>
      <c r="N115" s="30" t="n">
        <f aca="false">AVERAGE(E96:E115)</f>
        <v>134.458</v>
      </c>
      <c r="O115" s="30" t="n">
        <f aca="false">AVERAGE(E66:E115)</f>
        <v>138.1676</v>
      </c>
      <c r="Q115" s="30" t="n">
        <f aca="false">Q114+(2/13)*(E115-Q114)</f>
        <v>135.759939093402</v>
      </c>
      <c r="R115" s="30" t="n">
        <f aca="false">R114+(2/27)*(E115-R114)</f>
        <v>135.937964187072</v>
      </c>
      <c r="S115" s="33" t="n">
        <f aca="false">Q115-R115</f>
        <v>-0.178025093670641</v>
      </c>
      <c r="T115" s="33" t="n">
        <f aca="false">T114+(2/10)*(S115-T114)</f>
        <v>-0.909275580452628</v>
      </c>
      <c r="U115" s="33" t="n">
        <f aca="false">S115-T115</f>
        <v>0.731250486781987</v>
      </c>
      <c r="V115" s="32" t="str">
        <f aca="false">IF(M115="","",IF(M115&lt;Assumptions!$B$5,"BUY",IF(M115&gt;Assumptions!$B$4,"SELL","HOLD")))</f>
        <v>HOLD</v>
      </c>
      <c r="W115" s="32" t="str">
        <f aca="false">IF(O115="","",IF(E115&gt;O115,"BUY","SELL"))</f>
        <v>BUY</v>
      </c>
      <c r="X115" s="32" t="str">
        <f aca="false">IF(T115="","",IF(S115&gt;T115,"BUY","SELL"))</f>
        <v>BUY</v>
      </c>
      <c r="Y115" s="34" t="n">
        <f aca="false">IF(OR(V115="",W115="",X115=""),"",IFERROR(IF(V115="BUY",1,IF(V115="SELL",-1,0))+IF(W115="BUY",1,IF(W115="SELL",-1,0))+IF(X115="BUY",1,IF(X115="SELL",-1,0)),0))</f>
        <v>2</v>
      </c>
      <c r="Z115" s="32" t="str">
        <f aca="false">IF(Y115="","",IF(Y115&gt;=2,"STRONG BUY",IF(Y115=1,"BUY",IF(Y115=0,"HOLD",IF(Y115=-1,"SELL","STRONG SELL")))))</f>
        <v>STRONG BUY</v>
      </c>
    </row>
    <row r="116" customFormat="false" ht="15" hidden="false" customHeight="false" outlineLevel="0" collapsed="false">
      <c r="A116" s="24" t="n">
        <v>45930</v>
      </c>
      <c r="B116" s="25" t="n">
        <v>143.99</v>
      </c>
      <c r="C116" s="25" t="n">
        <v>143.99</v>
      </c>
      <c r="D116" s="25" t="n">
        <v>143.87</v>
      </c>
      <c r="E116" s="25" t="n">
        <v>143.93</v>
      </c>
      <c r="F116" s="26" t="n">
        <v>6631282</v>
      </c>
      <c r="G116" s="27" t="n">
        <f aca="false">E116-E115</f>
        <v>3.38</v>
      </c>
      <c r="H116" s="28" t="n">
        <f aca="false">G116/E115</f>
        <v>0.024048381358947</v>
      </c>
      <c r="I116" s="29" t="n">
        <f aca="false">MAX(G116,0)</f>
        <v>3.38</v>
      </c>
      <c r="J116" s="29" t="n">
        <f aca="false">MAX(-G116,0)</f>
        <v>0</v>
      </c>
      <c r="K116" s="29" t="n">
        <f aca="false">(K115*13+I116)/14</f>
        <v>1.1934744537221</v>
      </c>
      <c r="L116" s="29" t="n">
        <f aca="false">(L115*13+J116)/14</f>
        <v>0.625460190019043</v>
      </c>
      <c r="M116" s="31" t="n">
        <f aca="false">IF(L116=0,100,100-100/(1+K116/MAX(L116,0.000001)))</f>
        <v>65.6139272419041</v>
      </c>
      <c r="N116" s="30" t="n">
        <f aca="false">AVERAGE(E97:E116)</f>
        <v>134.9015</v>
      </c>
      <c r="O116" s="30" t="n">
        <f aca="false">AVERAGE(E67:E116)</f>
        <v>138.2404</v>
      </c>
      <c r="Q116" s="30" t="n">
        <f aca="false">Q115+(2/13)*(E116-Q115)</f>
        <v>137.016871540571</v>
      </c>
      <c r="R116" s="30" t="n">
        <f aca="false">R115+(2/27)*(E116-R115)</f>
        <v>136.529966839882</v>
      </c>
      <c r="S116" s="33" t="n">
        <f aca="false">Q116-R116</f>
        <v>0.486904700688882</v>
      </c>
      <c r="T116" s="33" t="n">
        <f aca="false">T115+(2/10)*(S116-T115)</f>
        <v>-0.630039524224326</v>
      </c>
      <c r="U116" s="33" t="n">
        <f aca="false">S116-T116</f>
        <v>1.11694422491321</v>
      </c>
      <c r="V116" s="32" t="str">
        <f aca="false">IF(M116="","",IF(M116&lt;Assumptions!$B$5,"BUY",IF(M116&gt;Assumptions!$B$4,"SELL","HOLD")))</f>
        <v>HOLD</v>
      </c>
      <c r="W116" s="32" t="str">
        <f aca="false">IF(O116="","",IF(E116&gt;O116,"BUY","SELL"))</f>
        <v>BUY</v>
      </c>
      <c r="X116" s="32" t="str">
        <f aca="false">IF(T116="","",IF(S116&gt;T116,"BUY","SELL"))</f>
        <v>BUY</v>
      </c>
      <c r="Y116" s="34" t="n">
        <f aca="false">IF(OR(V116="",W116="",X116=""),"",IFERROR(IF(V116="BUY",1,IF(V116="SELL",-1,0))+IF(W116="BUY",1,IF(W116="SELL",-1,0))+IF(X116="BUY",1,IF(X116="SELL",-1,0)),0))</f>
        <v>2</v>
      </c>
      <c r="Z116" s="32" t="str">
        <f aca="false">IF(Y116="","",IF(Y116&gt;=2,"STRONG BUY",IF(Y116=1,"BUY",IF(Y116=0,"HOLD",IF(Y116=-1,"SELL","STRONG SELL")))))</f>
        <v>STRONG BUY</v>
      </c>
    </row>
    <row r="117" customFormat="false" ht="15" hidden="false" customHeight="false" outlineLevel="0" collapsed="false">
      <c r="A117" s="24" t="n">
        <v>45931</v>
      </c>
      <c r="B117" s="25" t="n">
        <v>143.92</v>
      </c>
      <c r="C117" s="25" t="n">
        <v>144.7</v>
      </c>
      <c r="D117" s="25" t="n">
        <v>143.92</v>
      </c>
      <c r="E117" s="25" t="n">
        <v>144.31</v>
      </c>
      <c r="F117" s="26" t="n">
        <v>7433957</v>
      </c>
      <c r="G117" s="27" t="n">
        <f aca="false">E117-E116</f>
        <v>0.379999999999995</v>
      </c>
      <c r="H117" s="28" t="n">
        <f aca="false">G117/E116</f>
        <v>0.00264017230598204</v>
      </c>
      <c r="I117" s="29" t="n">
        <f aca="false">MAX(G117,0)</f>
        <v>0.379999999999995</v>
      </c>
      <c r="J117" s="29" t="n">
        <f aca="false">MAX(-G117,0)</f>
        <v>0</v>
      </c>
      <c r="K117" s="29" t="n">
        <f aca="false">(K116*13+I117)/14</f>
        <v>1.13536913559909</v>
      </c>
      <c r="L117" s="29" t="n">
        <f aca="false">(L116*13+J117)/14</f>
        <v>0.58078446216054</v>
      </c>
      <c r="M117" s="31" t="n">
        <f aca="false">IF(L117=0,100,100-100/(1+K117/MAX(L117,0.000001)))</f>
        <v>66.1577808117683</v>
      </c>
      <c r="N117" s="30" t="n">
        <f aca="false">AVERAGE(E98:E117)</f>
        <v>135.492</v>
      </c>
      <c r="O117" s="30" t="n">
        <f aca="false">AVERAGE(E68:E117)</f>
        <v>138.3002</v>
      </c>
      <c r="Q117" s="30" t="n">
        <f aca="false">Q116+(2/13)*(E117-Q116)</f>
        <v>138.13889130356</v>
      </c>
      <c r="R117" s="30" t="n">
        <f aca="false">R116+(2/27)*(E117-R116)</f>
        <v>137.106265592483</v>
      </c>
      <c r="S117" s="33" t="n">
        <f aca="false">Q117-R117</f>
        <v>1.03262571107666</v>
      </c>
      <c r="T117" s="33" t="n">
        <f aca="false">T116+(2/10)*(S117-T116)</f>
        <v>-0.297506477164129</v>
      </c>
      <c r="U117" s="33" t="n">
        <f aca="false">S117-T117</f>
        <v>1.33013218824079</v>
      </c>
      <c r="V117" s="32" t="str">
        <f aca="false">IF(M117="","",IF(M117&lt;Assumptions!$B$5,"BUY",IF(M117&gt;Assumptions!$B$4,"SELL","HOLD")))</f>
        <v>HOLD</v>
      </c>
      <c r="W117" s="32" t="str">
        <f aca="false">IF(O117="","",IF(E117&gt;O117,"BUY","SELL"))</f>
        <v>BUY</v>
      </c>
      <c r="X117" s="32" t="str">
        <f aca="false">IF(T117="","",IF(S117&gt;T117,"BUY","SELL"))</f>
        <v>BUY</v>
      </c>
      <c r="Y117" s="34" t="n">
        <f aca="false">IF(OR(V117="",W117="",X117=""),"",IFERROR(IF(V117="BUY",1,IF(V117="SELL",-1,0))+IF(W117="BUY",1,IF(W117="SELL",-1,0))+IF(X117="BUY",1,IF(X117="SELL",-1,0)),0))</f>
        <v>2</v>
      </c>
      <c r="Z117" s="32" t="str">
        <f aca="false">IF(Y117="","",IF(Y117&gt;=2,"STRONG BUY",IF(Y117=1,"BUY",IF(Y117=0,"HOLD",IF(Y117=-1,"SELL","STRONG SELL")))))</f>
        <v>STRONG BUY</v>
      </c>
    </row>
    <row r="118" customFormat="false" ht="15" hidden="false" customHeight="false" outlineLevel="0" collapsed="false">
      <c r="A118" s="24" t="n">
        <v>45932</v>
      </c>
      <c r="B118" s="25" t="n">
        <v>142.16</v>
      </c>
      <c r="C118" s="25" t="n">
        <v>143.38</v>
      </c>
      <c r="D118" s="25" t="n">
        <v>142.16</v>
      </c>
      <c r="E118" s="25" t="n">
        <v>142.77</v>
      </c>
      <c r="F118" s="26" t="n">
        <v>10062962</v>
      </c>
      <c r="G118" s="27" t="n">
        <f aca="false">E118-E117</f>
        <v>-1.53999999999999</v>
      </c>
      <c r="H118" s="28" t="n">
        <f aca="false">G118/E117</f>
        <v>-0.0106714711385212</v>
      </c>
      <c r="I118" s="29" t="n">
        <f aca="false">MAX(G118,0)</f>
        <v>0</v>
      </c>
      <c r="J118" s="29" t="n">
        <f aca="false">MAX(-G118,0)</f>
        <v>1.53999999999999</v>
      </c>
      <c r="K118" s="29" t="n">
        <f aca="false">(K117*13+I118)/14</f>
        <v>1.05427134019916</v>
      </c>
      <c r="L118" s="29" t="n">
        <f aca="false">(L117*13+J118)/14</f>
        <v>0.649299857720501</v>
      </c>
      <c r="M118" s="31" t="n">
        <f aca="false">IF(L118=0,100,100-100/(1+K118/MAX(L118,0.000001)))</f>
        <v>61.8859570698658</v>
      </c>
      <c r="N118" s="30" t="n">
        <f aca="false">AVERAGE(E99:E118)</f>
        <v>136.1445</v>
      </c>
      <c r="O118" s="30" t="n">
        <f aca="false">AVERAGE(E69:E118)</f>
        <v>138.3348</v>
      </c>
      <c r="Q118" s="30" t="n">
        <f aca="false">Q117+(2/13)*(E118-Q117)</f>
        <v>138.851369564551</v>
      </c>
      <c r="R118" s="30" t="n">
        <f aca="false">R117+(2/27)*(E118-R117)</f>
        <v>137.525801474521</v>
      </c>
      <c r="S118" s="33" t="n">
        <f aca="false">Q118-R118</f>
        <v>1.32556809002918</v>
      </c>
      <c r="T118" s="33" t="n">
        <f aca="false">T117+(2/10)*(S118-T117)</f>
        <v>0.027108436274533</v>
      </c>
      <c r="U118" s="33" t="n">
        <f aca="false">S118-T118</f>
        <v>1.29845965375465</v>
      </c>
      <c r="V118" s="32" t="str">
        <f aca="false">IF(M118="","",IF(M118&lt;Assumptions!$B$5,"BUY",IF(M118&gt;Assumptions!$B$4,"SELL","HOLD")))</f>
        <v>HOLD</v>
      </c>
      <c r="W118" s="32" t="str">
        <f aca="false">IF(O118="","",IF(E118&gt;O118,"BUY","SELL"))</f>
        <v>BUY</v>
      </c>
      <c r="X118" s="32" t="str">
        <f aca="false">IF(T118="","",IF(S118&gt;T118,"BUY","SELL"))</f>
        <v>BUY</v>
      </c>
      <c r="Y118" s="34" t="n">
        <f aca="false">IF(OR(V118="",W118="",X118=""),"",IFERROR(IF(V118="BUY",1,IF(V118="SELL",-1,0))+IF(W118="BUY",1,IF(W118="SELL",-1,0))+IF(X118="BUY",1,IF(X118="SELL",-1,0)),0))</f>
        <v>2</v>
      </c>
      <c r="Z118" s="32" t="str">
        <f aca="false">IF(Y118="","",IF(Y118&gt;=2,"STRONG BUY",IF(Y118=1,"BUY",IF(Y118=0,"HOLD",IF(Y118=-1,"SELL","STRONG SELL")))))</f>
        <v>STRONG BUY</v>
      </c>
    </row>
    <row r="119" customFormat="false" ht="15" hidden="false" customHeight="false" outlineLevel="0" collapsed="false">
      <c r="A119" s="24" t="n">
        <v>45933</v>
      </c>
      <c r="B119" s="25" t="n">
        <v>139.23</v>
      </c>
      <c r="C119" s="25" t="n">
        <v>140.43</v>
      </c>
      <c r="D119" s="25" t="n">
        <v>139.23</v>
      </c>
      <c r="E119" s="25" t="n">
        <v>139.83</v>
      </c>
      <c r="F119" s="26" t="n">
        <v>11442075</v>
      </c>
      <c r="G119" s="27" t="n">
        <f aca="false">E119-E118</f>
        <v>-2.94</v>
      </c>
      <c r="H119" s="28" t="n">
        <f aca="false">G119/E118</f>
        <v>-0.0205925614624921</v>
      </c>
      <c r="I119" s="29" t="n">
        <f aca="false">MAX(G119,0)</f>
        <v>0</v>
      </c>
      <c r="J119" s="29" t="n">
        <f aca="false">MAX(-G119,0)</f>
        <v>2.94</v>
      </c>
      <c r="K119" s="29" t="n">
        <f aca="false">(K118*13+I119)/14</f>
        <v>0.978966244470648</v>
      </c>
      <c r="L119" s="29" t="n">
        <f aca="false">(L118*13+J119)/14</f>
        <v>0.812921296454751</v>
      </c>
      <c r="M119" s="31" t="n">
        <f aca="false">IF(L119=0,100,100-100/(1+K119/MAX(L119,0.000001)))</f>
        <v>54.6332413230058</v>
      </c>
      <c r="N119" s="30" t="n">
        <f aca="false">AVERAGE(E100:E119)</f>
        <v>136.564</v>
      </c>
      <c r="O119" s="30" t="n">
        <f aca="false">AVERAGE(E70:E119)</f>
        <v>138.2236</v>
      </c>
      <c r="Q119" s="30" t="n">
        <f aca="false">Q118+(2/13)*(E119-Q118)</f>
        <v>139.001928093081</v>
      </c>
      <c r="R119" s="30" t="n">
        <f aca="false">R118+(2/27)*(E119-R118)</f>
        <v>137.696482846779</v>
      </c>
      <c r="S119" s="33" t="n">
        <f aca="false">Q119-R119</f>
        <v>1.30544524630218</v>
      </c>
      <c r="T119" s="33" t="n">
        <f aca="false">T118+(2/10)*(S119-T118)</f>
        <v>0.282775798280063</v>
      </c>
      <c r="U119" s="33" t="n">
        <f aca="false">S119-T119</f>
        <v>1.02266944802212</v>
      </c>
      <c r="V119" s="32" t="str">
        <f aca="false">IF(M119="","",IF(M119&lt;Assumptions!$B$5,"BUY",IF(M119&gt;Assumptions!$B$4,"SELL","HOLD")))</f>
        <v>HOLD</v>
      </c>
      <c r="W119" s="32" t="str">
        <f aca="false">IF(O119="","",IF(E119&gt;O119,"BUY","SELL"))</f>
        <v>BUY</v>
      </c>
      <c r="X119" s="32" t="str">
        <f aca="false">IF(T119="","",IF(S119&gt;T119,"BUY","SELL"))</f>
        <v>BUY</v>
      </c>
      <c r="Y119" s="34" t="n">
        <f aca="false">IF(OR(V119="",W119="",X119=""),"",IFERROR(IF(V119="BUY",1,IF(V119="SELL",-1,0))+IF(W119="BUY",1,IF(W119="SELL",-1,0))+IF(X119="BUY",1,IF(X119="SELL",-1,0)),0))</f>
        <v>2</v>
      </c>
      <c r="Z119" s="32" t="str">
        <f aca="false">IF(Y119="","",IF(Y119&gt;=2,"STRONG BUY",IF(Y119=1,"BUY",IF(Y119=0,"HOLD",IF(Y119=-1,"SELL","STRONG SELL")))))</f>
        <v>STRONG BUY</v>
      </c>
    </row>
    <row r="120" customFormat="false" ht="15" hidden="false" customHeight="false" outlineLevel="0" collapsed="false">
      <c r="A120" s="24" t="n">
        <v>45936</v>
      </c>
      <c r="B120" s="25" t="n">
        <v>140.57</v>
      </c>
      <c r="C120" s="25" t="n">
        <v>140.59</v>
      </c>
      <c r="D120" s="25" t="n">
        <v>140.57</v>
      </c>
      <c r="E120" s="25" t="n">
        <v>140.58</v>
      </c>
      <c r="F120" s="26" t="n">
        <v>20450280</v>
      </c>
      <c r="G120" s="27" t="n">
        <f aca="false">E120-E119</f>
        <v>0.75</v>
      </c>
      <c r="H120" s="28" t="n">
        <f aca="false">G120/E119</f>
        <v>0.00536365586783952</v>
      </c>
      <c r="I120" s="29" t="n">
        <f aca="false">MAX(G120,0)</f>
        <v>0.75</v>
      </c>
      <c r="J120" s="29" t="n">
        <f aca="false">MAX(-G120,0)</f>
        <v>0</v>
      </c>
      <c r="K120" s="29" t="n">
        <f aca="false">(K119*13+I120)/14</f>
        <v>0.962611512722744</v>
      </c>
      <c r="L120" s="29" t="n">
        <f aca="false">(L119*13+J120)/14</f>
        <v>0.754855489565126</v>
      </c>
      <c r="M120" s="31" t="n">
        <f aca="false">IF(L120=0,100,100-100/(1+K120/MAX(L120,0.000001)))</f>
        <v>56.0483264854831</v>
      </c>
      <c r="N120" s="30" t="n">
        <f aca="false">AVERAGE(E101:E120)</f>
        <v>137.0045</v>
      </c>
      <c r="O120" s="30" t="n">
        <f aca="false">AVERAGE(E71:E120)</f>
        <v>138.1614</v>
      </c>
      <c r="Q120" s="30" t="n">
        <f aca="false">Q119+(2/13)*(E120-Q119)</f>
        <v>139.244708386453</v>
      </c>
      <c r="R120" s="30" t="n">
        <f aca="false">R119+(2/27)*(E120-R119)</f>
        <v>137.910076709981</v>
      </c>
      <c r="S120" s="33" t="n">
        <f aca="false">Q120-R120</f>
        <v>1.33463167647275</v>
      </c>
      <c r="T120" s="33" t="n">
        <f aca="false">T119+(2/10)*(S120-T119)</f>
        <v>0.493146973918601</v>
      </c>
      <c r="U120" s="33" t="n">
        <f aca="false">S120-T120</f>
        <v>0.841484702554152</v>
      </c>
      <c r="V120" s="32" t="str">
        <f aca="false">IF(M120="","",IF(M120&lt;Assumptions!$B$5,"BUY",IF(M120&gt;Assumptions!$B$4,"SELL","HOLD")))</f>
        <v>HOLD</v>
      </c>
      <c r="W120" s="32" t="str">
        <f aca="false">IF(O120="","",IF(E120&gt;O120,"BUY","SELL"))</f>
        <v>BUY</v>
      </c>
      <c r="X120" s="32" t="str">
        <f aca="false">IF(T120="","",IF(S120&gt;T120,"BUY","SELL"))</f>
        <v>BUY</v>
      </c>
      <c r="Y120" s="34" t="n">
        <f aca="false">IF(OR(V120="",W120="",X120=""),"",IFERROR(IF(V120="BUY",1,IF(V120="SELL",-1,0))+IF(W120="BUY",1,IF(W120="SELL",-1,0))+IF(X120="BUY",1,IF(X120="SELL",-1,0)),0))</f>
        <v>2</v>
      </c>
      <c r="Z120" s="32" t="str">
        <f aca="false">IF(Y120="","",IF(Y120&gt;=2,"STRONG BUY",IF(Y120=1,"BUY",IF(Y120=0,"HOLD",IF(Y120=-1,"SELL","STRONG SELL")))))</f>
        <v>STRONG BUY</v>
      </c>
    </row>
    <row r="121" customFormat="false" ht="15" hidden="false" customHeight="false" outlineLevel="0" collapsed="false">
      <c r="A121" s="24" t="n">
        <v>45937</v>
      </c>
      <c r="B121" s="25" t="n">
        <v>140.73</v>
      </c>
      <c r="C121" s="25" t="n">
        <v>140.73</v>
      </c>
      <c r="D121" s="25" t="n">
        <v>139.53</v>
      </c>
      <c r="E121" s="25" t="n">
        <v>140.13</v>
      </c>
      <c r="F121" s="26" t="n">
        <v>10620790</v>
      </c>
      <c r="G121" s="27" t="n">
        <f aca="false">E121-E120</f>
        <v>-0.450000000000017</v>
      </c>
      <c r="H121" s="28" t="n">
        <f aca="false">G121/E120</f>
        <v>-0.00320102432778501</v>
      </c>
      <c r="I121" s="29" t="n">
        <f aca="false">MAX(G121,0)</f>
        <v>0</v>
      </c>
      <c r="J121" s="29" t="n">
        <f aca="false">MAX(-G121,0)</f>
        <v>0.450000000000017</v>
      </c>
      <c r="K121" s="29" t="n">
        <f aca="false">(K120*13+I121)/14</f>
        <v>0.893853547528263</v>
      </c>
      <c r="L121" s="29" t="n">
        <f aca="false">(L120*13+J121)/14</f>
        <v>0.733080097453332</v>
      </c>
      <c r="M121" s="31" t="n">
        <f aca="false">IF(L121=0,100,100-100/(1+K121/MAX(L121,0.000001)))</f>
        <v>54.9409959210952</v>
      </c>
      <c r="N121" s="30" t="n">
        <f aca="false">AVERAGE(E102:E121)</f>
        <v>137.287</v>
      </c>
      <c r="O121" s="30" t="n">
        <f aca="false">AVERAGE(E72:E121)</f>
        <v>138.1084</v>
      </c>
      <c r="Q121" s="30" t="n">
        <f aca="false">Q120+(2/13)*(E121-Q120)</f>
        <v>139.38090709623</v>
      </c>
      <c r="R121" s="30" t="n">
        <f aca="false">R120+(2/27)*(E121-R120)</f>
        <v>138.074515472204</v>
      </c>
      <c r="S121" s="33" t="n">
        <f aca="false">Q121-R121</f>
        <v>1.30639162402551</v>
      </c>
      <c r="T121" s="33" t="n">
        <f aca="false">T120+(2/10)*(S121-T120)</f>
        <v>0.655795903939983</v>
      </c>
      <c r="U121" s="33" t="n">
        <f aca="false">S121-T121</f>
        <v>0.650595720085526</v>
      </c>
      <c r="V121" s="32" t="str">
        <f aca="false">IF(M121="","",IF(M121&lt;Assumptions!$B$5,"BUY",IF(M121&gt;Assumptions!$B$4,"SELL","HOLD")))</f>
        <v>HOLD</v>
      </c>
      <c r="W121" s="32" t="str">
        <f aca="false">IF(O121="","",IF(E121&gt;O121,"BUY","SELL"))</f>
        <v>BUY</v>
      </c>
      <c r="X121" s="32" t="str">
        <f aca="false">IF(T121="","",IF(S121&gt;T121,"BUY","SELL"))</f>
        <v>BUY</v>
      </c>
      <c r="Y121" s="34" t="n">
        <f aca="false">IF(OR(V121="",W121="",X121=""),"",IFERROR(IF(V121="BUY",1,IF(V121="SELL",-1,0))+IF(W121="BUY",1,IF(W121="SELL",-1,0))+IF(X121="BUY",1,IF(X121="SELL",-1,0)),0))</f>
        <v>2</v>
      </c>
      <c r="Z121" s="32" t="str">
        <f aca="false">IF(Y121="","",IF(Y121&gt;=2,"STRONG BUY",IF(Y121=1,"BUY",IF(Y121=0,"HOLD",IF(Y121=-1,"SELL","STRONG SELL")))))</f>
        <v>STRONG BUY</v>
      </c>
    </row>
    <row r="122" customFormat="false" ht="15" hidden="false" customHeight="false" outlineLevel="0" collapsed="false">
      <c r="A122" s="24" t="n">
        <v>45938</v>
      </c>
      <c r="B122" s="25" t="n">
        <v>141.43</v>
      </c>
      <c r="C122" s="25" t="n">
        <v>141.76</v>
      </c>
      <c r="D122" s="25" t="n">
        <v>140.24</v>
      </c>
      <c r="E122" s="25" t="n">
        <v>141</v>
      </c>
      <c r="F122" s="26" t="n">
        <v>7722270</v>
      </c>
      <c r="G122" s="27" t="n">
        <f aca="false">E122-E121</f>
        <v>0.870000000000005</v>
      </c>
      <c r="H122" s="28" t="n">
        <f aca="false">G122/E121</f>
        <v>0.00620852065938774</v>
      </c>
      <c r="I122" s="29" t="n">
        <f aca="false">MAX(G122,0)</f>
        <v>0.870000000000005</v>
      </c>
      <c r="J122" s="29" t="n">
        <f aca="false">MAX(-G122,0)</f>
        <v>0</v>
      </c>
      <c r="K122" s="29" t="n">
        <f aca="false">(K121*13+I122)/14</f>
        <v>0.892149722704816</v>
      </c>
      <c r="L122" s="29" t="n">
        <f aca="false">(L121*13+J122)/14</f>
        <v>0.680717233349523</v>
      </c>
      <c r="M122" s="31" t="n">
        <f aca="false">IF(L122=0,100,100-100/(1+K122/MAX(L122,0.000001)))</f>
        <v>56.7212451930991</v>
      </c>
      <c r="N122" s="30" t="n">
        <f aca="false">AVERAGE(E103:E122)</f>
        <v>137.508</v>
      </c>
      <c r="O122" s="30" t="n">
        <f aca="false">AVERAGE(E73:E122)</f>
        <v>138.0534</v>
      </c>
      <c r="Q122" s="30" t="n">
        <f aca="false">Q121+(2/13)*(E122-Q121)</f>
        <v>139.629998312194</v>
      </c>
      <c r="R122" s="30" t="n">
        <f aca="false">R121+(2/27)*(E122-R121)</f>
        <v>138.291218029819</v>
      </c>
      <c r="S122" s="33" t="n">
        <f aca="false">Q122-R122</f>
        <v>1.33878028237567</v>
      </c>
      <c r="T122" s="33" t="n">
        <f aca="false">T121+(2/10)*(S122-T121)</f>
        <v>0.792392779627119</v>
      </c>
      <c r="U122" s="33" t="n">
        <f aca="false">S122-T122</f>
        <v>0.546387502748547</v>
      </c>
      <c r="V122" s="32" t="str">
        <f aca="false">IF(M122="","",IF(M122&lt;Assumptions!$B$5,"BUY",IF(M122&gt;Assumptions!$B$4,"SELL","HOLD")))</f>
        <v>HOLD</v>
      </c>
      <c r="W122" s="32" t="str">
        <f aca="false">IF(O122="","",IF(E122&gt;O122,"BUY","SELL"))</f>
        <v>BUY</v>
      </c>
      <c r="X122" s="32" t="str">
        <f aca="false">IF(T122="","",IF(S122&gt;T122,"BUY","SELL"))</f>
        <v>BUY</v>
      </c>
      <c r="Y122" s="34" t="n">
        <f aca="false">IF(OR(V122="",W122="",X122=""),"",IFERROR(IF(V122="BUY",1,IF(V122="SELL",-1,0))+IF(W122="BUY",1,IF(W122="SELL",-1,0))+IF(X122="BUY",1,IF(X122="SELL",-1,0)),0))</f>
        <v>2</v>
      </c>
      <c r="Z122" s="32" t="str">
        <f aca="false">IF(Y122="","",IF(Y122&gt;=2,"STRONG BUY",IF(Y122=1,"BUY",IF(Y122=0,"HOLD",IF(Y122=-1,"SELL","STRONG SELL")))))</f>
        <v>STRONG BUY</v>
      </c>
    </row>
    <row r="123" customFormat="false" ht="15" hidden="false" customHeight="false" outlineLevel="0" collapsed="false">
      <c r="A123" s="24" t="n">
        <v>45939</v>
      </c>
      <c r="B123" s="25" t="n">
        <v>142.19</v>
      </c>
      <c r="C123" s="25" t="n">
        <v>142.19</v>
      </c>
      <c r="D123" s="25" t="n">
        <v>141.03</v>
      </c>
      <c r="E123" s="25" t="n">
        <v>141.61</v>
      </c>
      <c r="F123" s="26" t="n">
        <v>10272885</v>
      </c>
      <c r="G123" s="27" t="n">
        <f aca="false">E123-E122</f>
        <v>0.610000000000014</v>
      </c>
      <c r="H123" s="28" t="n">
        <f aca="false">G123/E122</f>
        <v>0.00432624113475187</v>
      </c>
      <c r="I123" s="29" t="n">
        <f aca="false">MAX(G123,0)</f>
        <v>0.610000000000014</v>
      </c>
      <c r="J123" s="29" t="n">
        <f aca="false">MAX(-G123,0)</f>
        <v>0</v>
      </c>
      <c r="K123" s="29" t="n">
        <f aca="false">(K122*13+I123)/14</f>
        <v>0.871996171083044</v>
      </c>
      <c r="L123" s="29" t="n">
        <f aca="false">(L122*13+J123)/14</f>
        <v>0.632094573824557</v>
      </c>
      <c r="M123" s="31" t="n">
        <f aca="false">IF(L123=0,100,100-100/(1+K123/MAX(L123,0.000001)))</f>
        <v>57.974970860991</v>
      </c>
      <c r="N123" s="30" t="n">
        <f aca="false">AVERAGE(E104:E123)</f>
        <v>137.753</v>
      </c>
      <c r="O123" s="30" t="n">
        <f aca="false">AVERAGE(E74:E123)</f>
        <v>137.9828</v>
      </c>
      <c r="Q123" s="30" t="n">
        <f aca="false">Q122+(2/13)*(E123-Q122)</f>
        <v>139.934613956472</v>
      </c>
      <c r="R123" s="30" t="n">
        <f aca="false">R122+(2/27)*(E123-R122)</f>
        <v>138.537053731314</v>
      </c>
      <c r="S123" s="33" t="n">
        <f aca="false">Q123-R123</f>
        <v>1.39756022515854</v>
      </c>
      <c r="T123" s="33" t="n">
        <f aca="false">T122+(2/10)*(S123-T122)</f>
        <v>0.913426268733404</v>
      </c>
      <c r="U123" s="33" t="n">
        <f aca="false">S123-T123</f>
        <v>0.484133956425139</v>
      </c>
      <c r="V123" s="32" t="str">
        <f aca="false">IF(M123="","",IF(M123&lt;Assumptions!$B$5,"BUY",IF(M123&gt;Assumptions!$B$4,"SELL","HOLD")))</f>
        <v>HOLD</v>
      </c>
      <c r="W123" s="32" t="str">
        <f aca="false">IF(O123="","",IF(E123&gt;O123,"BUY","SELL"))</f>
        <v>BUY</v>
      </c>
      <c r="X123" s="32" t="str">
        <f aca="false">IF(T123="","",IF(S123&gt;T123,"BUY","SELL"))</f>
        <v>BUY</v>
      </c>
      <c r="Y123" s="34" t="n">
        <f aca="false">IF(OR(V123="",W123="",X123=""),"",IFERROR(IF(V123="BUY",1,IF(V123="SELL",-1,0))+IF(W123="BUY",1,IF(W123="SELL",-1,0))+IF(X123="BUY",1,IF(X123="SELL",-1,0)),0))</f>
        <v>2</v>
      </c>
      <c r="Z123" s="32" t="str">
        <f aca="false">IF(Y123="","",IF(Y123&gt;=2,"STRONG BUY",IF(Y123=1,"BUY",IF(Y123=0,"HOLD",IF(Y123=-1,"SELL","STRONG SELL")))))</f>
        <v>STRONG BUY</v>
      </c>
    </row>
    <row r="124" customFormat="false" ht="15" hidden="false" customHeight="false" outlineLevel="0" collapsed="false">
      <c r="A124" s="24" t="n">
        <v>45940</v>
      </c>
      <c r="B124" s="25" t="n">
        <v>142.31</v>
      </c>
      <c r="C124" s="25" t="n">
        <v>142.85</v>
      </c>
      <c r="D124" s="25" t="n">
        <v>142.01</v>
      </c>
      <c r="E124" s="25" t="n">
        <v>142.43</v>
      </c>
      <c r="F124" s="26" t="n">
        <v>15491868</v>
      </c>
      <c r="G124" s="27" t="n">
        <f aca="false">E124-E123</f>
        <v>0.819999999999993</v>
      </c>
      <c r="H124" s="28" t="n">
        <f aca="false">G124/E123</f>
        <v>0.00579055151472349</v>
      </c>
      <c r="I124" s="29" t="n">
        <f aca="false">MAX(G124,0)</f>
        <v>0.819999999999993</v>
      </c>
      <c r="J124" s="29" t="n">
        <f aca="false">MAX(-G124,0)</f>
        <v>0</v>
      </c>
      <c r="K124" s="29" t="n">
        <f aca="false">(K123*13+I124)/14</f>
        <v>0.868282158862826</v>
      </c>
      <c r="L124" s="29" t="n">
        <f aca="false">(L123*13+J124)/14</f>
        <v>0.586944961408517</v>
      </c>
      <c r="M124" s="31" t="n">
        <f aca="false">IF(L124=0,100,100-100/(1+K124/MAX(L124,0.000001)))</f>
        <v>59.6664360337736</v>
      </c>
      <c r="N124" s="30" t="n">
        <f aca="false">AVERAGE(E105:E124)</f>
        <v>138.124</v>
      </c>
      <c r="O124" s="30" t="n">
        <f aca="false">AVERAGE(E75:E124)</f>
        <v>137.9798</v>
      </c>
      <c r="Q124" s="30" t="n">
        <f aca="false">Q123+(2/13)*(E124-Q123)</f>
        <v>140.31851950163</v>
      </c>
      <c r="R124" s="30" t="n">
        <f aca="false">R123+(2/27)*(E124-R123)</f>
        <v>138.825420121587</v>
      </c>
      <c r="S124" s="33" t="n">
        <f aca="false">Q124-R124</f>
        <v>1.49309938004359</v>
      </c>
      <c r="T124" s="33" t="n">
        <f aca="false">T123+(2/10)*(S124-T123)</f>
        <v>1.02936089099544</v>
      </c>
      <c r="U124" s="33" t="n">
        <f aca="false">S124-T124</f>
        <v>0.463738489048148</v>
      </c>
      <c r="V124" s="32" t="str">
        <f aca="false">IF(M124="","",IF(M124&lt;Assumptions!$B$5,"BUY",IF(M124&gt;Assumptions!$B$4,"SELL","HOLD")))</f>
        <v>HOLD</v>
      </c>
      <c r="W124" s="32" t="str">
        <f aca="false">IF(O124="","",IF(E124&gt;O124,"BUY","SELL"))</f>
        <v>BUY</v>
      </c>
      <c r="X124" s="32" t="str">
        <f aca="false">IF(T124="","",IF(S124&gt;T124,"BUY","SELL"))</f>
        <v>BUY</v>
      </c>
      <c r="Y124" s="34" t="n">
        <f aca="false">IF(OR(V124="",W124="",X124=""),"",IFERROR(IF(V124="BUY",1,IF(V124="SELL",-1,0))+IF(W124="BUY",1,IF(W124="SELL",-1,0))+IF(X124="BUY",1,IF(X124="SELL",-1,0)),0))</f>
        <v>2</v>
      </c>
      <c r="Z124" s="32" t="str">
        <f aca="false">IF(Y124="","",IF(Y124&gt;=2,"STRONG BUY",IF(Y124=1,"BUY",IF(Y124=0,"HOLD",IF(Y124=-1,"SELL","STRONG SELL")))))</f>
        <v>STRONG BUY</v>
      </c>
    </row>
    <row r="125" customFormat="false" ht="15" hidden="false" customHeight="false" outlineLevel="0" collapsed="false">
      <c r="A125" s="24" t="n">
        <v>45943</v>
      </c>
      <c r="B125" s="25" t="n">
        <v>144</v>
      </c>
      <c r="C125" s="25" t="n">
        <v>145.44</v>
      </c>
      <c r="D125" s="25" t="n">
        <v>143.72</v>
      </c>
      <c r="E125" s="25" t="n">
        <v>144.58</v>
      </c>
      <c r="F125" s="26" t="n">
        <v>16764230</v>
      </c>
      <c r="G125" s="27" t="n">
        <f aca="false">E125-E124</f>
        <v>2.15000000000001</v>
      </c>
      <c r="H125" s="28" t="n">
        <f aca="false">G125/E124</f>
        <v>0.0150951344520116</v>
      </c>
      <c r="I125" s="29" t="n">
        <f aca="false">MAX(G125,0)</f>
        <v>2.15000000000001</v>
      </c>
      <c r="J125" s="29" t="n">
        <f aca="false">MAX(-G125,0)</f>
        <v>0</v>
      </c>
      <c r="K125" s="29" t="n">
        <f aca="false">(K124*13+I125)/14</f>
        <v>0.959833433229767</v>
      </c>
      <c r="L125" s="29" t="n">
        <f aca="false">(L124*13+J125)/14</f>
        <v>0.545020321307909</v>
      </c>
      <c r="M125" s="31" t="n">
        <f aca="false">IF(L125=0,100,100-100/(1+K125/MAX(L125,0.000001)))</f>
        <v>63.782505797359</v>
      </c>
      <c r="N125" s="30" t="n">
        <f aca="false">AVERAGE(E106:E125)</f>
        <v>138.514</v>
      </c>
      <c r="O125" s="30" t="n">
        <f aca="false">AVERAGE(E76:E125)</f>
        <v>137.971</v>
      </c>
      <c r="Q125" s="30" t="n">
        <f aca="false">Q124+(2/13)*(E125-Q124)</f>
        <v>140.974131885995</v>
      </c>
      <c r="R125" s="30" t="n">
        <f aca="false">R124+(2/27)*(E125-R124)</f>
        <v>139.251685297765</v>
      </c>
      <c r="S125" s="33" t="n">
        <f aca="false">Q125-R125</f>
        <v>1.72244658822939</v>
      </c>
      <c r="T125" s="33" t="n">
        <f aca="false">T124+(2/10)*(S125-T124)</f>
        <v>1.16797803044223</v>
      </c>
      <c r="U125" s="33" t="n">
        <f aca="false">S125-T125</f>
        <v>0.554468557787158</v>
      </c>
      <c r="V125" s="32" t="str">
        <f aca="false">IF(M125="","",IF(M125&lt;Assumptions!$B$5,"BUY",IF(M125&gt;Assumptions!$B$4,"SELL","HOLD")))</f>
        <v>HOLD</v>
      </c>
      <c r="W125" s="32" t="str">
        <f aca="false">IF(O125="","",IF(E125&gt;O125,"BUY","SELL"))</f>
        <v>BUY</v>
      </c>
      <c r="X125" s="32" t="str">
        <f aca="false">IF(T125="","",IF(S125&gt;T125,"BUY","SELL"))</f>
        <v>BUY</v>
      </c>
      <c r="Y125" s="34" t="n">
        <f aca="false">IF(OR(V125="",W125="",X125=""),"",IFERROR(IF(V125="BUY",1,IF(V125="SELL",-1,0))+IF(W125="BUY",1,IF(W125="SELL",-1,0))+IF(X125="BUY",1,IF(X125="SELL",-1,0)),0))</f>
        <v>2</v>
      </c>
      <c r="Z125" s="32" t="str">
        <f aca="false">IF(Y125="","",IF(Y125&gt;=2,"STRONG BUY",IF(Y125=1,"BUY",IF(Y125=0,"HOLD",IF(Y125=-1,"SELL","STRONG SELL")))))</f>
        <v>STRONG BUY</v>
      </c>
    </row>
    <row r="126" customFormat="false" ht="15" hidden="false" customHeight="false" outlineLevel="0" collapsed="false">
      <c r="A126" s="24" t="n">
        <v>45944</v>
      </c>
      <c r="B126" s="25" t="n">
        <v>145.02</v>
      </c>
      <c r="C126" s="25" t="n">
        <v>145.36</v>
      </c>
      <c r="D126" s="25" t="n">
        <v>145.02</v>
      </c>
      <c r="E126" s="25" t="n">
        <v>145.19</v>
      </c>
      <c r="F126" s="26" t="n">
        <v>12098340</v>
      </c>
      <c r="G126" s="27" t="n">
        <f aca="false">E126-E125</f>
        <v>0.609999999999985</v>
      </c>
      <c r="H126" s="28" t="n">
        <f aca="false">G126/E125</f>
        <v>0.00421911744362972</v>
      </c>
      <c r="I126" s="29" t="n">
        <f aca="false">MAX(G126,0)</f>
        <v>0.609999999999985</v>
      </c>
      <c r="J126" s="29" t="n">
        <f aca="false">MAX(-G126,0)</f>
        <v>0</v>
      </c>
      <c r="K126" s="29" t="n">
        <f aca="false">(K125*13+I126)/14</f>
        <v>0.934845330856212</v>
      </c>
      <c r="L126" s="29" t="n">
        <f aca="false">(L125*13+J126)/14</f>
        <v>0.506090298357344</v>
      </c>
      <c r="M126" s="31" t="n">
        <f aca="false">IF(L126=0,100,100-100/(1+K126/MAX(L126,0.000001)))</f>
        <v>64.8776608686148</v>
      </c>
      <c r="N126" s="30" t="n">
        <f aca="false">AVERAGE(E107:E126)</f>
        <v>138.995</v>
      </c>
      <c r="O126" s="30" t="n">
        <f aca="false">AVERAGE(E77:E126)</f>
        <v>138.0286</v>
      </c>
      <c r="Q126" s="30" t="n">
        <f aca="false">Q125+(2/13)*(E126-Q125)</f>
        <v>141.622726980457</v>
      </c>
      <c r="R126" s="30" t="n">
        <f aca="false">R125+(2/27)*(E126-R125)</f>
        <v>139.691560460894</v>
      </c>
      <c r="S126" s="33" t="n">
        <f aca="false">Q126-R126</f>
        <v>1.93116651956325</v>
      </c>
      <c r="T126" s="33" t="n">
        <f aca="false">T125+(2/10)*(S126-T125)</f>
        <v>1.32061572826643</v>
      </c>
      <c r="U126" s="33" t="n">
        <f aca="false">S126-T126</f>
        <v>0.610550791296814</v>
      </c>
      <c r="V126" s="32" t="str">
        <f aca="false">IF(M126="","",IF(M126&lt;Assumptions!$B$5,"BUY",IF(M126&gt;Assumptions!$B$4,"SELL","HOLD")))</f>
        <v>HOLD</v>
      </c>
      <c r="W126" s="32" t="str">
        <f aca="false">IF(O126="","",IF(E126&gt;O126,"BUY","SELL"))</f>
        <v>BUY</v>
      </c>
      <c r="X126" s="32" t="str">
        <f aca="false">IF(T126="","",IF(S126&gt;T126,"BUY","SELL"))</f>
        <v>BUY</v>
      </c>
      <c r="Y126" s="34" t="n">
        <f aca="false">IF(OR(V126="",W126="",X126=""),"",IFERROR(IF(V126="BUY",1,IF(V126="SELL",-1,0))+IF(W126="BUY",1,IF(W126="SELL",-1,0))+IF(X126="BUY",1,IF(X126="SELL",-1,0)),0))</f>
        <v>2</v>
      </c>
      <c r="Z126" s="32" t="str">
        <f aca="false">IF(Y126="","",IF(Y126&gt;=2,"STRONG BUY",IF(Y126=1,"BUY",IF(Y126=0,"HOLD",IF(Y126=-1,"SELL","STRONG SELL")))))</f>
        <v>STRONG BUY</v>
      </c>
    </row>
    <row r="127" customFormat="false" ht="15" hidden="false" customHeight="false" outlineLevel="0" collapsed="false">
      <c r="A127" s="24" t="n">
        <v>45945</v>
      </c>
      <c r="B127" s="25" t="n">
        <v>144.01</v>
      </c>
      <c r="C127" s="25" t="n">
        <v>144.01</v>
      </c>
      <c r="D127" s="25" t="n">
        <v>143.69</v>
      </c>
      <c r="E127" s="25" t="n">
        <v>143.85</v>
      </c>
      <c r="F127" s="26" t="n">
        <v>13348427</v>
      </c>
      <c r="G127" s="27" t="n">
        <f aca="false">E127-E126</f>
        <v>-1.34</v>
      </c>
      <c r="H127" s="28" t="n">
        <f aca="false">G127/E126</f>
        <v>-0.00922928576348236</v>
      </c>
      <c r="I127" s="29" t="n">
        <f aca="false">MAX(G127,0)</f>
        <v>0</v>
      </c>
      <c r="J127" s="29" t="n">
        <f aca="false">MAX(-G127,0)</f>
        <v>1.34</v>
      </c>
      <c r="K127" s="29" t="n">
        <f aca="false">(K126*13+I127)/14</f>
        <v>0.868070664366482</v>
      </c>
      <c r="L127" s="29" t="n">
        <f aca="false">(L126*13+J127)/14</f>
        <v>0.565655277046105</v>
      </c>
      <c r="M127" s="31" t="n">
        <f aca="false">IF(L127=0,100,100-100/(1+K127/MAX(L127,0.000001)))</f>
        <v>60.5464851609792</v>
      </c>
      <c r="N127" s="30" t="n">
        <f aca="false">AVERAGE(E108:E127)</f>
        <v>139.513</v>
      </c>
      <c r="O127" s="30" t="n">
        <f aca="false">AVERAGE(E78:E127)</f>
        <v>138.0588</v>
      </c>
      <c r="Q127" s="30" t="n">
        <f aca="false">Q126+(2/13)*(E127-Q126)</f>
        <v>141.965384368079</v>
      </c>
      <c r="R127" s="30" t="n">
        <f aca="false">R126+(2/27)*(E127-R126)</f>
        <v>139.999593019346</v>
      </c>
      <c r="S127" s="33" t="n">
        <f aca="false">Q127-R127</f>
        <v>1.96579134873289</v>
      </c>
      <c r="T127" s="33" t="n">
        <f aca="false">T126+(2/10)*(S127-T126)</f>
        <v>1.44965085235973</v>
      </c>
      <c r="U127" s="33" t="n">
        <f aca="false">S127-T127</f>
        <v>0.516140496373167</v>
      </c>
      <c r="V127" s="32" t="str">
        <f aca="false">IF(M127="","",IF(M127&lt;Assumptions!$B$5,"BUY",IF(M127&gt;Assumptions!$B$4,"SELL","HOLD")))</f>
        <v>HOLD</v>
      </c>
      <c r="W127" s="32" t="str">
        <f aca="false">IF(O127="","",IF(E127&gt;O127,"BUY","SELL"))</f>
        <v>BUY</v>
      </c>
      <c r="X127" s="32" t="str">
        <f aca="false">IF(T127="","",IF(S127&gt;T127,"BUY","SELL"))</f>
        <v>BUY</v>
      </c>
      <c r="Y127" s="34" t="n">
        <f aca="false">IF(OR(V127="",W127="",X127=""),"",IFERROR(IF(V127="BUY",1,IF(V127="SELL",-1,0))+IF(W127="BUY",1,IF(W127="SELL",-1,0))+IF(X127="BUY",1,IF(X127="SELL",-1,0)),0))</f>
        <v>2</v>
      </c>
      <c r="Z127" s="32" t="str">
        <f aca="false">IF(Y127="","",IF(Y127&gt;=2,"STRONG BUY",IF(Y127=1,"BUY",IF(Y127=0,"HOLD",IF(Y127=-1,"SELL","STRONG SELL")))))</f>
        <v>STRONG BUY</v>
      </c>
    </row>
    <row r="128" customFormat="false" ht="15" hidden="false" customHeight="false" outlineLevel="0" collapsed="false">
      <c r="A128" s="24" t="n">
        <v>45946</v>
      </c>
      <c r="B128" s="25" t="n">
        <v>142.48</v>
      </c>
      <c r="C128" s="25" t="n">
        <v>142.72</v>
      </c>
      <c r="D128" s="25" t="n">
        <v>142.14</v>
      </c>
      <c r="E128" s="25" t="n">
        <v>142.43</v>
      </c>
      <c r="F128" s="26" t="n">
        <v>13219968</v>
      </c>
      <c r="G128" s="27" t="n">
        <f aca="false">E128-E127</f>
        <v>-1.41999999999999</v>
      </c>
      <c r="H128" s="28" t="n">
        <f aca="false">G128/E127</f>
        <v>-0.00987139381299957</v>
      </c>
      <c r="I128" s="29" t="n">
        <f aca="false">MAX(G128,0)</f>
        <v>0</v>
      </c>
      <c r="J128" s="29" t="n">
        <f aca="false">MAX(-G128,0)</f>
        <v>1.41999999999999</v>
      </c>
      <c r="K128" s="29" t="n">
        <f aca="false">(K127*13+I128)/14</f>
        <v>0.806065616911733</v>
      </c>
      <c r="L128" s="29" t="n">
        <f aca="false">(L127*13+J128)/14</f>
        <v>0.62667990011424</v>
      </c>
      <c r="M128" s="31" t="n">
        <f aca="false">IF(L128=0,100,100-100/(1+K128/MAX(L128,0.000001)))</f>
        <v>56.2602086227376</v>
      </c>
      <c r="N128" s="30" t="n">
        <f aca="false">AVERAGE(E109:E128)</f>
        <v>140.0585</v>
      </c>
      <c r="O128" s="30" t="n">
        <f aca="false">AVERAGE(E79:E128)</f>
        <v>138.0716</v>
      </c>
      <c r="Q128" s="30" t="n">
        <f aca="false">Q127+(2/13)*(E128-Q127)</f>
        <v>142.036863696067</v>
      </c>
      <c r="R128" s="30" t="n">
        <f aca="false">R127+(2/27)*(E128-R127)</f>
        <v>140.179623166061</v>
      </c>
      <c r="S128" s="33" t="n">
        <f aca="false">Q128-R128</f>
        <v>1.85724053000561</v>
      </c>
      <c r="T128" s="33" t="n">
        <f aca="false">T127+(2/10)*(S128-T127)</f>
        <v>1.5311687878889</v>
      </c>
      <c r="U128" s="33" t="n">
        <f aca="false">S128-T128</f>
        <v>0.326071742116709</v>
      </c>
      <c r="V128" s="32" t="str">
        <f aca="false">IF(M128="","",IF(M128&lt;Assumptions!$B$5,"BUY",IF(M128&gt;Assumptions!$B$4,"SELL","HOLD")))</f>
        <v>HOLD</v>
      </c>
      <c r="W128" s="32" t="str">
        <f aca="false">IF(O128="","",IF(E128&gt;O128,"BUY","SELL"))</f>
        <v>BUY</v>
      </c>
      <c r="X128" s="32" t="str">
        <f aca="false">IF(T128="","",IF(S128&gt;T128,"BUY","SELL"))</f>
        <v>BUY</v>
      </c>
      <c r="Y128" s="34" t="n">
        <f aca="false">IF(OR(V128="",W128="",X128=""),"",IFERROR(IF(V128="BUY",1,IF(V128="SELL",-1,0))+IF(W128="BUY",1,IF(W128="SELL",-1,0))+IF(X128="BUY",1,IF(X128="SELL",-1,0)),0))</f>
        <v>2</v>
      </c>
      <c r="Z128" s="32" t="str">
        <f aca="false">IF(Y128="","",IF(Y128&gt;=2,"STRONG BUY",IF(Y128=1,"BUY",IF(Y128=0,"HOLD",IF(Y128=-1,"SELL","STRONG SELL")))))</f>
        <v>STRONG BUY</v>
      </c>
    </row>
    <row r="129" customFormat="false" ht="15" hidden="false" customHeight="false" outlineLevel="0" collapsed="false">
      <c r="A129" s="24" t="n">
        <v>45947</v>
      </c>
      <c r="B129" s="25" t="n">
        <v>143.06</v>
      </c>
      <c r="C129" s="25" t="n">
        <v>144.52</v>
      </c>
      <c r="D129" s="25" t="n">
        <v>142.54</v>
      </c>
      <c r="E129" s="25" t="n">
        <v>143.53</v>
      </c>
      <c r="F129" s="26" t="n">
        <v>8420296</v>
      </c>
      <c r="G129" s="27" t="n">
        <f aca="false">E129-E128</f>
        <v>1.09999999999999</v>
      </c>
      <c r="H129" s="28" t="n">
        <f aca="false">G129/E128</f>
        <v>0.00772309204521515</v>
      </c>
      <c r="I129" s="29" t="n">
        <f aca="false">MAX(G129,0)</f>
        <v>1.09999999999999</v>
      </c>
      <c r="J129" s="29" t="n">
        <f aca="false">MAX(-G129,0)</f>
        <v>0</v>
      </c>
      <c r="K129" s="29" t="n">
        <f aca="false">(K128*13+I129)/14</f>
        <v>0.827060929989466</v>
      </c>
      <c r="L129" s="29" t="n">
        <f aca="false">(L128*13+J129)/14</f>
        <v>0.58191705010608</v>
      </c>
      <c r="M129" s="31" t="n">
        <f aca="false">IF(L129=0,100,100-100/(1+K129/MAX(L129,0.000001)))</f>
        <v>58.6993509957751</v>
      </c>
      <c r="N129" s="30" t="n">
        <f aca="false">AVERAGE(E110:E129)</f>
        <v>140.648</v>
      </c>
      <c r="O129" s="30" t="n">
        <f aca="false">AVERAGE(E80:E129)</f>
        <v>138.132</v>
      </c>
      <c r="Q129" s="30" t="n">
        <f aca="false">Q128+(2/13)*(E129-Q128)</f>
        <v>142.266576973595</v>
      </c>
      <c r="R129" s="30" t="n">
        <f aca="false">R128+(2/27)*(E129-R128)</f>
        <v>140.427799227835</v>
      </c>
      <c r="S129" s="33" t="n">
        <f aca="false">Q129-R129</f>
        <v>1.83877774576055</v>
      </c>
      <c r="T129" s="33" t="n">
        <f aca="false">T128+(2/10)*(S129-T128)</f>
        <v>1.59269057946323</v>
      </c>
      <c r="U129" s="33" t="n">
        <f aca="false">S129-T129</f>
        <v>0.246087166297319</v>
      </c>
      <c r="V129" s="32" t="str">
        <f aca="false">IF(M129="","",IF(M129&lt;Assumptions!$B$5,"BUY",IF(M129&gt;Assumptions!$B$4,"SELL","HOLD")))</f>
        <v>HOLD</v>
      </c>
      <c r="W129" s="32" t="str">
        <f aca="false">IF(O129="","",IF(E129&gt;O129,"BUY","SELL"))</f>
        <v>BUY</v>
      </c>
      <c r="X129" s="32" t="str">
        <f aca="false">IF(T129="","",IF(S129&gt;T129,"BUY","SELL"))</f>
        <v>BUY</v>
      </c>
      <c r="Y129" s="34" t="n">
        <f aca="false">IF(OR(V129="",W129="",X129=""),"",IFERROR(IF(V129="BUY",1,IF(V129="SELL",-1,0))+IF(W129="BUY",1,IF(W129="SELL",-1,0))+IF(X129="BUY",1,IF(X129="SELL",-1,0)),0))</f>
        <v>2</v>
      </c>
      <c r="Z129" s="32" t="str">
        <f aca="false">IF(Y129="","",IF(Y129&gt;=2,"STRONG BUY",IF(Y129=1,"BUY",IF(Y129=0,"HOLD",IF(Y129=-1,"SELL","STRONG SELL")))))</f>
        <v>STRONG BUY</v>
      </c>
    </row>
    <row r="130" customFormat="false" ht="15" hidden="false" customHeight="false" outlineLevel="0" collapsed="false">
      <c r="A130" s="24" t="n">
        <v>45950</v>
      </c>
      <c r="B130" s="25" t="n">
        <v>142.01</v>
      </c>
      <c r="C130" s="25" t="n">
        <v>142.7</v>
      </c>
      <c r="D130" s="25" t="n">
        <v>140.42</v>
      </c>
      <c r="E130" s="25" t="n">
        <v>141.56</v>
      </c>
      <c r="F130" s="26" t="n">
        <v>16525852</v>
      </c>
      <c r="G130" s="27" t="n">
        <f aca="false">E130-E129</f>
        <v>-1.97</v>
      </c>
      <c r="H130" s="28" t="n">
        <f aca="false">G130/E129</f>
        <v>-0.0137253535846164</v>
      </c>
      <c r="I130" s="29" t="n">
        <f aca="false">MAX(G130,0)</f>
        <v>0</v>
      </c>
      <c r="J130" s="29" t="n">
        <f aca="false">MAX(-G130,0)</f>
        <v>1.97</v>
      </c>
      <c r="K130" s="29" t="n">
        <f aca="false">(K129*13+I130)/14</f>
        <v>0.767985149275933</v>
      </c>
      <c r="L130" s="29" t="n">
        <f aca="false">(L129*13+J130)/14</f>
        <v>0.68106583224136</v>
      </c>
      <c r="M130" s="31" t="n">
        <f aca="false">IF(L130=0,100,100-100/(1+K130/MAX(L130,0.000001)))</f>
        <v>52.999180779118</v>
      </c>
      <c r="N130" s="30" t="n">
        <f aca="false">AVERAGE(E111:E130)</f>
        <v>141.029</v>
      </c>
      <c r="O130" s="30" t="n">
        <f aca="false">AVERAGE(E81:E130)</f>
        <v>138.111</v>
      </c>
      <c r="Q130" s="30" t="n">
        <f aca="false">Q129+(2/13)*(E130-Q129)</f>
        <v>142.157872823811</v>
      </c>
      <c r="R130" s="30" t="n">
        <f aca="false">R129+(2/27)*(E130-R129)</f>
        <v>140.511665951699</v>
      </c>
      <c r="S130" s="33" t="n">
        <f aca="false">Q130-R130</f>
        <v>1.64620687211257</v>
      </c>
      <c r="T130" s="33" t="n">
        <f aca="false">T129+(2/10)*(S130-T129)</f>
        <v>1.6033938379931</v>
      </c>
      <c r="U130" s="33" t="n">
        <f aca="false">S130-T130</f>
        <v>0.042813034119471</v>
      </c>
      <c r="V130" s="32" t="str">
        <f aca="false">IF(M130="","",IF(M130&lt;Assumptions!$B$5,"BUY",IF(M130&gt;Assumptions!$B$4,"SELL","HOLD")))</f>
        <v>HOLD</v>
      </c>
      <c r="W130" s="32" t="str">
        <f aca="false">IF(O130="","",IF(E130&gt;O130,"BUY","SELL"))</f>
        <v>BUY</v>
      </c>
      <c r="X130" s="32" t="str">
        <f aca="false">IF(T130="","",IF(S130&gt;T130,"BUY","SELL"))</f>
        <v>BUY</v>
      </c>
      <c r="Y130" s="34" t="n">
        <f aca="false">IF(OR(V130="",W130="",X130=""),"",IFERROR(IF(V130="BUY",1,IF(V130="SELL",-1,0))+IF(W130="BUY",1,IF(W130="SELL",-1,0))+IF(X130="BUY",1,IF(X130="SELL",-1,0)),0))</f>
        <v>2</v>
      </c>
      <c r="Z130" s="32" t="str">
        <f aca="false">IF(Y130="","",IF(Y130&gt;=2,"STRONG BUY",IF(Y130=1,"BUY",IF(Y130=0,"HOLD",IF(Y130=-1,"SELL","STRONG SELL")))))</f>
        <v>STRONG BUY</v>
      </c>
    </row>
    <row r="131" customFormat="false" ht="15" hidden="false" customHeight="false" outlineLevel="0" collapsed="false">
      <c r="A131" s="24" t="n">
        <v>45951</v>
      </c>
      <c r="B131" s="25" t="n">
        <v>142.56</v>
      </c>
      <c r="C131" s="25" t="n">
        <v>143.43</v>
      </c>
      <c r="D131" s="25" t="n">
        <v>142.37</v>
      </c>
      <c r="E131" s="25" t="n">
        <v>142.9</v>
      </c>
      <c r="F131" s="26" t="n">
        <v>9744061</v>
      </c>
      <c r="G131" s="27" t="n">
        <f aca="false">E131-E130</f>
        <v>1.34</v>
      </c>
      <c r="H131" s="28" t="n">
        <f aca="false">G131/E130</f>
        <v>0.00946595083356883</v>
      </c>
      <c r="I131" s="29" t="n">
        <f aca="false">MAX(G131,0)</f>
        <v>1.34</v>
      </c>
      <c r="J131" s="29" t="n">
        <f aca="false">MAX(-G131,0)</f>
        <v>0</v>
      </c>
      <c r="K131" s="29" t="n">
        <f aca="false">(K130*13+I131)/14</f>
        <v>0.808843352899081</v>
      </c>
      <c r="L131" s="29" t="n">
        <f aca="false">(L130*13+J131)/14</f>
        <v>0.632418272795548</v>
      </c>
      <c r="M131" s="31" t="n">
        <f aca="false">IF(L131=0,100,100-100/(1+K131/MAX(L131,0.000001)))</f>
        <v>56.12050848223</v>
      </c>
      <c r="N131" s="30" t="n">
        <f aca="false">AVERAGE(E112:E131)</f>
        <v>141.4715</v>
      </c>
      <c r="O131" s="30" t="n">
        <f aca="false">AVERAGE(E82:E131)</f>
        <v>138.2022</v>
      </c>
      <c r="Q131" s="30" t="n">
        <f aca="false">Q130+(2/13)*(E131-Q130)</f>
        <v>142.272046235533</v>
      </c>
      <c r="R131" s="30" t="n">
        <f aca="false">R130+(2/27)*(E131-R130)</f>
        <v>140.688579584906</v>
      </c>
      <c r="S131" s="33" t="n">
        <f aca="false">Q131-R131</f>
        <v>1.58346665062641</v>
      </c>
      <c r="T131" s="33" t="n">
        <f aca="false">T130+(2/10)*(S131-T130)</f>
        <v>1.59940840051976</v>
      </c>
      <c r="U131" s="33" t="n">
        <f aca="false">S131-T131</f>
        <v>-0.0159417498933561</v>
      </c>
      <c r="V131" s="32" t="str">
        <f aca="false">IF(M131="","",IF(M131&lt;Assumptions!$B$5,"BUY",IF(M131&gt;Assumptions!$B$4,"SELL","HOLD")))</f>
        <v>HOLD</v>
      </c>
      <c r="W131" s="32" t="str">
        <f aca="false">IF(O131="","",IF(E131&gt;O131,"BUY","SELL"))</f>
        <v>BUY</v>
      </c>
      <c r="X131" s="32" t="str">
        <f aca="false">IF(T131="","",IF(S131&gt;T131,"BUY","SELL"))</f>
        <v>SELL</v>
      </c>
      <c r="Y131" s="34" t="n">
        <f aca="false">IF(OR(V131="",W131="",X131=""),"",IFERROR(IF(V131="BUY",1,IF(V131="SELL",-1,0))+IF(W131="BUY",1,IF(W131="SELL",-1,0))+IF(X131="BUY",1,IF(X131="SELL",-1,0)),0))</f>
        <v>0</v>
      </c>
      <c r="Z131" s="32" t="str">
        <f aca="false">IF(Y131="","",IF(Y131&gt;=2,"STRONG BUY",IF(Y131=1,"BUY",IF(Y131=0,"HOLD",IF(Y131=-1,"SELL","STRONG SELL")))))</f>
        <v>HOLD</v>
      </c>
    </row>
    <row r="132" customFormat="false" ht="15" hidden="false" customHeight="false" outlineLevel="0" collapsed="false">
      <c r="A132" s="24" t="n">
        <v>45952</v>
      </c>
      <c r="B132" s="25" t="n">
        <v>144.63</v>
      </c>
      <c r="C132" s="25" t="n">
        <v>144.63</v>
      </c>
      <c r="D132" s="25" t="n">
        <v>143.87</v>
      </c>
      <c r="E132" s="25" t="n">
        <v>144.25</v>
      </c>
      <c r="F132" s="26" t="n">
        <v>14211836</v>
      </c>
      <c r="G132" s="27" t="n">
        <f aca="false">E132-E131</f>
        <v>1.34999999999999</v>
      </c>
      <c r="H132" s="28" t="n">
        <f aca="false">G132/E131</f>
        <v>0.00944716585024489</v>
      </c>
      <c r="I132" s="29" t="n">
        <f aca="false">MAX(G132,0)</f>
        <v>1.34999999999999</v>
      </c>
      <c r="J132" s="29" t="n">
        <f aca="false">MAX(-G132,0)</f>
        <v>0</v>
      </c>
      <c r="K132" s="29" t="n">
        <f aca="false">(K131*13+I132)/14</f>
        <v>0.847497399120575</v>
      </c>
      <c r="L132" s="29" t="n">
        <f aca="false">(L131*13+J132)/14</f>
        <v>0.587245539024438</v>
      </c>
      <c r="M132" s="31" t="n">
        <f aca="false">IF(L132=0,100,100-100/(1+K132/MAX(L132,0.000001)))</f>
        <v>59.0696337712113</v>
      </c>
      <c r="N132" s="30" t="n">
        <f aca="false">AVERAGE(E113:E132)</f>
        <v>141.8735</v>
      </c>
      <c r="O132" s="30" t="n">
        <f aca="false">AVERAGE(E83:E132)</f>
        <v>138.3462</v>
      </c>
      <c r="Q132" s="30" t="n">
        <f aca="false">Q131+(2/13)*(E132-Q131)</f>
        <v>142.576346814681</v>
      </c>
      <c r="R132" s="30" t="n">
        <f aca="false">R131+(2/27)*(E132-R131)</f>
        <v>140.952388504543</v>
      </c>
      <c r="S132" s="33" t="n">
        <f aca="false">Q132-R132</f>
        <v>1.62395831013868</v>
      </c>
      <c r="T132" s="33" t="n">
        <f aca="false">T131+(2/10)*(S132-T131)</f>
        <v>1.60431838244354</v>
      </c>
      <c r="U132" s="33" t="n">
        <f aca="false">S132-T132</f>
        <v>0.0196399276951311</v>
      </c>
      <c r="V132" s="32" t="str">
        <f aca="false">IF(M132="","",IF(M132&lt;Assumptions!$B$5,"BUY",IF(M132&gt;Assumptions!$B$4,"SELL","HOLD")))</f>
        <v>HOLD</v>
      </c>
      <c r="W132" s="32" t="str">
        <f aca="false">IF(O132="","",IF(E132&gt;O132,"BUY","SELL"))</f>
        <v>BUY</v>
      </c>
      <c r="X132" s="32" t="str">
        <f aca="false">IF(T132="","",IF(S132&gt;T132,"BUY","SELL"))</f>
        <v>BUY</v>
      </c>
      <c r="Y132" s="34" t="n">
        <f aca="false">IF(OR(V132="",W132="",X132=""),"",IFERROR(IF(V132="BUY",1,IF(V132="SELL",-1,0))+IF(W132="BUY",1,IF(W132="SELL",-1,0))+IF(X132="BUY",1,IF(X132="SELL",-1,0)),0))</f>
        <v>2</v>
      </c>
      <c r="Z132" s="32" t="str">
        <f aca="false">IF(Y132="","",IF(Y132&gt;=2,"STRONG BUY",IF(Y132=1,"BUY",IF(Y132=0,"HOLD",IF(Y132=-1,"SELL","STRONG SELL")))))</f>
        <v>STRONG BUY</v>
      </c>
    </row>
    <row r="133" customFormat="false" ht="15" hidden="false" customHeight="false" outlineLevel="0" collapsed="false">
      <c r="A133" s="24" t="n">
        <v>45953</v>
      </c>
      <c r="B133" s="25" t="n">
        <v>143.62</v>
      </c>
      <c r="C133" s="25" t="n">
        <v>145.68</v>
      </c>
      <c r="D133" s="25" t="n">
        <v>142.68</v>
      </c>
      <c r="E133" s="25" t="n">
        <v>144.18</v>
      </c>
      <c r="F133" s="26" t="n">
        <v>11052328</v>
      </c>
      <c r="G133" s="27" t="n">
        <f aca="false">E133-E132</f>
        <v>-0.0699999999999932</v>
      </c>
      <c r="H133" s="28" t="n">
        <f aca="false">G133/E132</f>
        <v>-0.000485268630849173</v>
      </c>
      <c r="I133" s="29" t="n">
        <f aca="false">MAX(G133,0)</f>
        <v>0</v>
      </c>
      <c r="J133" s="29" t="n">
        <f aca="false">MAX(-G133,0)</f>
        <v>0.0699999999999932</v>
      </c>
      <c r="K133" s="29" t="n">
        <f aca="false">(K132*13+I133)/14</f>
        <v>0.786961870611962</v>
      </c>
      <c r="L133" s="29" t="n">
        <f aca="false">(L132*13+J133)/14</f>
        <v>0.55029942909412</v>
      </c>
      <c r="M133" s="31" t="n">
        <f aca="false">IF(L133=0,100,100-100/(1+K133/MAX(L133,0.000001)))</f>
        <v>58.848773293965</v>
      </c>
      <c r="N133" s="30" t="n">
        <f aca="false">AVERAGE(E114:E133)</f>
        <v>142.263</v>
      </c>
      <c r="O133" s="30" t="n">
        <f aca="false">AVERAGE(E84:E133)</f>
        <v>138.5206</v>
      </c>
      <c r="Q133" s="30" t="n">
        <f aca="false">Q132+(2/13)*(E133-Q132)</f>
        <v>142.823062689346</v>
      </c>
      <c r="R133" s="30" t="n">
        <f aca="false">R132+(2/27)*(E133-R132)</f>
        <v>141.19147083754</v>
      </c>
      <c r="S133" s="33" t="n">
        <f aca="false">Q133-R133</f>
        <v>1.63159185180623</v>
      </c>
      <c r="T133" s="33" t="n">
        <f aca="false">T132+(2/10)*(S133-T132)</f>
        <v>1.60977307631608</v>
      </c>
      <c r="U133" s="33" t="n">
        <f aca="false">S133-T133</f>
        <v>0.0218187754901522</v>
      </c>
      <c r="V133" s="32" t="str">
        <f aca="false">IF(M133="","",IF(M133&lt;Assumptions!$B$5,"BUY",IF(M133&gt;Assumptions!$B$4,"SELL","HOLD")))</f>
        <v>HOLD</v>
      </c>
      <c r="W133" s="32" t="str">
        <f aca="false">IF(O133="","",IF(E133&gt;O133,"BUY","SELL"))</f>
        <v>BUY</v>
      </c>
      <c r="X133" s="32" t="str">
        <f aca="false">IF(T133="","",IF(S133&gt;T133,"BUY","SELL"))</f>
        <v>BUY</v>
      </c>
      <c r="Y133" s="34" t="n">
        <f aca="false">IF(OR(V133="",W133="",X133=""),"",IFERROR(IF(V133="BUY",1,IF(V133="SELL",-1,0))+IF(W133="BUY",1,IF(W133="SELL",-1,0))+IF(X133="BUY",1,IF(X133="SELL",-1,0)),0))</f>
        <v>2</v>
      </c>
      <c r="Z133" s="32" t="str">
        <f aca="false">IF(Y133="","",IF(Y133&gt;=2,"STRONG BUY",IF(Y133=1,"BUY",IF(Y133=0,"HOLD",IF(Y133=-1,"SELL","STRONG SELL")))))</f>
        <v>STRONG BUY</v>
      </c>
    </row>
    <row r="134" customFormat="false" ht="15" hidden="false" customHeight="false" outlineLevel="0" collapsed="false">
      <c r="A134" s="24" t="n">
        <v>45954</v>
      </c>
      <c r="B134" s="25" t="n">
        <v>141.93</v>
      </c>
      <c r="C134" s="25" t="n">
        <v>143.82</v>
      </c>
      <c r="D134" s="25" t="n">
        <v>141.66</v>
      </c>
      <c r="E134" s="25" t="n">
        <v>142.74</v>
      </c>
      <c r="F134" s="26" t="n">
        <v>11347908</v>
      </c>
      <c r="G134" s="27" t="n">
        <f aca="false">E134-E133</f>
        <v>-1.44</v>
      </c>
      <c r="H134" s="28" t="n">
        <f aca="false">G134/E133</f>
        <v>-0.00998751560549312</v>
      </c>
      <c r="I134" s="29" t="n">
        <f aca="false">MAX(G134,0)</f>
        <v>0</v>
      </c>
      <c r="J134" s="29" t="n">
        <f aca="false">MAX(-G134,0)</f>
        <v>1.44</v>
      </c>
      <c r="K134" s="29" t="n">
        <f aca="false">(K133*13+I134)/14</f>
        <v>0.730750308425394</v>
      </c>
      <c r="L134" s="29" t="n">
        <f aca="false">(L133*13+J134)/14</f>
        <v>0.613849469873111</v>
      </c>
      <c r="M134" s="31" t="n">
        <f aca="false">IF(L134=0,100,100-100/(1+K134/MAX(L134,0.000001)))</f>
        <v>54.3470495994061</v>
      </c>
      <c r="N134" s="30" t="n">
        <f aca="false">AVERAGE(E115:E134)</f>
        <v>142.6175</v>
      </c>
      <c r="O134" s="30" t="n">
        <f aca="false">AVERAGE(E85:E134)</f>
        <v>138.635</v>
      </c>
      <c r="Q134" s="30" t="n">
        <f aca="false">Q133+(2/13)*(E134-Q133)</f>
        <v>142.810283814062</v>
      </c>
      <c r="R134" s="30" t="n">
        <f aca="false">R133+(2/27)*(E134-R133)</f>
        <v>141.306176701426</v>
      </c>
      <c r="S134" s="33" t="n">
        <f aca="false">Q134-R134</f>
        <v>1.50410711263632</v>
      </c>
      <c r="T134" s="33" t="n">
        <f aca="false">T133+(2/10)*(S134-T133)</f>
        <v>1.58863988358013</v>
      </c>
      <c r="U134" s="33" t="n">
        <f aca="false">S134-T134</f>
        <v>-0.0845327709438106</v>
      </c>
      <c r="V134" s="32" t="str">
        <f aca="false">IF(M134="","",IF(M134&lt;Assumptions!$B$5,"BUY",IF(M134&gt;Assumptions!$B$4,"SELL","HOLD")))</f>
        <v>HOLD</v>
      </c>
      <c r="W134" s="32" t="str">
        <f aca="false">IF(O134="","",IF(E134&gt;O134,"BUY","SELL"))</f>
        <v>BUY</v>
      </c>
      <c r="X134" s="32" t="str">
        <f aca="false">IF(T134="","",IF(S134&gt;T134,"BUY","SELL"))</f>
        <v>SELL</v>
      </c>
      <c r="Y134" s="34" t="n">
        <f aca="false">IF(OR(V134="",W134="",X134=""),"",IFERROR(IF(V134="BUY",1,IF(V134="SELL",-1,0))+IF(W134="BUY",1,IF(W134="SELL",-1,0))+IF(X134="BUY",1,IF(X134="SELL",-1,0)),0))</f>
        <v>0</v>
      </c>
      <c r="Z134" s="32" t="str">
        <f aca="false">IF(Y134="","",IF(Y134&gt;=2,"STRONG BUY",IF(Y134=1,"BUY",IF(Y134=0,"HOLD",IF(Y134=-1,"SELL","STRONG SELL")))))</f>
        <v>HOLD</v>
      </c>
    </row>
    <row r="135" customFormat="false" ht="15" hidden="false" customHeight="false" outlineLevel="0" collapsed="false">
      <c r="A135" s="24" t="n">
        <v>45957</v>
      </c>
      <c r="B135" s="25" t="n">
        <v>139.22</v>
      </c>
      <c r="C135" s="25" t="n">
        <v>139.78</v>
      </c>
      <c r="D135" s="25" t="n">
        <v>139.22</v>
      </c>
      <c r="E135" s="25" t="n">
        <v>139.5</v>
      </c>
      <c r="F135" s="26" t="n">
        <v>5554160</v>
      </c>
      <c r="G135" s="27" t="n">
        <f aca="false">E135-E134</f>
        <v>-3.24000000000001</v>
      </c>
      <c r="H135" s="28" t="n">
        <f aca="false">G135/E134</f>
        <v>-0.0226986128625474</v>
      </c>
      <c r="I135" s="29" t="n">
        <f aca="false">MAX(G135,0)</f>
        <v>0</v>
      </c>
      <c r="J135" s="29" t="n">
        <f aca="false">MAX(-G135,0)</f>
        <v>3.24000000000001</v>
      </c>
      <c r="K135" s="29" t="n">
        <f aca="false">(K134*13+I135)/14</f>
        <v>0.67855385782358</v>
      </c>
      <c r="L135" s="29" t="n">
        <f aca="false">(L134*13+J135)/14</f>
        <v>0.801431650596461</v>
      </c>
      <c r="M135" s="31" t="n">
        <f aca="false">IF(L135=0,100,100-100/(1+K135/MAX(L135,0.000001)))</f>
        <v>45.8486825690591</v>
      </c>
      <c r="N135" s="30" t="n">
        <f aca="false">AVERAGE(E116:E135)</f>
        <v>142.565</v>
      </c>
      <c r="O135" s="30" t="n">
        <f aca="false">AVERAGE(E86:E135)</f>
        <v>138.6286</v>
      </c>
      <c r="Q135" s="30" t="n">
        <f aca="false">Q134+(2/13)*(E135-Q134)</f>
        <v>142.301009381129</v>
      </c>
      <c r="R135" s="30" t="n">
        <f aca="false">R134+(2/27)*(E135-R134)</f>
        <v>141.172385834653</v>
      </c>
      <c r="S135" s="33" t="n">
        <f aca="false">Q135-R135</f>
        <v>1.12862354647601</v>
      </c>
      <c r="T135" s="33" t="n">
        <f aca="false">T134+(2/10)*(S135-T134)</f>
        <v>1.49663661615931</v>
      </c>
      <c r="U135" s="33" t="n">
        <f aca="false">S135-T135</f>
        <v>-0.368013069683298</v>
      </c>
      <c r="V135" s="32" t="str">
        <f aca="false">IF(M135="","",IF(M135&lt;Assumptions!$B$5,"BUY",IF(M135&gt;Assumptions!$B$4,"SELL","HOLD")))</f>
        <v>HOLD</v>
      </c>
      <c r="W135" s="32" t="str">
        <f aca="false">IF(O135="","",IF(E135&gt;O135,"BUY","SELL"))</f>
        <v>BUY</v>
      </c>
      <c r="X135" s="32" t="str">
        <f aca="false">IF(T135="","",IF(S135&gt;T135,"BUY","SELL"))</f>
        <v>SELL</v>
      </c>
      <c r="Y135" s="34" t="n">
        <f aca="false">IF(OR(V135="",W135="",X135=""),"",IFERROR(IF(V135="BUY",1,IF(V135="SELL",-1,0))+IF(W135="BUY",1,IF(W135="SELL",-1,0))+IF(X135="BUY",1,IF(X135="SELL",-1,0)),0))</f>
        <v>0</v>
      </c>
      <c r="Z135" s="32" t="str">
        <f aca="false">IF(Y135="","",IF(Y135&gt;=2,"STRONG BUY",IF(Y135=1,"BUY",IF(Y135=0,"HOLD",IF(Y135=-1,"SELL","STRONG SELL")))))</f>
        <v>HOLD</v>
      </c>
    </row>
    <row r="136" customFormat="false" ht="15" hidden="false" customHeight="false" outlineLevel="0" collapsed="false">
      <c r="A136" s="24" t="n">
        <v>45958</v>
      </c>
      <c r="B136" s="25" t="n">
        <v>137.33</v>
      </c>
      <c r="C136" s="25" t="n">
        <v>137.65</v>
      </c>
      <c r="D136" s="25" t="n">
        <v>137.33</v>
      </c>
      <c r="E136" s="25" t="n">
        <v>137.49</v>
      </c>
      <c r="F136" s="26" t="n">
        <v>15842435</v>
      </c>
      <c r="G136" s="27" t="n">
        <f aca="false">E136-E135</f>
        <v>-2.00999999999999</v>
      </c>
      <c r="H136" s="28" t="n">
        <f aca="false">G136/E135</f>
        <v>-0.0144086021505376</v>
      </c>
      <c r="I136" s="29" t="n">
        <f aca="false">MAX(G136,0)</f>
        <v>0</v>
      </c>
      <c r="J136" s="29" t="n">
        <f aca="false">MAX(-G136,0)</f>
        <v>2.00999999999999</v>
      </c>
      <c r="K136" s="29" t="n">
        <f aca="false">(K135*13+I136)/14</f>
        <v>0.630085725121895</v>
      </c>
      <c r="L136" s="29" t="n">
        <f aca="false">(L135*13+J136)/14</f>
        <v>0.887757961268142</v>
      </c>
      <c r="M136" s="31" t="n">
        <f aca="false">IF(L136=0,100,100-100/(1+K136/MAX(L136,0.000001)))</f>
        <v>41.5118981468019</v>
      </c>
      <c r="N136" s="30" t="n">
        <f aca="false">AVERAGE(E117:E136)</f>
        <v>142.243</v>
      </c>
      <c r="O136" s="30" t="n">
        <f aca="false">AVERAGE(E87:E136)</f>
        <v>138.5534</v>
      </c>
      <c r="Q136" s="30" t="n">
        <f aca="false">Q135+(2/13)*(E136-Q135)</f>
        <v>141.560854091725</v>
      </c>
      <c r="R136" s="30" t="n">
        <f aca="false">R135+(2/27)*(E136-R135)</f>
        <v>140.899616513568</v>
      </c>
      <c r="S136" s="33" t="n">
        <f aca="false">Q136-R136</f>
        <v>0.661237578156943</v>
      </c>
      <c r="T136" s="33" t="n">
        <f aca="false">T135+(2/10)*(S136-T135)</f>
        <v>1.32955680855883</v>
      </c>
      <c r="U136" s="33" t="n">
        <f aca="false">S136-T136</f>
        <v>-0.66831923040189</v>
      </c>
      <c r="V136" s="32" t="str">
        <f aca="false">IF(M136="","",IF(M136&lt;Assumptions!$B$5,"BUY",IF(M136&gt;Assumptions!$B$4,"SELL","HOLD")))</f>
        <v>HOLD</v>
      </c>
      <c r="W136" s="32" t="str">
        <f aca="false">IF(O136="","",IF(E136&gt;O136,"BUY","SELL"))</f>
        <v>SELL</v>
      </c>
      <c r="X136" s="32" t="str">
        <f aca="false">IF(T136="","",IF(S136&gt;T136,"BUY","SELL"))</f>
        <v>SELL</v>
      </c>
      <c r="Y136" s="34" t="n">
        <f aca="false">IF(OR(V136="",W136="",X136=""),"",IFERROR(IF(V136="BUY",1,IF(V136="SELL",-1,0))+IF(W136="BUY",1,IF(W136="SELL",-1,0))+IF(X136="BUY",1,IF(X136="SELL",-1,0)),0))</f>
        <v>-2</v>
      </c>
      <c r="Z136" s="32" t="str">
        <f aca="false">IF(Y136="","",IF(Y136&gt;=2,"STRONG BUY",IF(Y136=1,"BUY",IF(Y136=0,"HOLD",IF(Y136=-1,"SELL","STRONG SELL")))))</f>
        <v>STRONG SELL</v>
      </c>
    </row>
    <row r="137" customFormat="false" ht="15" hidden="false" customHeight="false" outlineLevel="0" collapsed="false">
      <c r="A137" s="24" t="n">
        <v>45959</v>
      </c>
      <c r="B137" s="25" t="n">
        <v>134.19</v>
      </c>
      <c r="C137" s="25" t="n">
        <v>135.07</v>
      </c>
      <c r="D137" s="25" t="n">
        <v>134.19</v>
      </c>
      <c r="E137" s="25" t="n">
        <v>134.63</v>
      </c>
      <c r="F137" s="26" t="n">
        <v>13661905</v>
      </c>
      <c r="G137" s="27" t="n">
        <f aca="false">E137-E136</f>
        <v>-2.86000000000001</v>
      </c>
      <c r="H137" s="28" t="n">
        <f aca="false">G137/E136</f>
        <v>-0.0208015128372974</v>
      </c>
      <c r="I137" s="29" t="n">
        <f aca="false">MAX(G137,0)</f>
        <v>0</v>
      </c>
      <c r="J137" s="29" t="n">
        <f aca="false">MAX(-G137,0)</f>
        <v>2.86000000000001</v>
      </c>
      <c r="K137" s="29" t="n">
        <f aca="false">(K136*13+I137)/14</f>
        <v>0.585079601898903</v>
      </c>
      <c r="L137" s="29" t="n">
        <f aca="false">(L136*13+J137)/14</f>
        <v>1.02863239260613</v>
      </c>
      <c r="M137" s="31" t="n">
        <f aca="false">IF(L137=0,100,100-100/(1+K137/MAX(L137,0.000001)))</f>
        <v>36.2567548541003</v>
      </c>
      <c r="N137" s="30" t="n">
        <f aca="false">AVERAGE(E118:E137)</f>
        <v>141.759</v>
      </c>
      <c r="O137" s="30" t="n">
        <f aca="false">AVERAGE(E88:E137)</f>
        <v>138.369</v>
      </c>
      <c r="Q137" s="30" t="n">
        <f aca="false">Q136+(2/13)*(E137-Q136)</f>
        <v>140.494568846844</v>
      </c>
      <c r="R137" s="30" t="n">
        <f aca="false">R136+(2/27)*(E137-R136)</f>
        <v>140.435200475526</v>
      </c>
      <c r="S137" s="33" t="n">
        <f aca="false">Q137-R137</f>
        <v>0.0593683713182713</v>
      </c>
      <c r="T137" s="33" t="n">
        <f aca="false">T136+(2/10)*(S137-T136)</f>
        <v>1.07551912111072</v>
      </c>
      <c r="U137" s="33" t="n">
        <f aca="false">S137-T137</f>
        <v>-1.01615074979245</v>
      </c>
      <c r="V137" s="32" t="str">
        <f aca="false">IF(M137="","",IF(M137&lt;Assumptions!$B$5,"BUY",IF(M137&gt;Assumptions!$B$4,"SELL","HOLD")))</f>
        <v>HOLD</v>
      </c>
      <c r="W137" s="32" t="str">
        <f aca="false">IF(O137="","",IF(E137&gt;O137,"BUY","SELL"))</f>
        <v>SELL</v>
      </c>
      <c r="X137" s="32" t="str">
        <f aca="false">IF(T137="","",IF(S137&gt;T137,"BUY","SELL"))</f>
        <v>SELL</v>
      </c>
      <c r="Y137" s="34" t="n">
        <f aca="false">IF(OR(V137="",W137="",X137=""),"",IFERROR(IF(V137="BUY",1,IF(V137="SELL",-1,0))+IF(W137="BUY",1,IF(W137="SELL",-1,0))+IF(X137="BUY",1,IF(X137="SELL",-1,0)),0))</f>
        <v>-2</v>
      </c>
      <c r="Z137" s="32" t="str">
        <f aca="false">IF(Y137="","",IF(Y137&gt;=2,"STRONG BUY",IF(Y137=1,"BUY",IF(Y137=0,"HOLD",IF(Y137=-1,"SELL","STRONG SELL")))))</f>
        <v>STRONG SELL</v>
      </c>
    </row>
    <row r="138" customFormat="false" ht="15" hidden="false" customHeight="false" outlineLevel="0" collapsed="false">
      <c r="A138" s="24" t="n">
        <v>45960</v>
      </c>
      <c r="B138" s="25" t="n">
        <v>135.17</v>
      </c>
      <c r="C138" s="25" t="n">
        <v>135.17</v>
      </c>
      <c r="D138" s="25" t="n">
        <v>134.21</v>
      </c>
      <c r="E138" s="25" t="n">
        <v>134.69</v>
      </c>
      <c r="F138" s="26" t="n">
        <v>11875728</v>
      </c>
      <c r="G138" s="27" t="n">
        <f aca="false">E138-E137</f>
        <v>0.0600000000000023</v>
      </c>
      <c r="H138" s="28" t="n">
        <f aca="false">G138/E137</f>
        <v>0.000445665899130968</v>
      </c>
      <c r="I138" s="29" t="n">
        <f aca="false">MAX(G138,0)</f>
        <v>0.0600000000000023</v>
      </c>
      <c r="J138" s="29" t="n">
        <f aca="false">MAX(-G138,0)</f>
        <v>0</v>
      </c>
      <c r="K138" s="29" t="n">
        <f aca="false">(K137*13+I138)/14</f>
        <v>0.547573916048981</v>
      </c>
      <c r="L138" s="29" t="n">
        <f aca="false">(L137*13+J138)/14</f>
        <v>0.955158650277123</v>
      </c>
      <c r="M138" s="31" t="n">
        <f aca="false">IF(L138=0,100,100-100/(1+K138/MAX(L138,0.000001)))</f>
        <v>36.4385472384947</v>
      </c>
      <c r="N138" s="30" t="n">
        <f aca="false">AVERAGE(E119:E138)</f>
        <v>141.355</v>
      </c>
      <c r="O138" s="30" t="n">
        <f aca="false">AVERAGE(E89:E138)</f>
        <v>138.2676</v>
      </c>
      <c r="Q138" s="30" t="n">
        <f aca="false">Q137+(2/13)*(E138-Q137)</f>
        <v>139.601558255022</v>
      </c>
      <c r="R138" s="30" t="n">
        <f aca="false">R137+(2/27)*(E138-R137)</f>
        <v>140.009630069931</v>
      </c>
      <c r="S138" s="33" t="n">
        <f aca="false">Q138-R138</f>
        <v>-0.408071814909391</v>
      </c>
      <c r="T138" s="33" t="n">
        <f aca="false">T137+(2/10)*(S138-T137)</f>
        <v>0.778800933906698</v>
      </c>
      <c r="U138" s="33" t="n">
        <f aca="false">S138-T138</f>
        <v>-1.18687274881609</v>
      </c>
      <c r="V138" s="32" t="str">
        <f aca="false">IF(M138="","",IF(M138&lt;Assumptions!$B$5,"BUY",IF(M138&gt;Assumptions!$B$4,"SELL","HOLD")))</f>
        <v>HOLD</v>
      </c>
      <c r="W138" s="32" t="str">
        <f aca="false">IF(O138="","",IF(E138&gt;O138,"BUY","SELL"))</f>
        <v>SELL</v>
      </c>
      <c r="X138" s="32" t="str">
        <f aca="false">IF(T138="","",IF(S138&gt;T138,"BUY","SELL"))</f>
        <v>SELL</v>
      </c>
      <c r="Y138" s="34" t="n">
        <f aca="false">IF(OR(V138="",W138="",X138=""),"",IFERROR(IF(V138="BUY",1,IF(V138="SELL",-1,0))+IF(W138="BUY",1,IF(W138="SELL",-1,0))+IF(X138="BUY",1,IF(X138="SELL",-1,0)),0))</f>
        <v>-2</v>
      </c>
      <c r="Z138" s="32" t="str">
        <f aca="false">IF(Y138="","",IF(Y138&gt;=2,"STRONG BUY",IF(Y138=1,"BUY",IF(Y138=0,"HOLD",IF(Y138=-1,"SELL","STRONG SELL")))))</f>
        <v>STRONG SELL</v>
      </c>
    </row>
    <row r="139" customFormat="false" ht="15" hidden="false" customHeight="false" outlineLevel="0" collapsed="false">
      <c r="A139" s="24" t="n">
        <v>45961</v>
      </c>
      <c r="B139" s="25" t="n">
        <v>133.71</v>
      </c>
      <c r="C139" s="25" t="n">
        <v>134.33</v>
      </c>
      <c r="D139" s="25" t="n">
        <v>133.53</v>
      </c>
      <c r="E139" s="25" t="n">
        <v>133.93</v>
      </c>
      <c r="F139" s="26" t="n">
        <v>5696231</v>
      </c>
      <c r="G139" s="27" t="n">
        <f aca="false">E139-E138</f>
        <v>-0.759999999999991</v>
      </c>
      <c r="H139" s="28" t="n">
        <f aca="false">G139/E138</f>
        <v>-0.00564258668052558</v>
      </c>
      <c r="I139" s="29" t="n">
        <f aca="false">MAX(G139,0)</f>
        <v>0</v>
      </c>
      <c r="J139" s="29" t="n">
        <f aca="false">MAX(-G139,0)</f>
        <v>0.759999999999991</v>
      </c>
      <c r="K139" s="29" t="n">
        <f aca="false">(K138*13+I139)/14</f>
        <v>0.508461493474054</v>
      </c>
      <c r="L139" s="29" t="n">
        <f aca="false">(L138*13+J139)/14</f>
        <v>0.9412187466859</v>
      </c>
      <c r="M139" s="31" t="n">
        <f aca="false">IF(L139=0,100,100-100/(1+K139/MAX(L139,0.000001)))</f>
        <v>35.0740445643345</v>
      </c>
      <c r="N139" s="30" t="n">
        <f aca="false">AVERAGE(E120:E139)</f>
        <v>141.06</v>
      </c>
      <c r="O139" s="30" t="n">
        <f aca="false">AVERAGE(E90:E139)</f>
        <v>138.1448</v>
      </c>
      <c r="Q139" s="30" t="n">
        <f aca="false">Q138+(2/13)*(E139-Q138)</f>
        <v>138.729010831172</v>
      </c>
      <c r="R139" s="30" t="n">
        <f aca="false">R138+(2/27)*(E139-R138)</f>
        <v>139.559287101788</v>
      </c>
      <c r="S139" s="33" t="n">
        <f aca="false">Q139-R139</f>
        <v>-0.830276270615855</v>
      </c>
      <c r="T139" s="33" t="n">
        <f aca="false">T138+(2/10)*(S139-T138)</f>
        <v>0.456985493002188</v>
      </c>
      <c r="U139" s="33" t="n">
        <f aca="false">S139-T139</f>
        <v>-1.28726176361804</v>
      </c>
      <c r="V139" s="32" t="str">
        <f aca="false">IF(M139="","",IF(M139&lt;Assumptions!$B$5,"BUY",IF(M139&gt;Assumptions!$B$4,"SELL","HOLD")))</f>
        <v>HOLD</v>
      </c>
      <c r="W139" s="32" t="str">
        <f aca="false">IF(O139="","",IF(E139&gt;O139,"BUY","SELL"))</f>
        <v>SELL</v>
      </c>
      <c r="X139" s="32" t="str">
        <f aca="false">IF(T139="","",IF(S139&gt;T139,"BUY","SELL"))</f>
        <v>SELL</v>
      </c>
      <c r="Y139" s="34" t="n">
        <f aca="false">IF(OR(V139="",W139="",X139=""),"",IFERROR(IF(V139="BUY",1,IF(V139="SELL",-1,0))+IF(W139="BUY",1,IF(W139="SELL",-1,0))+IF(X139="BUY",1,IF(X139="SELL",-1,0)),0))</f>
        <v>-2</v>
      </c>
      <c r="Z139" s="32" t="str">
        <f aca="false">IF(Y139="","",IF(Y139&gt;=2,"STRONG BUY",IF(Y139=1,"BUY",IF(Y139=0,"HOLD",IF(Y139=-1,"SELL","STRONG SELL")))))</f>
        <v>STRONG SELL</v>
      </c>
    </row>
    <row r="140" customFormat="false" ht="15" hidden="false" customHeight="false" outlineLevel="0" collapsed="false">
      <c r="A140" s="24" t="n">
        <v>45964</v>
      </c>
      <c r="B140" s="25" t="n">
        <v>133.36</v>
      </c>
      <c r="C140" s="25" t="n">
        <v>133.36</v>
      </c>
      <c r="D140" s="25" t="n">
        <v>131.34</v>
      </c>
      <c r="E140" s="25" t="n">
        <v>132.35</v>
      </c>
      <c r="F140" s="26" t="n">
        <v>4734853</v>
      </c>
      <c r="G140" s="27" t="n">
        <f aca="false">E140-E139</f>
        <v>-1.58000000000001</v>
      </c>
      <c r="H140" s="28" t="n">
        <f aca="false">G140/E139</f>
        <v>-0.0117972074964535</v>
      </c>
      <c r="I140" s="29" t="n">
        <f aca="false">MAX(G140,0)</f>
        <v>0</v>
      </c>
      <c r="J140" s="29" t="n">
        <f aca="false">MAX(-G140,0)</f>
        <v>1.58000000000001</v>
      </c>
      <c r="K140" s="29" t="n">
        <f aca="false">(K139*13+I140)/14</f>
        <v>0.472142815368764</v>
      </c>
      <c r="L140" s="29" t="n">
        <f aca="false">(L139*13+J140)/14</f>
        <v>0.986845979065479</v>
      </c>
      <c r="M140" s="31" t="n">
        <f aca="false">IF(L140=0,100,100-100/(1+K140/MAX(L140,0.000001)))</f>
        <v>32.3609624124528</v>
      </c>
      <c r="N140" s="30" t="n">
        <f aca="false">AVERAGE(E121:E140)</f>
        <v>140.6485</v>
      </c>
      <c r="O140" s="30" t="n">
        <f aca="false">AVERAGE(E91:E140)</f>
        <v>138.04</v>
      </c>
      <c r="Q140" s="30" t="n">
        <f aca="false">Q139+(2/13)*(E140-Q139)</f>
        <v>137.747624549454</v>
      </c>
      <c r="R140" s="30" t="n">
        <f aca="false">R139+(2/27)*(E140-R139)</f>
        <v>139.025265834989</v>
      </c>
      <c r="S140" s="33" t="n">
        <f aca="false">Q140-R140</f>
        <v>-1.27764128553557</v>
      </c>
      <c r="T140" s="33" t="n">
        <f aca="false">T139+(2/10)*(S140-T139)</f>
        <v>0.110060137294637</v>
      </c>
      <c r="U140" s="33" t="n">
        <f aca="false">S140-T140</f>
        <v>-1.3877014228302</v>
      </c>
      <c r="V140" s="32" t="str">
        <f aca="false">IF(M140="","",IF(M140&lt;Assumptions!$B$5,"BUY",IF(M140&gt;Assumptions!$B$4,"SELL","HOLD")))</f>
        <v>HOLD</v>
      </c>
      <c r="W140" s="32" t="str">
        <f aca="false">IF(O140="","",IF(E140&gt;O140,"BUY","SELL"))</f>
        <v>SELL</v>
      </c>
      <c r="X140" s="32" t="str">
        <f aca="false">IF(T140="","",IF(S140&gt;T140,"BUY","SELL"))</f>
        <v>SELL</v>
      </c>
      <c r="Y140" s="34" t="n">
        <f aca="false">IF(OR(V140="",W140="",X140=""),"",IFERROR(IF(V140="BUY",1,IF(V140="SELL",-1,0))+IF(W140="BUY",1,IF(W140="SELL",-1,0))+IF(X140="BUY",1,IF(X140="SELL",-1,0)),0))</f>
        <v>-2</v>
      </c>
      <c r="Z140" s="32" t="str">
        <f aca="false">IF(Y140="","",IF(Y140&gt;=2,"STRONG BUY",IF(Y140=1,"BUY",IF(Y140=0,"HOLD",IF(Y140=-1,"SELL","STRONG SELL")))))</f>
        <v>STRONG SELL</v>
      </c>
    </row>
    <row r="141" customFormat="false" ht="15" hidden="false" customHeight="false" outlineLevel="0" collapsed="false">
      <c r="A141" s="24" t="n">
        <v>45965</v>
      </c>
      <c r="B141" s="25" t="n">
        <v>133.81</v>
      </c>
      <c r="C141" s="25" t="n">
        <v>134.07</v>
      </c>
      <c r="D141" s="25" t="n">
        <v>133.67</v>
      </c>
      <c r="E141" s="25" t="n">
        <v>133.87</v>
      </c>
      <c r="F141" s="26" t="n">
        <v>9504036</v>
      </c>
      <c r="G141" s="27" t="n">
        <f aca="false">E141-E140</f>
        <v>1.52000000000001</v>
      </c>
      <c r="H141" s="28" t="n">
        <f aca="false">G141/E140</f>
        <v>0.0114846996599925</v>
      </c>
      <c r="I141" s="29" t="n">
        <f aca="false">MAX(G141,0)</f>
        <v>1.52000000000001</v>
      </c>
      <c r="J141" s="29" t="n">
        <f aca="false">MAX(-G141,0)</f>
        <v>0</v>
      </c>
      <c r="K141" s="29" t="n">
        <f aca="false">(K140*13+I141)/14</f>
        <v>0.546989757128139</v>
      </c>
      <c r="L141" s="29" t="n">
        <f aca="false">(L140*13+J141)/14</f>
        <v>0.916356980560802</v>
      </c>
      <c r="M141" s="31" t="n">
        <f aca="false">IF(L141=0,100,100-100/(1+K141/MAX(L141,0.000001)))</f>
        <v>37.3793676536293</v>
      </c>
      <c r="N141" s="30" t="n">
        <f aca="false">AVERAGE(E122:E141)</f>
        <v>140.3355</v>
      </c>
      <c r="O141" s="30" t="n">
        <f aca="false">AVERAGE(E92:E141)</f>
        <v>137.9788</v>
      </c>
      <c r="Q141" s="30" t="n">
        <f aca="false">Q140+(2/13)*(E141-Q140)</f>
        <v>137.151066926461</v>
      </c>
      <c r="R141" s="30" t="n">
        <f aca="false">R140+(2/27)*(E141-R140)</f>
        <v>138.643394291657</v>
      </c>
      <c r="S141" s="33" t="n">
        <f aca="false">Q141-R141</f>
        <v>-1.49232736519591</v>
      </c>
      <c r="T141" s="33" t="n">
        <f aca="false">T140+(2/10)*(S141-T140)</f>
        <v>-0.210417363203472</v>
      </c>
      <c r="U141" s="33" t="n">
        <f aca="false">S141-T141</f>
        <v>-1.28191000199243</v>
      </c>
      <c r="V141" s="32" t="str">
        <f aca="false">IF(M141="","",IF(M141&lt;Assumptions!$B$5,"BUY",IF(M141&gt;Assumptions!$B$4,"SELL","HOLD")))</f>
        <v>HOLD</v>
      </c>
      <c r="W141" s="32" t="str">
        <f aca="false">IF(O141="","",IF(E141&gt;O141,"BUY","SELL"))</f>
        <v>SELL</v>
      </c>
      <c r="X141" s="32" t="str">
        <f aca="false">IF(T141="","",IF(S141&gt;T141,"BUY","SELL"))</f>
        <v>SELL</v>
      </c>
      <c r="Y141" s="34" t="n">
        <f aca="false">IF(OR(V141="",W141="",X141=""),"",IFERROR(IF(V141="BUY",1,IF(V141="SELL",-1,0))+IF(W141="BUY",1,IF(W141="SELL",-1,0))+IF(X141="BUY",1,IF(X141="SELL",-1,0)),0))</f>
        <v>-2</v>
      </c>
      <c r="Z141" s="32" t="str">
        <f aca="false">IF(Y141="","",IF(Y141&gt;=2,"STRONG BUY",IF(Y141=1,"BUY",IF(Y141=0,"HOLD",IF(Y141=-1,"SELL","STRONG SELL")))))</f>
        <v>STRONG SELL</v>
      </c>
    </row>
    <row r="142" customFormat="false" ht="15" hidden="false" customHeight="false" outlineLevel="0" collapsed="false">
      <c r="A142" s="24" t="n">
        <v>45966</v>
      </c>
      <c r="B142" s="25" t="n">
        <v>134.78</v>
      </c>
      <c r="C142" s="25" t="n">
        <v>135.09</v>
      </c>
      <c r="D142" s="25" t="n">
        <v>133.13</v>
      </c>
      <c r="E142" s="25" t="n">
        <v>134.11</v>
      </c>
      <c r="F142" s="26" t="n">
        <v>10969556</v>
      </c>
      <c r="G142" s="27" t="n">
        <f aca="false">E142-E141</f>
        <v>0.240000000000009</v>
      </c>
      <c r="H142" s="28" t="n">
        <f aca="false">G142/E141</f>
        <v>0.00179278404422207</v>
      </c>
      <c r="I142" s="29" t="n">
        <f aca="false">MAX(G142,0)</f>
        <v>0.240000000000009</v>
      </c>
      <c r="J142" s="29" t="n">
        <f aca="false">MAX(-G142,0)</f>
        <v>0</v>
      </c>
      <c r="K142" s="29" t="n">
        <f aca="false">(K141*13+I142)/14</f>
        <v>0.525061917333273</v>
      </c>
      <c r="L142" s="29" t="n">
        <f aca="false">(L141*13+J142)/14</f>
        <v>0.850902910520745</v>
      </c>
      <c r="M142" s="31" t="n">
        <f aca="false">IF(L142=0,100,100-100/(1+K142/MAX(L142,0.000001)))</f>
        <v>38.1595449755914</v>
      </c>
      <c r="N142" s="30" t="n">
        <f aca="false">AVERAGE(E123:E142)</f>
        <v>139.991</v>
      </c>
      <c r="O142" s="30" t="n">
        <f aca="false">AVERAGE(E93:E142)</f>
        <v>137.9134</v>
      </c>
      <c r="Q142" s="30" t="n">
        <f aca="false">Q141+(2/13)*(E142-Q141)</f>
        <v>136.683210476236</v>
      </c>
      <c r="R142" s="30" t="n">
        <f aca="false">R141+(2/27)*(E142-R141)</f>
        <v>138.307587307089</v>
      </c>
      <c r="S142" s="33" t="n">
        <f aca="false">Q142-R142</f>
        <v>-1.62437683085349</v>
      </c>
      <c r="T142" s="33" t="n">
        <f aca="false">T141+(2/10)*(S142-T141)</f>
        <v>-0.493209256733476</v>
      </c>
      <c r="U142" s="33" t="n">
        <f aca="false">S142-T142</f>
        <v>-1.13116757412002</v>
      </c>
      <c r="V142" s="32" t="str">
        <f aca="false">IF(M142="","",IF(M142&lt;Assumptions!$B$5,"BUY",IF(M142&gt;Assumptions!$B$4,"SELL","HOLD")))</f>
        <v>HOLD</v>
      </c>
      <c r="W142" s="32" t="str">
        <f aca="false">IF(O142="","",IF(E142&gt;O142,"BUY","SELL"))</f>
        <v>SELL</v>
      </c>
      <c r="X142" s="32" t="str">
        <f aca="false">IF(T142="","",IF(S142&gt;T142,"BUY","SELL"))</f>
        <v>SELL</v>
      </c>
      <c r="Y142" s="34" t="n">
        <f aca="false">IF(OR(V142="",W142="",X142=""),"",IFERROR(IF(V142="BUY",1,IF(V142="SELL",-1,0))+IF(W142="BUY",1,IF(W142="SELL",-1,0))+IF(X142="BUY",1,IF(X142="SELL",-1,0)),0))</f>
        <v>-2</v>
      </c>
      <c r="Z142" s="32" t="str">
        <f aca="false">IF(Y142="","",IF(Y142&gt;=2,"STRONG BUY",IF(Y142=1,"BUY",IF(Y142=0,"HOLD",IF(Y142=-1,"SELL","STRONG SELL")))))</f>
        <v>STRONG SELL</v>
      </c>
    </row>
    <row r="143" customFormat="false" ht="15" hidden="false" customHeight="false" outlineLevel="0" collapsed="false">
      <c r="A143" s="24" t="n">
        <v>45967</v>
      </c>
      <c r="B143" s="25" t="n">
        <v>134.23</v>
      </c>
      <c r="C143" s="25" t="n">
        <v>135.88</v>
      </c>
      <c r="D143" s="25" t="n">
        <v>132.54</v>
      </c>
      <c r="E143" s="25" t="n">
        <v>134.21</v>
      </c>
      <c r="F143" s="26" t="n">
        <v>10984002</v>
      </c>
      <c r="G143" s="27" t="n">
        <f aca="false">E143-E142</f>
        <v>0.0999999999999943</v>
      </c>
      <c r="H143" s="28" t="n">
        <f aca="false">G143/E142</f>
        <v>0.000745656550592755</v>
      </c>
      <c r="I143" s="29" t="n">
        <f aca="false">MAX(G143,0)</f>
        <v>0.0999999999999943</v>
      </c>
      <c r="J143" s="29" t="n">
        <f aca="false">MAX(-G143,0)</f>
        <v>0</v>
      </c>
      <c r="K143" s="29" t="n">
        <f aca="false">(K142*13+I143)/14</f>
        <v>0.494700351809467</v>
      </c>
      <c r="L143" s="29" t="n">
        <f aca="false">(L142*13+J143)/14</f>
        <v>0.790124131197834</v>
      </c>
      <c r="M143" s="31" t="n">
        <f aca="false">IF(L143=0,100,100-100/(1+K143/MAX(L143,0.000001)))</f>
        <v>38.5033409895456</v>
      </c>
      <c r="N143" s="30" t="n">
        <f aca="false">AVERAGE(E124:E143)</f>
        <v>139.621</v>
      </c>
      <c r="O143" s="30" t="n">
        <f aca="false">AVERAGE(E94:E143)</f>
        <v>137.8464</v>
      </c>
      <c r="Q143" s="30" t="n">
        <f aca="false">Q142+(2/13)*(E143-Q142)</f>
        <v>136.302716556815</v>
      </c>
      <c r="R143" s="30" t="n">
        <f aca="false">R142+(2/27)*(E143-R142)</f>
        <v>138.004062321379</v>
      </c>
      <c r="S143" s="33" t="n">
        <f aca="false">Q143-R143</f>
        <v>-1.70134576456408</v>
      </c>
      <c r="T143" s="33" t="n">
        <f aca="false">T142+(2/10)*(S143-T142)</f>
        <v>-0.734836558299597</v>
      </c>
      <c r="U143" s="33" t="n">
        <f aca="false">S143-T143</f>
        <v>-0.966509206264484</v>
      </c>
      <c r="V143" s="32" t="str">
        <f aca="false">IF(M143="","",IF(M143&lt;Assumptions!$B$5,"BUY",IF(M143&gt;Assumptions!$B$4,"SELL","HOLD")))</f>
        <v>HOLD</v>
      </c>
      <c r="W143" s="32" t="str">
        <f aca="false">IF(O143="","",IF(E143&gt;O143,"BUY","SELL"))</f>
        <v>SELL</v>
      </c>
      <c r="X143" s="32" t="str">
        <f aca="false">IF(T143="","",IF(S143&gt;T143,"BUY","SELL"))</f>
        <v>SELL</v>
      </c>
      <c r="Y143" s="34" t="n">
        <f aca="false">IF(OR(V143="",W143="",X143=""),"",IFERROR(IF(V143="BUY",1,IF(V143="SELL",-1,0))+IF(W143="BUY",1,IF(W143="SELL",-1,0))+IF(X143="BUY",1,IF(X143="SELL",-1,0)),0))</f>
        <v>-2</v>
      </c>
      <c r="Z143" s="32" t="str">
        <f aca="false">IF(Y143="","",IF(Y143&gt;=2,"STRONG BUY",IF(Y143=1,"BUY",IF(Y143=0,"HOLD",IF(Y143=-1,"SELL","STRONG SELL")))))</f>
        <v>STRONG SELL</v>
      </c>
    </row>
    <row r="144" customFormat="false" ht="15" hidden="false" customHeight="false" outlineLevel="0" collapsed="false">
      <c r="A144" s="24" t="n">
        <v>45968</v>
      </c>
      <c r="B144" s="25" t="n">
        <v>134.97</v>
      </c>
      <c r="C144" s="25" t="n">
        <v>135.43</v>
      </c>
      <c r="D144" s="25" t="n">
        <v>134.97</v>
      </c>
      <c r="E144" s="25" t="n">
        <v>135.2</v>
      </c>
      <c r="F144" s="26" t="n">
        <v>18103158</v>
      </c>
      <c r="G144" s="27" t="n">
        <f aca="false">E144-E143</f>
        <v>0.989999999999981</v>
      </c>
      <c r="H144" s="28" t="n">
        <f aca="false">G144/E143</f>
        <v>0.00737649951568423</v>
      </c>
      <c r="I144" s="29" t="n">
        <f aca="false">MAX(G144,0)</f>
        <v>0.989999999999981</v>
      </c>
      <c r="J144" s="29" t="n">
        <f aca="false">MAX(-G144,0)</f>
        <v>0</v>
      </c>
      <c r="K144" s="29" t="n">
        <f aca="false">(K143*13+I144)/14</f>
        <v>0.53007889810879</v>
      </c>
      <c r="L144" s="29" t="n">
        <f aca="false">(L143*13+J144)/14</f>
        <v>0.733686693255132</v>
      </c>
      <c r="M144" s="31" t="n">
        <f aca="false">IF(L144=0,100,100-100/(1+K144/MAX(L144,0.000001)))</f>
        <v>41.9444002694124</v>
      </c>
      <c r="N144" s="30" t="n">
        <f aca="false">AVERAGE(E125:E144)</f>
        <v>139.2595</v>
      </c>
      <c r="O144" s="30" t="n">
        <f aca="false">AVERAGE(E95:E144)</f>
        <v>137.7492</v>
      </c>
      <c r="Q144" s="30" t="n">
        <f aca="false">Q143+(2/13)*(E144-Q143)</f>
        <v>136.133067855767</v>
      </c>
      <c r="R144" s="30" t="n">
        <f aca="false">R143+(2/27)*(E144-R143)</f>
        <v>137.796354001277</v>
      </c>
      <c r="S144" s="33" t="n">
        <f aca="false">Q144-R144</f>
        <v>-1.66328614551037</v>
      </c>
      <c r="T144" s="33" t="n">
        <f aca="false">T143+(2/10)*(S144-T143)</f>
        <v>-0.920526475741751</v>
      </c>
      <c r="U144" s="33" t="n">
        <f aca="false">S144-T144</f>
        <v>-0.742759669768618</v>
      </c>
      <c r="V144" s="32" t="str">
        <f aca="false">IF(M144="","",IF(M144&lt;Assumptions!$B$5,"BUY",IF(M144&gt;Assumptions!$B$4,"SELL","HOLD")))</f>
        <v>HOLD</v>
      </c>
      <c r="W144" s="32" t="str">
        <f aca="false">IF(O144="","",IF(E144&gt;O144,"BUY","SELL"))</f>
        <v>SELL</v>
      </c>
      <c r="X144" s="32" t="str">
        <f aca="false">IF(T144="","",IF(S144&gt;T144,"BUY","SELL"))</f>
        <v>SELL</v>
      </c>
      <c r="Y144" s="34" t="n">
        <f aca="false">IF(OR(V144="",W144="",X144=""),"",IFERROR(IF(V144="BUY",1,IF(V144="SELL",-1,0))+IF(W144="BUY",1,IF(W144="SELL",-1,0))+IF(X144="BUY",1,IF(X144="SELL",-1,0)),0))</f>
        <v>-2</v>
      </c>
      <c r="Z144" s="32" t="str">
        <f aca="false">IF(Y144="","",IF(Y144&gt;=2,"STRONG BUY",IF(Y144=1,"BUY",IF(Y144=0,"HOLD",IF(Y144=-1,"SELL","STRONG SELL")))))</f>
        <v>STRONG SELL</v>
      </c>
    </row>
    <row r="145" customFormat="false" ht="15" hidden="false" customHeight="false" outlineLevel="0" collapsed="false">
      <c r="A145" s="24" t="n">
        <v>45971</v>
      </c>
      <c r="B145" s="25" t="n">
        <v>136.86</v>
      </c>
      <c r="C145" s="25" t="n">
        <v>137.56</v>
      </c>
      <c r="D145" s="25" t="n">
        <v>136.54</v>
      </c>
      <c r="E145" s="25" t="n">
        <v>137.05</v>
      </c>
      <c r="F145" s="26" t="n">
        <v>11220821</v>
      </c>
      <c r="G145" s="27" t="n">
        <f aca="false">E145-E144</f>
        <v>1.85000000000002</v>
      </c>
      <c r="H145" s="28" t="n">
        <f aca="false">G145/E144</f>
        <v>0.0136834319526629</v>
      </c>
      <c r="I145" s="29" t="n">
        <f aca="false">MAX(G145,0)</f>
        <v>1.85000000000002</v>
      </c>
      <c r="J145" s="29" t="n">
        <f aca="false">MAX(-G145,0)</f>
        <v>0</v>
      </c>
      <c r="K145" s="29" t="n">
        <f aca="false">(K144*13+I145)/14</f>
        <v>0.624358976815306</v>
      </c>
      <c r="L145" s="29" t="n">
        <f aca="false">(L144*13+J145)/14</f>
        <v>0.681280500879765</v>
      </c>
      <c r="M145" s="31" t="n">
        <f aca="false">IF(L145=0,100,100-100/(1+K145/MAX(L145,0.000001)))</f>
        <v>47.8201668593483</v>
      </c>
      <c r="N145" s="30" t="n">
        <f aca="false">AVERAGE(E126:E145)</f>
        <v>138.883</v>
      </c>
      <c r="O145" s="30" t="n">
        <f aca="false">AVERAGE(E96:E145)</f>
        <v>137.7598</v>
      </c>
      <c r="Q145" s="30" t="n">
        <f aca="false">Q144+(2/13)*(E145-Q144)</f>
        <v>136.274134339495</v>
      </c>
      <c r="R145" s="30" t="n">
        <f aca="false">R144+(2/27)*(E145-R144)</f>
        <v>137.741068519701</v>
      </c>
      <c r="S145" s="33" t="n">
        <f aca="false">Q145-R145</f>
        <v>-1.46693418020607</v>
      </c>
      <c r="T145" s="33" t="n">
        <f aca="false">T144+(2/10)*(S145-T144)</f>
        <v>-1.02980801663461</v>
      </c>
      <c r="U145" s="33" t="n">
        <f aca="false">S145-T145</f>
        <v>-0.437126163571453</v>
      </c>
      <c r="V145" s="32" t="str">
        <f aca="false">IF(M145="","",IF(M145&lt;Assumptions!$B$5,"BUY",IF(M145&gt;Assumptions!$B$4,"SELL","HOLD")))</f>
        <v>HOLD</v>
      </c>
      <c r="W145" s="32" t="str">
        <f aca="false">IF(O145="","",IF(E145&gt;O145,"BUY","SELL"))</f>
        <v>SELL</v>
      </c>
      <c r="X145" s="32" t="str">
        <f aca="false">IF(T145="","",IF(S145&gt;T145,"BUY","SELL"))</f>
        <v>SELL</v>
      </c>
      <c r="Y145" s="34" t="n">
        <f aca="false">IF(OR(V145="",W145="",X145=""),"",IFERROR(IF(V145="BUY",1,IF(V145="SELL",-1,0))+IF(W145="BUY",1,IF(W145="SELL",-1,0))+IF(X145="BUY",1,IF(X145="SELL",-1,0)),0))</f>
        <v>-2</v>
      </c>
      <c r="Z145" s="32" t="str">
        <f aca="false">IF(Y145="","",IF(Y145&gt;=2,"STRONG BUY",IF(Y145=1,"BUY",IF(Y145=0,"HOLD",IF(Y145=-1,"SELL","STRONG SELL")))))</f>
        <v>STRONG SELL</v>
      </c>
    </row>
    <row r="146" customFormat="false" ht="15" hidden="false" customHeight="false" outlineLevel="0" collapsed="false">
      <c r="A146" s="24" t="n">
        <v>45972</v>
      </c>
      <c r="B146" s="25" t="n">
        <v>134.38</v>
      </c>
      <c r="C146" s="25" t="n">
        <v>134.97</v>
      </c>
      <c r="D146" s="25" t="n">
        <v>133.51</v>
      </c>
      <c r="E146" s="25" t="n">
        <v>134.24</v>
      </c>
      <c r="F146" s="26" t="n">
        <v>6566720</v>
      </c>
      <c r="G146" s="27" t="n">
        <f aca="false">E146-E145</f>
        <v>-2.81</v>
      </c>
      <c r="H146" s="28" t="n">
        <f aca="false">G146/E145</f>
        <v>-0.0205034658883619</v>
      </c>
      <c r="I146" s="29" t="n">
        <f aca="false">MAX(G146,0)</f>
        <v>0</v>
      </c>
      <c r="J146" s="29" t="n">
        <f aca="false">MAX(-G146,0)</f>
        <v>2.81</v>
      </c>
      <c r="K146" s="29" t="n">
        <f aca="false">(K145*13+I146)/14</f>
        <v>0.579761907042784</v>
      </c>
      <c r="L146" s="29" t="n">
        <f aca="false">(L145*13+J146)/14</f>
        <v>0.833331893674068</v>
      </c>
      <c r="M146" s="31" t="n">
        <f aca="false">IF(L146=0,100,100-100/(1+K146/MAX(L146,0.000001)))</f>
        <v>41.0278430737348</v>
      </c>
      <c r="N146" s="30" t="n">
        <f aca="false">AVERAGE(E127:E146)</f>
        <v>138.3355</v>
      </c>
      <c r="O146" s="30" t="n">
        <f aca="false">AVERAGE(E97:E146)</f>
        <v>137.7434</v>
      </c>
      <c r="Q146" s="30" t="n">
        <f aca="false">Q145+(2/13)*(E146-Q145)</f>
        <v>135.961190594957</v>
      </c>
      <c r="R146" s="30" t="n">
        <f aca="false">R145+(2/27)*(E146-R145)</f>
        <v>137.481730110834</v>
      </c>
      <c r="S146" s="33" t="n">
        <f aca="false">Q146-R146</f>
        <v>-1.52053951587698</v>
      </c>
      <c r="T146" s="33" t="n">
        <f aca="false">T145+(2/10)*(S146-T145)</f>
        <v>-1.12795431648309</v>
      </c>
      <c r="U146" s="33" t="n">
        <f aca="false">S146-T146</f>
        <v>-0.392585199393889</v>
      </c>
      <c r="V146" s="32" t="str">
        <f aca="false">IF(M146="","",IF(M146&lt;Assumptions!$B$5,"BUY",IF(M146&gt;Assumptions!$B$4,"SELL","HOLD")))</f>
        <v>HOLD</v>
      </c>
      <c r="W146" s="32" t="str">
        <f aca="false">IF(O146="","",IF(E146&gt;O146,"BUY","SELL"))</f>
        <v>SELL</v>
      </c>
      <c r="X146" s="32" t="str">
        <f aca="false">IF(T146="","",IF(S146&gt;T146,"BUY","SELL"))</f>
        <v>SELL</v>
      </c>
      <c r="Y146" s="34" t="n">
        <f aca="false">IF(OR(V146="",W146="",X146=""),"",IFERROR(IF(V146="BUY",1,IF(V146="SELL",-1,0))+IF(W146="BUY",1,IF(W146="SELL",-1,0))+IF(X146="BUY",1,IF(X146="SELL",-1,0)),0))</f>
        <v>-2</v>
      </c>
      <c r="Z146" s="32" t="str">
        <f aca="false">IF(Y146="","",IF(Y146&gt;=2,"STRONG BUY",IF(Y146=1,"BUY",IF(Y146=0,"HOLD",IF(Y146=-1,"SELL","STRONG SELL")))))</f>
        <v>STRONG SELL</v>
      </c>
    </row>
    <row r="147" customFormat="false" ht="15" hidden="false" customHeight="false" outlineLevel="0" collapsed="false">
      <c r="A147" s="24" t="n">
        <v>45973</v>
      </c>
      <c r="B147" s="25" t="n">
        <v>135.49</v>
      </c>
      <c r="C147" s="25" t="n">
        <v>135.49</v>
      </c>
      <c r="D147" s="25" t="n">
        <v>135.49</v>
      </c>
      <c r="E147" s="25" t="n">
        <v>135.49</v>
      </c>
      <c r="F147" s="26" t="n">
        <v>14381634</v>
      </c>
      <c r="G147" s="27" t="n">
        <f aca="false">E147-E146</f>
        <v>1.25</v>
      </c>
      <c r="H147" s="28" t="n">
        <f aca="false">G147/E146</f>
        <v>0.00931168057210965</v>
      </c>
      <c r="I147" s="29" t="n">
        <f aca="false">MAX(G147,0)</f>
        <v>1.25</v>
      </c>
      <c r="J147" s="29" t="n">
        <f aca="false">MAX(-G147,0)</f>
        <v>0</v>
      </c>
      <c r="K147" s="29" t="n">
        <f aca="false">(K146*13+I147)/14</f>
        <v>0.627636056539728</v>
      </c>
      <c r="L147" s="29" t="n">
        <f aca="false">(L146*13+J147)/14</f>
        <v>0.773808186983063</v>
      </c>
      <c r="M147" s="31" t="n">
        <f aca="false">IF(L147=0,100,100-100/(1+K147/MAX(L147,0.000001)))</f>
        <v>44.7849466320578</v>
      </c>
      <c r="N147" s="30" t="n">
        <f aca="false">AVERAGE(E128:E147)</f>
        <v>137.9175</v>
      </c>
      <c r="O147" s="30" t="n">
        <f aca="false">AVERAGE(E98:E147)</f>
        <v>137.8032</v>
      </c>
      <c r="Q147" s="30" t="n">
        <f aca="false">Q146+(2/13)*(E147-Q146)</f>
        <v>135.888699734195</v>
      </c>
      <c r="R147" s="30" t="n">
        <f aca="false">R146+(2/27)*(E147-R146)</f>
        <v>137.334194547069</v>
      </c>
      <c r="S147" s="33" t="n">
        <f aca="false">Q147-R147</f>
        <v>-1.4454948128741</v>
      </c>
      <c r="T147" s="33" t="n">
        <f aca="false">T146+(2/10)*(S147-T146)</f>
        <v>-1.19146241576129</v>
      </c>
      <c r="U147" s="33" t="n">
        <f aca="false">S147-T147</f>
        <v>-0.254032397112812</v>
      </c>
      <c r="V147" s="32" t="str">
        <f aca="false">IF(M147="","",IF(M147&lt;Assumptions!$B$5,"BUY",IF(M147&gt;Assumptions!$B$4,"SELL","HOLD")))</f>
        <v>HOLD</v>
      </c>
      <c r="W147" s="32" t="str">
        <f aca="false">IF(O147="","",IF(E147&gt;O147,"BUY","SELL"))</f>
        <v>SELL</v>
      </c>
      <c r="X147" s="32" t="str">
        <f aca="false">IF(T147="","",IF(S147&gt;T147,"BUY","SELL"))</f>
        <v>SELL</v>
      </c>
      <c r="Y147" s="34" t="n">
        <f aca="false">IF(OR(V147="",W147="",X147=""),"",IFERROR(IF(V147="BUY",1,IF(V147="SELL",-1,0))+IF(W147="BUY",1,IF(W147="SELL",-1,0))+IF(X147="BUY",1,IF(X147="SELL",-1,0)),0))</f>
        <v>-2</v>
      </c>
      <c r="Z147" s="32" t="str">
        <f aca="false">IF(Y147="","",IF(Y147&gt;=2,"STRONG BUY",IF(Y147=1,"BUY",IF(Y147=0,"HOLD",IF(Y147=-1,"SELL","STRONG SELL")))))</f>
        <v>STRONG SELL</v>
      </c>
    </row>
    <row r="148" customFormat="false" ht="15" hidden="false" customHeight="false" outlineLevel="0" collapsed="false">
      <c r="A148" s="24" t="n">
        <v>45974</v>
      </c>
      <c r="B148" s="25" t="n">
        <v>132.77</v>
      </c>
      <c r="C148" s="25" t="n">
        <v>133.18</v>
      </c>
      <c r="D148" s="25" t="n">
        <v>131.52</v>
      </c>
      <c r="E148" s="25" t="n">
        <v>132.35</v>
      </c>
      <c r="F148" s="26" t="n">
        <v>11485203</v>
      </c>
      <c r="G148" s="27" t="n">
        <f aca="false">E148-E147</f>
        <v>-3.14000000000002</v>
      </c>
      <c r="H148" s="28" t="n">
        <f aca="false">G148/E147</f>
        <v>-0.0231751420769062</v>
      </c>
      <c r="I148" s="29" t="n">
        <f aca="false">MAX(G148,0)</f>
        <v>0</v>
      </c>
      <c r="J148" s="29" t="n">
        <f aca="false">MAX(-G148,0)</f>
        <v>3.14000000000002</v>
      </c>
      <c r="K148" s="29" t="n">
        <f aca="false">(K147*13+I148)/14</f>
        <v>0.582804909644033</v>
      </c>
      <c r="L148" s="29" t="n">
        <f aca="false">(L147*13+J148)/14</f>
        <v>0.942821887912846</v>
      </c>
      <c r="M148" s="31" t="n">
        <f aca="false">IF(L148=0,100,100-100/(1+K148/MAX(L148,0.000001)))</f>
        <v>38.2010142046096</v>
      </c>
      <c r="N148" s="30" t="n">
        <f aca="false">AVERAGE(E129:E148)</f>
        <v>137.4135</v>
      </c>
      <c r="O148" s="30" t="n">
        <f aca="false">AVERAGE(E99:E148)</f>
        <v>137.8558</v>
      </c>
      <c r="Q148" s="30" t="n">
        <f aca="false">Q147+(2/13)*(E148-Q147)</f>
        <v>135.344284390472</v>
      </c>
      <c r="R148" s="30" t="n">
        <f aca="false">R147+(2/27)*(E148-R147)</f>
        <v>136.964994950989</v>
      </c>
      <c r="S148" s="33" t="n">
        <f aca="false">Q148-R148</f>
        <v>-1.62071056051715</v>
      </c>
      <c r="T148" s="33" t="n">
        <f aca="false">T147+(2/10)*(S148-T147)</f>
        <v>-1.27731204471246</v>
      </c>
      <c r="U148" s="33" t="n">
        <f aca="false">S148-T148</f>
        <v>-0.343398515804691</v>
      </c>
      <c r="V148" s="32" t="str">
        <f aca="false">IF(M148="","",IF(M148&lt;Assumptions!$B$5,"BUY",IF(M148&gt;Assumptions!$B$4,"SELL","HOLD")))</f>
        <v>HOLD</v>
      </c>
      <c r="W148" s="32" t="str">
        <f aca="false">IF(O148="","",IF(E148&gt;O148,"BUY","SELL"))</f>
        <v>SELL</v>
      </c>
      <c r="X148" s="32" t="str">
        <f aca="false">IF(T148="","",IF(S148&gt;T148,"BUY","SELL"))</f>
        <v>SELL</v>
      </c>
      <c r="Y148" s="34" t="n">
        <f aca="false">IF(OR(V148="",W148="",X148=""),"",IFERROR(IF(V148="BUY",1,IF(V148="SELL",-1,0))+IF(W148="BUY",1,IF(W148="SELL",-1,0))+IF(X148="BUY",1,IF(X148="SELL",-1,0)),0))</f>
        <v>-2</v>
      </c>
      <c r="Z148" s="32" t="str">
        <f aca="false">IF(Y148="","",IF(Y148&gt;=2,"STRONG BUY",IF(Y148=1,"BUY",IF(Y148=0,"HOLD",IF(Y148=-1,"SELL","STRONG SELL")))))</f>
        <v>STRONG SELL</v>
      </c>
    </row>
    <row r="149" customFormat="false" ht="15" hidden="false" customHeight="false" outlineLevel="0" collapsed="false">
      <c r="A149" s="24" t="n">
        <v>45975</v>
      </c>
      <c r="B149" s="25" t="n">
        <v>130.84</v>
      </c>
      <c r="C149" s="25" t="n">
        <v>131.56</v>
      </c>
      <c r="D149" s="25" t="n">
        <v>130.44</v>
      </c>
      <c r="E149" s="25" t="n">
        <v>131</v>
      </c>
      <c r="F149" s="26" t="n">
        <v>11930142</v>
      </c>
      <c r="G149" s="27" t="n">
        <f aca="false">E149-E148</f>
        <v>-1.34999999999999</v>
      </c>
      <c r="H149" s="28" t="n">
        <f aca="false">G149/E148</f>
        <v>-0.0102002266717038</v>
      </c>
      <c r="I149" s="29" t="n">
        <f aca="false">MAX(G149,0)</f>
        <v>0</v>
      </c>
      <c r="J149" s="29" t="n">
        <f aca="false">MAX(-G149,0)</f>
        <v>1.34999999999999</v>
      </c>
      <c r="K149" s="29" t="n">
        <f aca="false">(K148*13+I149)/14</f>
        <v>0.541175987526602</v>
      </c>
      <c r="L149" s="29" t="n">
        <f aca="false">(L148*13+J149)/14</f>
        <v>0.971906038776213</v>
      </c>
      <c r="M149" s="31" t="n">
        <f aca="false">IF(L149=0,100,100-100/(1+K149/MAX(L149,0.000001)))</f>
        <v>35.7664672581535</v>
      </c>
      <c r="N149" s="30" t="n">
        <f aca="false">AVERAGE(E130:E149)</f>
        <v>136.787</v>
      </c>
      <c r="O149" s="30" t="n">
        <f aca="false">AVERAGE(E100:E149)</f>
        <v>137.847</v>
      </c>
      <c r="Q149" s="30" t="n">
        <f aca="false">Q148+(2/13)*(E149-Q148)</f>
        <v>134.675932945784</v>
      </c>
      <c r="R149" s="30" t="n">
        <f aca="false">R148+(2/27)*(E149-R148)</f>
        <v>136.523143473138</v>
      </c>
      <c r="S149" s="33" t="n">
        <f aca="false">Q149-R149</f>
        <v>-1.84721052735415</v>
      </c>
      <c r="T149" s="33" t="n">
        <f aca="false">T148+(2/10)*(S149-T148)</f>
        <v>-1.3912917412408</v>
      </c>
      <c r="U149" s="33" t="n">
        <f aca="false">S149-T149</f>
        <v>-0.45591878611335</v>
      </c>
      <c r="V149" s="32" t="str">
        <f aca="false">IF(M149="","",IF(M149&lt;Assumptions!$B$5,"BUY",IF(M149&gt;Assumptions!$B$4,"SELL","HOLD")))</f>
        <v>HOLD</v>
      </c>
      <c r="W149" s="32" t="str">
        <f aca="false">IF(O149="","",IF(E149&gt;O149,"BUY","SELL"))</f>
        <v>SELL</v>
      </c>
      <c r="X149" s="32" t="str">
        <f aca="false">IF(T149="","",IF(S149&gt;T149,"BUY","SELL"))</f>
        <v>SELL</v>
      </c>
      <c r="Y149" s="34" t="n">
        <f aca="false">IF(OR(V149="",W149="",X149=""),"",IFERROR(IF(V149="BUY",1,IF(V149="SELL",-1,0))+IF(W149="BUY",1,IF(W149="SELL",-1,0))+IF(X149="BUY",1,IF(X149="SELL",-1,0)),0))</f>
        <v>-2</v>
      </c>
      <c r="Z149" s="32" t="str">
        <f aca="false">IF(Y149="","",IF(Y149&gt;=2,"STRONG BUY",IF(Y149=1,"BUY",IF(Y149=0,"HOLD",IF(Y149=-1,"SELL","STRONG SELL")))))</f>
        <v>STRONG SELL</v>
      </c>
    </row>
    <row r="150" customFormat="false" ht="15" hidden="false" customHeight="false" outlineLevel="0" collapsed="false">
      <c r="A150" s="24" t="n">
        <v>45978</v>
      </c>
      <c r="B150" s="25" t="n">
        <v>132.45</v>
      </c>
      <c r="C150" s="25" t="n">
        <v>133.14</v>
      </c>
      <c r="D150" s="25" t="n">
        <v>132.36</v>
      </c>
      <c r="E150" s="25" t="n">
        <v>132.75</v>
      </c>
      <c r="F150" s="26" t="n">
        <v>7937427</v>
      </c>
      <c r="G150" s="27" t="n">
        <f aca="false">E150-E149</f>
        <v>1.75</v>
      </c>
      <c r="H150" s="28" t="n">
        <f aca="false">G150/E149</f>
        <v>0.0133587786259542</v>
      </c>
      <c r="I150" s="29" t="n">
        <f aca="false">MAX(G150,0)</f>
        <v>1.75</v>
      </c>
      <c r="J150" s="29" t="n">
        <f aca="false">MAX(-G150,0)</f>
        <v>0</v>
      </c>
      <c r="K150" s="29" t="n">
        <f aca="false">(K149*13+I150)/14</f>
        <v>0.627520559846131</v>
      </c>
      <c r="L150" s="29" t="n">
        <f aca="false">(L149*13+J150)/14</f>
        <v>0.902484178863627</v>
      </c>
      <c r="M150" s="31" t="n">
        <f aca="false">IF(L150=0,100,100-100/(1+K150/MAX(L150,0.000001)))</f>
        <v>41.0142886469303</v>
      </c>
      <c r="N150" s="30" t="n">
        <f aca="false">AVERAGE(E131:E150)</f>
        <v>136.3465</v>
      </c>
      <c r="O150" s="30" t="n">
        <f aca="false">AVERAGE(E101:E150)</f>
        <v>137.8666</v>
      </c>
      <c r="Q150" s="30" t="n">
        <f aca="false">Q149+(2/13)*(E150-Q149)</f>
        <v>134.37963556951</v>
      </c>
      <c r="R150" s="30" t="n">
        <f aca="false">R149+(2/27)*(E150-R149)</f>
        <v>136.243651364017</v>
      </c>
      <c r="S150" s="33" t="n">
        <f aca="false">Q150-R150</f>
        <v>-1.86401579450731</v>
      </c>
      <c r="T150" s="33" t="n">
        <f aca="false">T149+(2/10)*(S150-T149)</f>
        <v>-1.4858365518941</v>
      </c>
      <c r="U150" s="33" t="n">
        <f aca="false">S150-T150</f>
        <v>-0.378179242613208</v>
      </c>
      <c r="V150" s="32" t="str">
        <f aca="false">IF(M150="","",IF(M150&lt;Assumptions!$B$5,"BUY",IF(M150&gt;Assumptions!$B$4,"SELL","HOLD")))</f>
        <v>HOLD</v>
      </c>
      <c r="W150" s="32" t="str">
        <f aca="false">IF(O150="","",IF(E150&gt;O150,"BUY","SELL"))</f>
        <v>SELL</v>
      </c>
      <c r="X150" s="32" t="str">
        <f aca="false">IF(T150="","",IF(S150&gt;T150,"BUY","SELL"))</f>
        <v>SELL</v>
      </c>
      <c r="Y150" s="34" t="n">
        <f aca="false">IF(OR(V150="",W150="",X150=""),"",IFERROR(IF(V150="BUY",1,IF(V150="SELL",-1,0))+IF(W150="BUY",1,IF(W150="SELL",-1,0))+IF(X150="BUY",1,IF(X150="SELL",-1,0)),0))</f>
        <v>-2</v>
      </c>
      <c r="Z150" s="32" t="str">
        <f aca="false">IF(Y150="","",IF(Y150&gt;=2,"STRONG BUY",IF(Y150=1,"BUY",IF(Y150=0,"HOLD",IF(Y150=-1,"SELL","STRONG SELL")))))</f>
        <v>STRONG SELL</v>
      </c>
    </row>
    <row r="151" customFormat="false" ht="15" hidden="false" customHeight="false" outlineLevel="0" collapsed="false">
      <c r="A151" s="24" t="n">
        <v>45979</v>
      </c>
      <c r="B151" s="25" t="n">
        <v>134.1</v>
      </c>
      <c r="C151" s="25" t="n">
        <v>134.1</v>
      </c>
      <c r="D151" s="25" t="n">
        <v>133.82</v>
      </c>
      <c r="E151" s="25" t="n">
        <v>133.96</v>
      </c>
      <c r="F151" s="26" t="n">
        <v>19863763</v>
      </c>
      <c r="G151" s="27" t="n">
        <f aca="false">E151-E150</f>
        <v>1.21000000000001</v>
      </c>
      <c r="H151" s="28" t="n">
        <f aca="false">G151/E150</f>
        <v>0.00911487758945392</v>
      </c>
      <c r="I151" s="29" t="n">
        <f aca="false">MAX(G151,0)</f>
        <v>1.21000000000001</v>
      </c>
      <c r="J151" s="29" t="n">
        <f aca="false">MAX(-G151,0)</f>
        <v>0</v>
      </c>
      <c r="K151" s="29" t="n">
        <f aca="false">(K150*13+I151)/14</f>
        <v>0.669126234142836</v>
      </c>
      <c r="L151" s="29" t="n">
        <f aca="false">(L150*13+J151)/14</f>
        <v>0.83802102323051</v>
      </c>
      <c r="M151" s="31" t="n">
        <f aca="false">IF(L151=0,100,100-100/(1+K151/MAX(L151,0.000001)))</f>
        <v>44.3968716971285</v>
      </c>
      <c r="N151" s="30" t="n">
        <f aca="false">AVERAGE(E132:E151)</f>
        <v>135.8995</v>
      </c>
      <c r="O151" s="30" t="n">
        <f aca="false">AVERAGE(E102:E151)</f>
        <v>137.8562</v>
      </c>
      <c r="Q151" s="30" t="n">
        <f aca="false">Q150+(2/13)*(E151-Q150)</f>
        <v>134.315076251124</v>
      </c>
      <c r="R151" s="30" t="n">
        <f aca="false">R150+(2/27)*(E151-R150)</f>
        <v>136.074492003719</v>
      </c>
      <c r="S151" s="33" t="n">
        <f aca="false">Q151-R151</f>
        <v>-1.75941575259586</v>
      </c>
      <c r="T151" s="33" t="n">
        <f aca="false">T150+(2/10)*(S151-T150)</f>
        <v>-1.54055239203445</v>
      </c>
      <c r="U151" s="33" t="n">
        <f aca="false">S151-T151</f>
        <v>-0.218863360561403</v>
      </c>
      <c r="V151" s="32" t="str">
        <f aca="false">IF(M151="","",IF(M151&lt;Assumptions!$B$5,"BUY",IF(M151&gt;Assumptions!$B$4,"SELL","HOLD")))</f>
        <v>HOLD</v>
      </c>
      <c r="W151" s="32" t="str">
        <f aca="false">IF(O151="","",IF(E151&gt;O151,"BUY","SELL"))</f>
        <v>SELL</v>
      </c>
      <c r="X151" s="32" t="str">
        <f aca="false">IF(T151="","",IF(S151&gt;T151,"BUY","SELL"))</f>
        <v>SELL</v>
      </c>
      <c r="Y151" s="34" t="n">
        <f aca="false">IF(OR(V151="",W151="",X151=""),"",IFERROR(IF(V151="BUY",1,IF(V151="SELL",-1,0))+IF(W151="BUY",1,IF(W151="SELL",-1,0))+IF(X151="BUY",1,IF(X151="SELL",-1,0)),0))</f>
        <v>-2</v>
      </c>
      <c r="Z151" s="32" t="str">
        <f aca="false">IF(Y151="","",IF(Y151&gt;=2,"STRONG BUY",IF(Y151=1,"BUY",IF(Y151=0,"HOLD",IF(Y151=-1,"SELL","STRONG SELL")))))</f>
        <v>STRONG SELL</v>
      </c>
    </row>
    <row r="152" customFormat="false" ht="15" hidden="false" customHeight="false" outlineLevel="0" collapsed="false">
      <c r="A152" s="24" t="n">
        <v>45980</v>
      </c>
      <c r="B152" s="25" t="n">
        <v>134.61</v>
      </c>
      <c r="C152" s="25" t="n">
        <v>135.78</v>
      </c>
      <c r="D152" s="25" t="n">
        <v>134.5</v>
      </c>
      <c r="E152" s="25" t="n">
        <v>135.14</v>
      </c>
      <c r="F152" s="26" t="n">
        <v>17916090</v>
      </c>
      <c r="G152" s="27" t="n">
        <f aca="false">E152-E151</f>
        <v>1.17999999999998</v>
      </c>
      <c r="H152" s="28" t="n">
        <f aca="false">G152/E151</f>
        <v>0.0088085995819646</v>
      </c>
      <c r="I152" s="29" t="n">
        <f aca="false">MAX(G152,0)</f>
        <v>1.17999999999998</v>
      </c>
      <c r="J152" s="29" t="n">
        <f aca="false">MAX(-G152,0)</f>
        <v>0</v>
      </c>
      <c r="K152" s="29" t="n">
        <f aca="false">(K151*13+I152)/14</f>
        <v>0.705617217418346</v>
      </c>
      <c r="L152" s="29" t="n">
        <f aca="false">(L151*13+J152)/14</f>
        <v>0.778162378714045</v>
      </c>
      <c r="M152" s="31" t="n">
        <f aca="false">IF(L152=0,100,100-100/(1+K152/MAX(L152,0.000001)))</f>
        <v>47.5553929476859</v>
      </c>
      <c r="N152" s="30" t="n">
        <f aca="false">AVERAGE(E133:E152)</f>
        <v>135.444</v>
      </c>
      <c r="O152" s="30" t="n">
        <f aca="false">AVERAGE(E103:E152)</f>
        <v>137.8274</v>
      </c>
      <c r="Q152" s="30" t="n">
        <f aca="false">Q151+(2/13)*(E152-Q151)</f>
        <v>134.441987597105</v>
      </c>
      <c r="R152" s="30" t="n">
        <f aca="false">R151+(2/27)*(E152-R151)</f>
        <v>136.005270373814</v>
      </c>
      <c r="S152" s="33" t="n">
        <f aca="false">Q152-R152</f>
        <v>-1.56328277670974</v>
      </c>
      <c r="T152" s="33" t="n">
        <f aca="false">T151+(2/10)*(S152-T151)</f>
        <v>-1.54509846896951</v>
      </c>
      <c r="U152" s="33" t="n">
        <f aca="false">S152-T152</f>
        <v>-0.0181843077402304</v>
      </c>
      <c r="V152" s="32" t="str">
        <f aca="false">IF(M152="","",IF(M152&lt;Assumptions!$B$5,"BUY",IF(M152&gt;Assumptions!$B$4,"SELL","HOLD")))</f>
        <v>HOLD</v>
      </c>
      <c r="W152" s="32" t="str">
        <f aca="false">IF(O152="","",IF(E152&gt;O152,"BUY","SELL"))</f>
        <v>SELL</v>
      </c>
      <c r="X152" s="32" t="str">
        <f aca="false">IF(T152="","",IF(S152&gt;T152,"BUY","SELL"))</f>
        <v>SELL</v>
      </c>
      <c r="Y152" s="34" t="n">
        <f aca="false">IF(OR(V152="",W152="",X152=""),"",IFERROR(IF(V152="BUY",1,IF(V152="SELL",-1,0))+IF(W152="BUY",1,IF(W152="SELL",-1,0))+IF(X152="BUY",1,IF(X152="SELL",-1,0)),0))</f>
        <v>-2</v>
      </c>
      <c r="Z152" s="32" t="str">
        <f aca="false">IF(Y152="","",IF(Y152&gt;=2,"STRONG BUY",IF(Y152=1,"BUY",IF(Y152=0,"HOLD",IF(Y152=-1,"SELL","STRONG SELL")))))</f>
        <v>STRONG SELL</v>
      </c>
    </row>
    <row r="153" customFormat="false" ht="15" hidden="false" customHeight="false" outlineLevel="0" collapsed="false">
      <c r="A153" s="24" t="n">
        <v>45981</v>
      </c>
      <c r="B153" s="25" t="n">
        <v>135.05</v>
      </c>
      <c r="C153" s="25" t="n">
        <v>136.16</v>
      </c>
      <c r="D153" s="25" t="n">
        <v>134.78</v>
      </c>
      <c r="E153" s="25" t="n">
        <v>135.47</v>
      </c>
      <c r="F153" s="26" t="n">
        <v>13795964</v>
      </c>
      <c r="G153" s="27" t="n">
        <f aca="false">E153-E152</f>
        <v>0.330000000000013</v>
      </c>
      <c r="H153" s="28" t="n">
        <f aca="false">G153/E152</f>
        <v>0.00244191209116481</v>
      </c>
      <c r="I153" s="29" t="n">
        <f aca="false">MAX(G153,0)</f>
        <v>0.330000000000013</v>
      </c>
      <c r="J153" s="29" t="n">
        <f aca="false">MAX(-G153,0)</f>
        <v>0</v>
      </c>
      <c r="K153" s="29" t="n">
        <f aca="false">(K152*13+I153)/14</f>
        <v>0.67878741617418</v>
      </c>
      <c r="L153" s="29" t="n">
        <f aca="false">(L152*13+J153)/14</f>
        <v>0.722579351663042</v>
      </c>
      <c r="M153" s="31" t="n">
        <f aca="false">IF(L153=0,100,100-100/(1+K153/MAX(L153,0.000001)))</f>
        <v>48.4375276874716</v>
      </c>
      <c r="N153" s="30" t="n">
        <f aca="false">AVERAGE(E134:E153)</f>
        <v>135.0085</v>
      </c>
      <c r="O153" s="30" t="n">
        <f aca="false">AVERAGE(E104:E153)</f>
        <v>137.8026</v>
      </c>
      <c r="Q153" s="30" t="n">
        <f aca="false">Q152+(2/13)*(E153-Q152)</f>
        <v>134.600143351396</v>
      </c>
      <c r="R153" s="30" t="n">
        <f aca="false">R152+(2/27)*(E153-R152)</f>
        <v>135.965620716495</v>
      </c>
      <c r="S153" s="33" t="n">
        <f aca="false">Q153-R153</f>
        <v>-1.36547736509854</v>
      </c>
      <c r="T153" s="33" t="n">
        <f aca="false">T152+(2/10)*(S153-T152)</f>
        <v>-1.50917424819532</v>
      </c>
      <c r="U153" s="33" t="n">
        <f aca="false">S153-T153</f>
        <v>0.143696883096775</v>
      </c>
      <c r="V153" s="32" t="str">
        <f aca="false">IF(M153="","",IF(M153&lt;Assumptions!$B$5,"BUY",IF(M153&gt;Assumptions!$B$4,"SELL","HOLD")))</f>
        <v>HOLD</v>
      </c>
      <c r="W153" s="32" t="str">
        <f aca="false">IF(O153="","",IF(E153&gt;O153,"BUY","SELL"))</f>
        <v>SELL</v>
      </c>
      <c r="X153" s="32" t="str">
        <f aca="false">IF(T153="","",IF(S153&gt;T153,"BUY","SELL"))</f>
        <v>BUY</v>
      </c>
      <c r="Y153" s="34" t="n">
        <f aca="false">IF(OR(V153="",W153="",X153=""),"",IFERROR(IF(V153="BUY",1,IF(V153="SELL",-1,0))+IF(W153="BUY",1,IF(W153="SELL",-1,0))+IF(X153="BUY",1,IF(X153="SELL",-1,0)),0))</f>
        <v>0</v>
      </c>
      <c r="Z153" s="32" t="str">
        <f aca="false">IF(Y153="","",IF(Y153&gt;=2,"STRONG BUY",IF(Y153=1,"BUY",IF(Y153=0,"HOLD",IF(Y153=-1,"SELL","STRONG SELL")))))</f>
        <v>HOLD</v>
      </c>
    </row>
    <row r="154" customFormat="false" ht="15" hidden="false" customHeight="false" outlineLevel="0" collapsed="false">
      <c r="A154" s="24" t="n">
        <v>45982</v>
      </c>
      <c r="B154" s="25" t="n">
        <v>138.44</v>
      </c>
      <c r="C154" s="25" t="n">
        <v>139.14</v>
      </c>
      <c r="D154" s="25" t="n">
        <v>136.86</v>
      </c>
      <c r="E154" s="25" t="n">
        <v>138</v>
      </c>
      <c r="F154" s="26" t="n">
        <v>11774757</v>
      </c>
      <c r="G154" s="27" t="n">
        <f aca="false">E154-E153</f>
        <v>2.53</v>
      </c>
      <c r="H154" s="28" t="n">
        <f aca="false">G154/E153</f>
        <v>0.0186757215619695</v>
      </c>
      <c r="I154" s="29" t="n">
        <f aca="false">MAX(G154,0)</f>
        <v>2.53</v>
      </c>
      <c r="J154" s="29" t="n">
        <f aca="false">MAX(-G154,0)</f>
        <v>0</v>
      </c>
      <c r="K154" s="29" t="n">
        <f aca="false">(K153*13+I154)/14</f>
        <v>0.811016886447453</v>
      </c>
      <c r="L154" s="29" t="n">
        <f aca="false">(L153*13+J154)/14</f>
        <v>0.670966540829968</v>
      </c>
      <c r="M154" s="31" t="n">
        <f aca="false">IF(L154=0,100,100-100/(1+K154/MAX(L154,0.000001)))</f>
        <v>54.7250982379329</v>
      </c>
      <c r="N154" s="30" t="n">
        <f aca="false">AVERAGE(E135:E154)</f>
        <v>134.7715</v>
      </c>
      <c r="O154" s="30" t="n">
        <f aca="false">AVERAGE(E105:E154)</f>
        <v>137.8624</v>
      </c>
      <c r="Q154" s="30" t="n">
        <f aca="false">Q153+(2/13)*(E154-Q153)</f>
        <v>135.123198220412</v>
      </c>
      <c r="R154" s="30" t="n">
        <f aca="false">R153+(2/27)*(E154-R153)</f>
        <v>136.116315478236</v>
      </c>
      <c r="S154" s="33" t="n">
        <f aca="false">Q154-R154</f>
        <v>-0.993117257823712</v>
      </c>
      <c r="T154" s="33" t="n">
        <f aca="false">T153+(2/10)*(S154-T153)</f>
        <v>-1.405962850121</v>
      </c>
      <c r="U154" s="33" t="n">
        <f aca="false">S154-T154</f>
        <v>0.412845592297284</v>
      </c>
      <c r="V154" s="32" t="str">
        <f aca="false">IF(M154="","",IF(M154&lt;Assumptions!$B$5,"BUY",IF(M154&gt;Assumptions!$B$4,"SELL","HOLD")))</f>
        <v>HOLD</v>
      </c>
      <c r="W154" s="32" t="str">
        <f aca="false">IF(O154="","",IF(E154&gt;O154,"BUY","SELL"))</f>
        <v>BUY</v>
      </c>
      <c r="X154" s="32" t="str">
        <f aca="false">IF(T154="","",IF(S154&gt;T154,"BUY","SELL"))</f>
        <v>BUY</v>
      </c>
      <c r="Y154" s="34" t="n">
        <f aca="false">IF(OR(V154="",W154="",X154=""),"",IFERROR(IF(V154="BUY",1,IF(V154="SELL",-1,0))+IF(W154="BUY",1,IF(W154="SELL",-1,0))+IF(X154="BUY",1,IF(X154="SELL",-1,0)),0))</f>
        <v>2</v>
      </c>
      <c r="Z154" s="32" t="str">
        <f aca="false">IF(Y154="","",IF(Y154&gt;=2,"STRONG BUY",IF(Y154=1,"BUY",IF(Y154=0,"HOLD",IF(Y154=-1,"SELL","STRONG SELL")))))</f>
        <v>STRONG BUY</v>
      </c>
    </row>
    <row r="155" customFormat="false" ht="15" hidden="false" customHeight="false" outlineLevel="0" collapsed="false">
      <c r="A155" s="24" t="n">
        <v>45985</v>
      </c>
      <c r="B155" s="25" t="n">
        <v>134.96</v>
      </c>
      <c r="C155" s="25" t="n">
        <v>135.6</v>
      </c>
      <c r="D155" s="25" t="n">
        <v>134.96</v>
      </c>
      <c r="E155" s="25" t="n">
        <v>135.28</v>
      </c>
      <c r="F155" s="26" t="n">
        <v>15554994</v>
      </c>
      <c r="G155" s="27" t="n">
        <f aca="false">E155-E154</f>
        <v>-2.72</v>
      </c>
      <c r="H155" s="28" t="n">
        <f aca="false">G155/E154</f>
        <v>-0.0197101449275362</v>
      </c>
      <c r="I155" s="29" t="n">
        <f aca="false">MAX(G155,0)</f>
        <v>0</v>
      </c>
      <c r="J155" s="29" t="n">
        <f aca="false">MAX(-G155,0)</f>
        <v>2.72</v>
      </c>
      <c r="K155" s="29" t="n">
        <f aca="false">(K154*13+I155)/14</f>
        <v>0.753087108844063</v>
      </c>
      <c r="L155" s="29" t="n">
        <f aca="false">(L154*13+J155)/14</f>
        <v>0.817326073627827</v>
      </c>
      <c r="M155" s="31" t="n">
        <f aca="false">IF(L155=0,100,100-100/(1+K155/MAX(L155,0.000001)))</f>
        <v>47.954711361928</v>
      </c>
      <c r="N155" s="30" t="n">
        <f aca="false">AVERAGE(E136:E155)</f>
        <v>134.5605</v>
      </c>
      <c r="O155" s="30" t="n">
        <f aca="false">AVERAGE(E106:E155)</f>
        <v>137.8324</v>
      </c>
      <c r="Q155" s="30" t="n">
        <f aca="false">Q154+(2/13)*(E155-Q154)</f>
        <v>135.147321571118</v>
      </c>
      <c r="R155" s="30" t="n">
        <f aca="false">R154+(2/27)*(E155-R154)</f>
        <v>136.054366183552</v>
      </c>
      <c r="S155" s="33" t="n">
        <f aca="false">Q155-R155</f>
        <v>-0.907044612433765</v>
      </c>
      <c r="T155" s="33" t="n">
        <f aca="false">T154+(2/10)*(S155-T154)</f>
        <v>-1.30617920258355</v>
      </c>
      <c r="U155" s="33" t="n">
        <f aca="false">S155-T155</f>
        <v>0.399134590149785</v>
      </c>
      <c r="V155" s="32" t="str">
        <f aca="false">IF(M155="","",IF(M155&lt;Assumptions!$B$5,"BUY",IF(M155&gt;Assumptions!$B$4,"SELL","HOLD")))</f>
        <v>HOLD</v>
      </c>
      <c r="W155" s="32" t="str">
        <f aca="false">IF(O155="","",IF(E155&gt;O155,"BUY","SELL"))</f>
        <v>SELL</v>
      </c>
      <c r="X155" s="32" t="str">
        <f aca="false">IF(T155="","",IF(S155&gt;T155,"BUY","SELL"))</f>
        <v>BUY</v>
      </c>
      <c r="Y155" s="34" t="n">
        <f aca="false">IF(OR(V155="",W155="",X155=""),"",IFERROR(IF(V155="BUY",1,IF(V155="SELL",-1,0))+IF(W155="BUY",1,IF(W155="SELL",-1,0))+IF(X155="BUY",1,IF(X155="SELL",-1,0)),0))</f>
        <v>0</v>
      </c>
      <c r="Z155" s="32" t="str">
        <f aca="false">IF(Y155="","",IF(Y155&gt;=2,"STRONG BUY",IF(Y155=1,"BUY",IF(Y155=0,"HOLD",IF(Y155=-1,"SELL","STRONG SELL")))))</f>
        <v>HOLD</v>
      </c>
    </row>
    <row r="156" customFormat="false" ht="15" hidden="false" customHeight="false" outlineLevel="0" collapsed="false">
      <c r="A156" s="24" t="n">
        <v>45986</v>
      </c>
      <c r="B156" s="25" t="n">
        <v>134.56</v>
      </c>
      <c r="C156" s="25" t="n">
        <v>135.17</v>
      </c>
      <c r="D156" s="25" t="n">
        <v>134.35</v>
      </c>
      <c r="E156" s="25" t="n">
        <v>134.76</v>
      </c>
      <c r="F156" s="26" t="n">
        <v>15970181</v>
      </c>
      <c r="G156" s="27" t="n">
        <f aca="false">E156-E155</f>
        <v>-0.52000000000001</v>
      </c>
      <c r="H156" s="28" t="n">
        <f aca="false">G156/E155</f>
        <v>-0.00384387936132474</v>
      </c>
      <c r="I156" s="29" t="n">
        <f aca="false">MAX(G156,0)</f>
        <v>0</v>
      </c>
      <c r="J156" s="29" t="n">
        <f aca="false">MAX(-G156,0)</f>
        <v>0.52000000000001</v>
      </c>
      <c r="K156" s="29" t="n">
        <f aca="false">(K155*13+I156)/14</f>
        <v>0.699295172498059</v>
      </c>
      <c r="L156" s="29" t="n">
        <f aca="false">(L155*13+J156)/14</f>
        <v>0.796088496940126</v>
      </c>
      <c r="M156" s="31" t="n">
        <f aca="false">IF(L156=0,100,100-100/(1+K156/MAX(L156,0.000001)))</f>
        <v>46.7635956437042</v>
      </c>
      <c r="N156" s="30" t="n">
        <f aca="false">AVERAGE(E137:E156)</f>
        <v>134.424</v>
      </c>
      <c r="O156" s="30" t="n">
        <f aca="false">AVERAGE(E107:E156)</f>
        <v>137.8162</v>
      </c>
      <c r="Q156" s="30" t="n">
        <f aca="false">Q155+(2/13)*(E156-Q155)</f>
        <v>135.0877336371</v>
      </c>
      <c r="R156" s="30" t="n">
        <f aca="false">R155+(2/27)*(E156-R155)</f>
        <v>135.958487206992</v>
      </c>
      <c r="S156" s="33" t="n">
        <f aca="false">Q156-R156</f>
        <v>-0.870753569892543</v>
      </c>
      <c r="T156" s="33" t="n">
        <f aca="false">T155+(2/10)*(S156-T155)</f>
        <v>-1.21909407604535</v>
      </c>
      <c r="U156" s="33" t="n">
        <f aca="false">S156-T156</f>
        <v>0.348340506152806</v>
      </c>
      <c r="V156" s="32" t="str">
        <f aca="false">IF(M156="","",IF(M156&lt;Assumptions!$B$5,"BUY",IF(M156&gt;Assumptions!$B$4,"SELL","HOLD")))</f>
        <v>HOLD</v>
      </c>
      <c r="W156" s="32" t="str">
        <f aca="false">IF(O156="","",IF(E156&gt;O156,"BUY","SELL"))</f>
        <v>SELL</v>
      </c>
      <c r="X156" s="32" t="str">
        <f aca="false">IF(T156="","",IF(S156&gt;T156,"BUY","SELL"))</f>
        <v>BUY</v>
      </c>
      <c r="Y156" s="34" t="n">
        <f aca="false">IF(OR(V156="",W156="",X156=""),"",IFERROR(IF(V156="BUY",1,IF(V156="SELL",-1,0))+IF(W156="BUY",1,IF(W156="SELL",-1,0))+IF(X156="BUY",1,IF(X156="SELL",-1,0)),0))</f>
        <v>0</v>
      </c>
      <c r="Z156" s="32" t="str">
        <f aca="false">IF(Y156="","",IF(Y156&gt;=2,"STRONG BUY",IF(Y156=1,"BUY",IF(Y156=0,"HOLD",IF(Y156=-1,"SELL","STRONG SELL")))))</f>
        <v>HOLD</v>
      </c>
    </row>
    <row r="157" customFormat="false" ht="15" hidden="false" customHeight="false" outlineLevel="0" collapsed="false">
      <c r="A157" s="24" t="n">
        <v>45987</v>
      </c>
      <c r="B157" s="25" t="n">
        <v>135.06</v>
      </c>
      <c r="C157" s="25" t="n">
        <v>137.01</v>
      </c>
      <c r="D157" s="25" t="n">
        <v>132.71</v>
      </c>
      <c r="E157" s="25" t="n">
        <v>134.86</v>
      </c>
      <c r="F157" s="26" t="n">
        <v>11548341</v>
      </c>
      <c r="G157" s="27" t="n">
        <f aca="false">E157-E156</f>
        <v>0.100000000000023</v>
      </c>
      <c r="H157" s="28" t="n">
        <f aca="false">G157/E156</f>
        <v>0.000742059958444811</v>
      </c>
      <c r="I157" s="29" t="n">
        <f aca="false">MAX(G157,0)</f>
        <v>0.100000000000023</v>
      </c>
      <c r="J157" s="29" t="n">
        <f aca="false">MAX(-G157,0)</f>
        <v>0</v>
      </c>
      <c r="K157" s="29" t="n">
        <f aca="false">(K156*13+I157)/14</f>
        <v>0.656488374462485</v>
      </c>
      <c r="L157" s="29" t="n">
        <f aca="false">(L156*13+J157)/14</f>
        <v>0.739225032872974</v>
      </c>
      <c r="M157" s="31" t="n">
        <f aca="false">IF(L157=0,100,100-100/(1+K157/MAX(L157,0.000001)))</f>
        <v>47.0360441486178</v>
      </c>
      <c r="N157" s="30" t="n">
        <f aca="false">AVERAGE(E138:E157)</f>
        <v>134.4355</v>
      </c>
      <c r="O157" s="30" t="n">
        <f aca="false">AVERAGE(E108:E157)</f>
        <v>137.8436</v>
      </c>
      <c r="Q157" s="30" t="n">
        <f aca="false">Q156+(2/13)*(E157-Q156)</f>
        <v>135.052697692931</v>
      </c>
      <c r="R157" s="30" t="n">
        <f aca="false">R156+(2/27)*(E157-R156)</f>
        <v>135.877117784252</v>
      </c>
      <c r="S157" s="33" t="n">
        <f aca="false">Q157-R157</f>
        <v>-0.824420091321571</v>
      </c>
      <c r="T157" s="33" t="n">
        <f aca="false">T156+(2/10)*(S157-T156)</f>
        <v>-1.14015927910059</v>
      </c>
      <c r="U157" s="33" t="n">
        <f aca="false">S157-T157</f>
        <v>0.315739187779022</v>
      </c>
      <c r="V157" s="32" t="str">
        <f aca="false">IF(M157="","",IF(M157&lt;Assumptions!$B$5,"BUY",IF(M157&gt;Assumptions!$B$4,"SELL","HOLD")))</f>
        <v>HOLD</v>
      </c>
      <c r="W157" s="32" t="str">
        <f aca="false">IF(O157="","",IF(E157&gt;O157,"BUY","SELL"))</f>
        <v>SELL</v>
      </c>
      <c r="X157" s="32" t="str">
        <f aca="false">IF(T157="","",IF(S157&gt;T157,"BUY","SELL"))</f>
        <v>BUY</v>
      </c>
      <c r="Y157" s="34" t="n">
        <f aca="false">IF(OR(V157="",W157="",X157=""),"",IFERROR(IF(V157="BUY",1,IF(V157="SELL",-1,0))+IF(W157="BUY",1,IF(W157="SELL",-1,0))+IF(X157="BUY",1,IF(X157="SELL",-1,0)),0))</f>
        <v>0</v>
      </c>
      <c r="Z157" s="32" t="str">
        <f aca="false">IF(Y157="","",IF(Y157&gt;=2,"STRONG BUY",IF(Y157=1,"BUY",IF(Y157=0,"HOLD",IF(Y157=-1,"SELL","STRONG SELL")))))</f>
        <v>HOLD</v>
      </c>
    </row>
    <row r="158" customFormat="false" ht="15" hidden="false" customHeight="false" outlineLevel="0" collapsed="false">
      <c r="A158" s="24" t="n">
        <v>45988</v>
      </c>
      <c r="B158" s="25" t="n">
        <v>138.59</v>
      </c>
      <c r="C158" s="25" t="n">
        <v>139.15</v>
      </c>
      <c r="D158" s="25" t="n">
        <v>137.83</v>
      </c>
      <c r="E158" s="25" t="n">
        <v>138.49</v>
      </c>
      <c r="F158" s="26" t="n">
        <v>14099163</v>
      </c>
      <c r="G158" s="27" t="n">
        <f aca="false">E158-E157</f>
        <v>3.63</v>
      </c>
      <c r="H158" s="28" t="n">
        <f aca="false">G158/E157</f>
        <v>0.0269168026101142</v>
      </c>
      <c r="I158" s="29" t="n">
        <f aca="false">MAX(G158,0)</f>
        <v>3.63</v>
      </c>
      <c r="J158" s="29" t="n">
        <f aca="false">MAX(-G158,0)</f>
        <v>0</v>
      </c>
      <c r="K158" s="29" t="n">
        <f aca="false">(K157*13+I158)/14</f>
        <v>0.868882062000878</v>
      </c>
      <c r="L158" s="29" t="n">
        <f aca="false">(L157*13+J158)/14</f>
        <v>0.686423244810619</v>
      </c>
      <c r="M158" s="31" t="n">
        <f aca="false">IF(L158=0,100,100-100/(1+K158/MAX(L158,0.000001)))</f>
        <v>55.8656913337586</v>
      </c>
      <c r="N158" s="30" t="n">
        <f aca="false">AVERAGE(E139:E158)</f>
        <v>134.6255</v>
      </c>
      <c r="O158" s="30" t="n">
        <f aca="false">AVERAGE(E109:E158)</f>
        <v>137.983</v>
      </c>
      <c r="Q158" s="30" t="n">
        <f aca="false">Q157+(2/13)*(E158-Q157)</f>
        <v>135.58151343248</v>
      </c>
      <c r="R158" s="30" t="n">
        <f aca="false">R157+(2/27)*(E158-R157)</f>
        <v>136.070664615048</v>
      </c>
      <c r="S158" s="33" t="n">
        <f aca="false">Q158-R158</f>
        <v>-0.489151182568548</v>
      </c>
      <c r="T158" s="33" t="n">
        <f aca="false">T157+(2/10)*(S158-T157)</f>
        <v>-1.00995765979418</v>
      </c>
      <c r="U158" s="33" t="n">
        <f aca="false">S158-T158</f>
        <v>0.520806477225636</v>
      </c>
      <c r="V158" s="32" t="str">
        <f aca="false">IF(M158="","",IF(M158&lt;Assumptions!$B$5,"BUY",IF(M158&gt;Assumptions!$B$4,"SELL","HOLD")))</f>
        <v>HOLD</v>
      </c>
      <c r="W158" s="32" t="str">
        <f aca="false">IF(O158="","",IF(E158&gt;O158,"BUY","SELL"))</f>
        <v>BUY</v>
      </c>
      <c r="X158" s="32" t="str">
        <f aca="false">IF(T158="","",IF(S158&gt;T158,"BUY","SELL"))</f>
        <v>BUY</v>
      </c>
      <c r="Y158" s="34" t="n">
        <f aca="false">IF(OR(V158="",W158="",X158=""),"",IFERROR(IF(V158="BUY",1,IF(V158="SELL",-1,0))+IF(W158="BUY",1,IF(W158="SELL",-1,0))+IF(X158="BUY",1,IF(X158="SELL",-1,0)),0))</f>
        <v>2</v>
      </c>
      <c r="Z158" s="32" t="str">
        <f aca="false">IF(Y158="","",IF(Y158&gt;=2,"STRONG BUY",IF(Y158=1,"BUY",IF(Y158=0,"HOLD",IF(Y158=-1,"SELL","STRONG SELL")))))</f>
        <v>STRONG BUY</v>
      </c>
    </row>
    <row r="159" customFormat="false" ht="15" hidden="false" customHeight="false" outlineLevel="0" collapsed="false">
      <c r="A159" s="24" t="n">
        <v>45989</v>
      </c>
      <c r="B159" s="25" t="n">
        <v>140.29</v>
      </c>
      <c r="C159" s="25" t="n">
        <v>140.98</v>
      </c>
      <c r="D159" s="25" t="n">
        <v>139.74</v>
      </c>
      <c r="E159" s="25" t="n">
        <v>140.36</v>
      </c>
      <c r="F159" s="26" t="n">
        <v>11826036</v>
      </c>
      <c r="G159" s="27" t="n">
        <f aca="false">E159-E158</f>
        <v>1.87</v>
      </c>
      <c r="H159" s="28" t="n">
        <f aca="false">G159/E158</f>
        <v>0.0135027799841144</v>
      </c>
      <c r="I159" s="29" t="n">
        <f aca="false">MAX(G159,0)</f>
        <v>1.87</v>
      </c>
      <c r="J159" s="29" t="n">
        <f aca="false">MAX(-G159,0)</f>
        <v>0</v>
      </c>
      <c r="K159" s="29" t="n">
        <f aca="false">(K158*13+I159)/14</f>
        <v>0.940390486143673</v>
      </c>
      <c r="L159" s="29" t="n">
        <f aca="false">(L158*13+J159)/14</f>
        <v>0.637393013038432</v>
      </c>
      <c r="M159" s="31" t="n">
        <f aca="false">IF(L159=0,100,100-100/(1+K159/MAX(L159,0.000001)))</f>
        <v>59.6019977792362</v>
      </c>
      <c r="N159" s="30" t="n">
        <f aca="false">AVERAGE(E140:E159)</f>
        <v>134.947</v>
      </c>
      <c r="O159" s="30" t="n">
        <f aca="false">AVERAGE(E110:E159)</f>
        <v>138.1554</v>
      </c>
      <c r="Q159" s="30" t="n">
        <f aca="false">Q158+(2/13)*(E159-Q158)</f>
        <v>136.316665212098</v>
      </c>
      <c r="R159" s="30" t="n">
        <f aca="false">R158+(2/27)*(E159-R158)</f>
        <v>136.388393162082</v>
      </c>
      <c r="S159" s="33" t="n">
        <f aca="false">Q159-R159</f>
        <v>-0.0717279499835115</v>
      </c>
      <c r="T159" s="33" t="n">
        <f aca="false">T158+(2/10)*(S159-T158)</f>
        <v>-0.82231171783205</v>
      </c>
      <c r="U159" s="33" t="n">
        <f aca="false">S159-T159</f>
        <v>0.750583767848538</v>
      </c>
      <c r="V159" s="32" t="str">
        <f aca="false">IF(M159="","",IF(M159&lt;Assumptions!$B$5,"BUY",IF(M159&gt;Assumptions!$B$4,"SELL","HOLD")))</f>
        <v>HOLD</v>
      </c>
      <c r="W159" s="32" t="str">
        <f aca="false">IF(O159="","",IF(E159&gt;O159,"BUY","SELL"))</f>
        <v>BUY</v>
      </c>
      <c r="X159" s="32" t="str">
        <f aca="false">IF(T159="","",IF(S159&gt;T159,"BUY","SELL"))</f>
        <v>BUY</v>
      </c>
      <c r="Y159" s="34" t="n">
        <f aca="false">IF(OR(V159="",W159="",X159=""),"",IFERROR(IF(V159="BUY",1,IF(V159="SELL",-1,0))+IF(W159="BUY",1,IF(W159="SELL",-1,0))+IF(X159="BUY",1,IF(X159="SELL",-1,0)),0))</f>
        <v>2</v>
      </c>
      <c r="Z159" s="32" t="str">
        <f aca="false">IF(Y159="","",IF(Y159&gt;=2,"STRONG BUY",IF(Y159=1,"BUY",IF(Y159=0,"HOLD",IF(Y159=-1,"SELL","STRONG SELL")))))</f>
        <v>STRONG BUY</v>
      </c>
    </row>
    <row r="160" customFormat="false" ht="15" hidden="false" customHeight="false" outlineLevel="0" collapsed="false">
      <c r="A160" s="24" t="n">
        <v>45992</v>
      </c>
      <c r="B160" s="25" t="n">
        <v>142.62</v>
      </c>
      <c r="C160" s="25" t="n">
        <v>142.62</v>
      </c>
      <c r="D160" s="25" t="n">
        <v>141.94</v>
      </c>
      <c r="E160" s="25" t="n">
        <v>142.28</v>
      </c>
      <c r="F160" s="26" t="n">
        <v>10051410</v>
      </c>
      <c r="G160" s="27" t="n">
        <f aca="false">E160-E159</f>
        <v>1.91999999999999</v>
      </c>
      <c r="H160" s="28" t="n">
        <f aca="false">G160/E159</f>
        <v>0.0136791108577942</v>
      </c>
      <c r="I160" s="29" t="n">
        <f aca="false">MAX(G160,0)</f>
        <v>1.91999999999999</v>
      </c>
      <c r="J160" s="29" t="n">
        <f aca="false">MAX(-G160,0)</f>
        <v>0</v>
      </c>
      <c r="K160" s="29" t="n">
        <f aca="false">(K159*13+I160)/14</f>
        <v>1.01036259427627</v>
      </c>
      <c r="L160" s="29" t="n">
        <f aca="false">(L159*13+J160)/14</f>
        <v>0.591864940678544</v>
      </c>
      <c r="M160" s="31" t="n">
        <f aca="false">IF(L160=0,100,100-100/(1+K160/MAX(L160,0.000001)))</f>
        <v>63.059869602401</v>
      </c>
      <c r="N160" s="30" t="n">
        <f aca="false">AVERAGE(E141:E160)</f>
        <v>135.4435</v>
      </c>
      <c r="O160" s="30" t="n">
        <f aca="false">AVERAGE(E111:E160)</f>
        <v>138.3222</v>
      </c>
      <c r="Q160" s="30" t="n">
        <f aca="false">Q159+(2/13)*(E160-Q159)</f>
        <v>137.234101333314</v>
      </c>
      <c r="R160" s="30" t="n">
        <f aca="false">R159+(2/27)*(E160-R159)</f>
        <v>136.824808483409</v>
      </c>
      <c r="S160" s="33" t="n">
        <f aca="false">Q160-R160</f>
        <v>0.409292849904858</v>
      </c>
      <c r="T160" s="33" t="n">
        <f aca="false">T159+(2/10)*(S160-T159)</f>
        <v>-0.575990804284668</v>
      </c>
      <c r="U160" s="33" t="n">
        <f aca="false">S160-T160</f>
        <v>0.985283654189526</v>
      </c>
      <c r="V160" s="32" t="str">
        <f aca="false">IF(M160="","",IF(M160&lt;Assumptions!$B$5,"BUY",IF(M160&gt;Assumptions!$B$4,"SELL","HOLD")))</f>
        <v>HOLD</v>
      </c>
      <c r="W160" s="32" t="str">
        <f aca="false">IF(O160="","",IF(E160&gt;O160,"BUY","SELL"))</f>
        <v>BUY</v>
      </c>
      <c r="X160" s="32" t="str">
        <f aca="false">IF(T160="","",IF(S160&gt;T160,"BUY","SELL"))</f>
        <v>BUY</v>
      </c>
      <c r="Y160" s="34" t="n">
        <f aca="false">IF(OR(V160="",W160="",X160=""),"",IFERROR(IF(V160="BUY",1,IF(V160="SELL",-1,0))+IF(W160="BUY",1,IF(W160="SELL",-1,0))+IF(X160="BUY",1,IF(X160="SELL",-1,0)),0))</f>
        <v>2</v>
      </c>
      <c r="Z160" s="32" t="str">
        <f aca="false">IF(Y160="","",IF(Y160&gt;=2,"STRONG BUY",IF(Y160=1,"BUY",IF(Y160=0,"HOLD",IF(Y160=-1,"SELL","STRONG SELL")))))</f>
        <v>STRONG BUY</v>
      </c>
    </row>
    <row r="161" customFormat="false" ht="15" hidden="false" customHeight="false" outlineLevel="0" collapsed="false">
      <c r="A161" s="24" t="n">
        <v>45993</v>
      </c>
      <c r="B161" s="25" t="n">
        <v>140.16</v>
      </c>
      <c r="C161" s="25" t="n">
        <v>142</v>
      </c>
      <c r="D161" s="25" t="n">
        <v>139.78</v>
      </c>
      <c r="E161" s="25" t="n">
        <v>140.89</v>
      </c>
      <c r="F161" s="26" t="n">
        <v>13263263</v>
      </c>
      <c r="G161" s="27" t="n">
        <f aca="false">E161-E160</f>
        <v>-1.39000000000001</v>
      </c>
      <c r="H161" s="28" t="n">
        <f aca="false">G161/E160</f>
        <v>-0.00976946865335968</v>
      </c>
      <c r="I161" s="29" t="n">
        <f aca="false">MAX(G161,0)</f>
        <v>0</v>
      </c>
      <c r="J161" s="29" t="n">
        <f aca="false">MAX(-G161,0)</f>
        <v>1.39000000000001</v>
      </c>
      <c r="K161" s="29" t="n">
        <f aca="false">(K160*13+I161)/14</f>
        <v>0.938193837542248</v>
      </c>
      <c r="L161" s="29" t="n">
        <f aca="false">(L160*13+J161)/14</f>
        <v>0.648874587772935</v>
      </c>
      <c r="M161" s="31" t="n">
        <f aca="false">IF(L161=0,100,100-100/(1+K161/MAX(L161,0.000001)))</f>
        <v>59.1148952733987</v>
      </c>
      <c r="N161" s="30" t="n">
        <f aca="false">AVERAGE(E142:E161)</f>
        <v>135.7945</v>
      </c>
      <c r="O161" s="30" t="n">
        <f aca="false">AVERAGE(E112:E161)</f>
        <v>138.459</v>
      </c>
      <c r="Q161" s="30" t="n">
        <f aca="false">Q160+(2/13)*(E161-Q160)</f>
        <v>137.796547282035</v>
      </c>
      <c r="R161" s="30" t="n">
        <f aca="false">R160+(2/27)*(E161-R160)</f>
        <v>137.125933780934</v>
      </c>
      <c r="S161" s="33" t="n">
        <f aca="false">Q161-R161</f>
        <v>0.670613501100547</v>
      </c>
      <c r="T161" s="33" t="n">
        <f aca="false">T160+(2/10)*(S161-T160)</f>
        <v>-0.326669943207625</v>
      </c>
      <c r="U161" s="33" t="n">
        <f aca="false">S161-T161</f>
        <v>0.997283444308172</v>
      </c>
      <c r="V161" s="32" t="str">
        <f aca="false">IF(M161="","",IF(M161&lt;Assumptions!$B$5,"BUY",IF(M161&gt;Assumptions!$B$4,"SELL","HOLD")))</f>
        <v>HOLD</v>
      </c>
      <c r="W161" s="32" t="str">
        <f aca="false">IF(O161="","",IF(E161&gt;O161,"BUY","SELL"))</f>
        <v>BUY</v>
      </c>
      <c r="X161" s="32" t="str">
        <f aca="false">IF(T161="","",IF(S161&gt;T161,"BUY","SELL"))</f>
        <v>BUY</v>
      </c>
      <c r="Y161" s="34" t="n">
        <f aca="false">IF(OR(V161="",W161="",X161=""),"",IFERROR(IF(V161="BUY",1,IF(V161="SELL",-1,0))+IF(W161="BUY",1,IF(W161="SELL",-1,0))+IF(X161="BUY",1,IF(X161="SELL",-1,0)),0))</f>
        <v>2</v>
      </c>
      <c r="Z161" s="32" t="str">
        <f aca="false">IF(Y161="","",IF(Y161&gt;=2,"STRONG BUY",IF(Y161=1,"BUY",IF(Y161=0,"HOLD",IF(Y161=-1,"SELL","STRONG SELL")))))</f>
        <v>STRONG BUY</v>
      </c>
    </row>
    <row r="162" customFormat="false" ht="15" hidden="false" customHeight="false" outlineLevel="0" collapsed="false">
      <c r="A162" s="24" t="n">
        <v>45994</v>
      </c>
      <c r="B162" s="25" t="n">
        <v>145.13</v>
      </c>
      <c r="C162" s="25" t="n">
        <v>146.59</v>
      </c>
      <c r="D162" s="25" t="n">
        <v>143.59</v>
      </c>
      <c r="E162" s="25" t="n">
        <v>145.09</v>
      </c>
      <c r="F162" s="26" t="n">
        <v>15033467</v>
      </c>
      <c r="G162" s="27" t="n">
        <f aca="false">E162-E161</f>
        <v>4.20000000000002</v>
      </c>
      <c r="H162" s="28" t="n">
        <f aca="false">G162/E161</f>
        <v>0.0298104904535454</v>
      </c>
      <c r="I162" s="29" t="n">
        <f aca="false">MAX(G162,0)</f>
        <v>4.20000000000002</v>
      </c>
      <c r="J162" s="29" t="n">
        <f aca="false">MAX(-G162,0)</f>
        <v>0</v>
      </c>
      <c r="K162" s="29" t="n">
        <f aca="false">(K161*13+I162)/14</f>
        <v>1.17117999200352</v>
      </c>
      <c r="L162" s="29" t="n">
        <f aca="false">(L161*13+J162)/14</f>
        <v>0.602526402932011</v>
      </c>
      <c r="M162" s="31" t="n">
        <f aca="false">IF(L162=0,100,100-100/(1+K162/MAX(L162,0.000001)))</f>
        <v>66.0300935570618</v>
      </c>
      <c r="N162" s="30" t="n">
        <f aca="false">AVERAGE(E143:E162)</f>
        <v>136.3435</v>
      </c>
      <c r="O162" s="30" t="n">
        <f aca="false">AVERAGE(E113:E162)</f>
        <v>138.6366</v>
      </c>
      <c r="Q162" s="30" t="n">
        <f aca="false">Q161+(2/13)*(E162-Q161)</f>
        <v>138.918616930953</v>
      </c>
      <c r="R162" s="30" t="n">
        <f aca="false">R161+(2/27)*(E162-R161)</f>
        <v>137.715864611976</v>
      </c>
      <c r="S162" s="33" t="n">
        <f aca="false">Q162-R162</f>
        <v>1.20275231897637</v>
      </c>
      <c r="T162" s="33" t="n">
        <f aca="false">T161+(2/10)*(S162-T161)</f>
        <v>-0.0207854907708268</v>
      </c>
      <c r="U162" s="33" t="n">
        <f aca="false">S162-T162</f>
        <v>1.22353780974719</v>
      </c>
      <c r="V162" s="32" t="str">
        <f aca="false">IF(M162="","",IF(M162&lt;Assumptions!$B$5,"BUY",IF(M162&gt;Assumptions!$B$4,"SELL","HOLD")))</f>
        <v>HOLD</v>
      </c>
      <c r="W162" s="32" t="str">
        <f aca="false">IF(O162="","",IF(E162&gt;O162,"BUY","SELL"))</f>
        <v>BUY</v>
      </c>
      <c r="X162" s="32" t="str">
        <f aca="false">IF(T162="","",IF(S162&gt;T162,"BUY","SELL"))</f>
        <v>BUY</v>
      </c>
      <c r="Y162" s="34" t="n">
        <f aca="false">IF(OR(V162="",W162="",X162=""),"",IFERROR(IF(V162="BUY",1,IF(V162="SELL",-1,0))+IF(W162="BUY",1,IF(W162="SELL",-1,0))+IF(X162="BUY",1,IF(X162="SELL",-1,0)),0))</f>
        <v>2</v>
      </c>
      <c r="Z162" s="32" t="str">
        <f aca="false">IF(Y162="","",IF(Y162&gt;=2,"STRONG BUY",IF(Y162=1,"BUY",IF(Y162=0,"HOLD",IF(Y162=-1,"SELL","STRONG SELL")))))</f>
        <v>STRONG BUY</v>
      </c>
    </row>
    <row r="163" customFormat="false" ht="15" hidden="false" customHeight="false" outlineLevel="0" collapsed="false">
      <c r="A163" s="24" t="n">
        <v>45995</v>
      </c>
      <c r="B163" s="25" t="n">
        <v>146.03</v>
      </c>
      <c r="C163" s="25" t="n">
        <v>147.77</v>
      </c>
      <c r="D163" s="25" t="n">
        <v>144.23</v>
      </c>
      <c r="E163" s="25" t="n">
        <v>146</v>
      </c>
      <c r="F163" s="26" t="n">
        <v>8857077</v>
      </c>
      <c r="G163" s="27" t="n">
        <f aca="false">E163-E162</f>
        <v>0.909999999999997</v>
      </c>
      <c r="H163" s="28" t="n">
        <f aca="false">G163/E162</f>
        <v>0.00627196912261353</v>
      </c>
      <c r="I163" s="29" t="n">
        <f aca="false">MAX(G163,0)</f>
        <v>0.909999999999997</v>
      </c>
      <c r="J163" s="29" t="n">
        <f aca="false">MAX(-G163,0)</f>
        <v>0</v>
      </c>
      <c r="K163" s="29" t="n">
        <f aca="false">(K162*13+I163)/14</f>
        <v>1.15252427828898</v>
      </c>
      <c r="L163" s="29" t="n">
        <f aca="false">(L162*13+J163)/14</f>
        <v>0.559488802722581</v>
      </c>
      <c r="M163" s="31" t="n">
        <f aca="false">IF(L163=0,100,100-100/(1+K163/MAX(L163,0.000001)))</f>
        <v>67.3198289821476</v>
      </c>
      <c r="N163" s="30" t="n">
        <f aca="false">AVERAGE(E144:E163)</f>
        <v>136.933</v>
      </c>
      <c r="O163" s="30" t="n">
        <f aca="false">AVERAGE(E114:E163)</f>
        <v>138.8288</v>
      </c>
      <c r="Q163" s="30" t="n">
        <f aca="false">Q162+(2/13)*(E163-Q162)</f>
        <v>140.008060480037</v>
      </c>
      <c r="R163" s="30" t="n">
        <f aca="false">R162+(2/27)*(E163-R162)</f>
        <v>138.329504270348</v>
      </c>
      <c r="S163" s="33" t="n">
        <f aca="false">Q163-R163</f>
        <v>1.67855620968845</v>
      </c>
      <c r="T163" s="33" t="n">
        <f aca="false">T162+(2/10)*(S163-T162)</f>
        <v>0.319082849321029</v>
      </c>
      <c r="U163" s="33" t="n">
        <f aca="false">S163-T163</f>
        <v>1.35947336036742</v>
      </c>
      <c r="V163" s="32" t="str">
        <f aca="false">IF(M163="","",IF(M163&lt;Assumptions!$B$5,"BUY",IF(M163&gt;Assumptions!$B$4,"SELL","HOLD")))</f>
        <v>HOLD</v>
      </c>
      <c r="W163" s="32" t="str">
        <f aca="false">IF(O163="","",IF(E163&gt;O163,"BUY","SELL"))</f>
        <v>BUY</v>
      </c>
      <c r="X163" s="32" t="str">
        <f aca="false">IF(T163="","",IF(S163&gt;T163,"BUY","SELL"))</f>
        <v>BUY</v>
      </c>
      <c r="Y163" s="34" t="n">
        <f aca="false">IF(OR(V163="",W163="",X163=""),"",IFERROR(IF(V163="BUY",1,IF(V163="SELL",-1,0))+IF(W163="BUY",1,IF(W163="SELL",-1,0))+IF(X163="BUY",1,IF(X163="SELL",-1,0)),0))</f>
        <v>2</v>
      </c>
      <c r="Z163" s="32" t="str">
        <f aca="false">IF(Y163="","",IF(Y163&gt;=2,"STRONG BUY",IF(Y163=1,"BUY",IF(Y163=0,"HOLD",IF(Y163=-1,"SELL","STRONG SELL")))))</f>
        <v>STRONG BUY</v>
      </c>
    </row>
    <row r="164" customFormat="false" ht="15" hidden="false" customHeight="false" outlineLevel="0" collapsed="false">
      <c r="A164" s="24" t="n">
        <v>45996</v>
      </c>
      <c r="B164" s="25" t="n">
        <v>144.14</v>
      </c>
      <c r="C164" s="25" t="n">
        <v>145.01</v>
      </c>
      <c r="D164" s="25" t="n">
        <v>143.23</v>
      </c>
      <c r="E164" s="25" t="n">
        <v>144.12</v>
      </c>
      <c r="F164" s="26" t="n">
        <v>12413019</v>
      </c>
      <c r="G164" s="27" t="n">
        <f aca="false">E164-E163</f>
        <v>-1.88</v>
      </c>
      <c r="H164" s="28" t="n">
        <f aca="false">G164/E163</f>
        <v>-0.0128767123287671</v>
      </c>
      <c r="I164" s="29" t="n">
        <f aca="false">MAX(G164,0)</f>
        <v>0</v>
      </c>
      <c r="J164" s="29" t="n">
        <f aca="false">MAX(-G164,0)</f>
        <v>1.88</v>
      </c>
      <c r="K164" s="29" t="n">
        <f aca="false">(K163*13+I164)/14</f>
        <v>1.07020111555405</v>
      </c>
      <c r="L164" s="29" t="n">
        <f aca="false">(L163*13+J164)/14</f>
        <v>0.653811031099539</v>
      </c>
      <c r="M164" s="31" t="n">
        <f aca="false">IF(L164=0,100,100-100/(1+K164/MAX(L164,0.000001)))</f>
        <v>62.0761934671618</v>
      </c>
      <c r="N164" s="30" t="n">
        <f aca="false">AVERAGE(E145:E164)</f>
        <v>137.379</v>
      </c>
      <c r="O164" s="30" t="n">
        <f aca="false">AVERAGE(E115:E164)</f>
        <v>138.9982</v>
      </c>
      <c r="Q164" s="30" t="n">
        <f aca="false">Q163+(2/13)*(E164-Q163)</f>
        <v>140.640666560031</v>
      </c>
      <c r="R164" s="30" t="n">
        <f aca="false">R163+(2/27)*(E164-R163)</f>
        <v>138.758429879952</v>
      </c>
      <c r="S164" s="33" t="n">
        <f aca="false">Q164-R164</f>
        <v>1.88223668007896</v>
      </c>
      <c r="T164" s="33" t="n">
        <f aca="false">T163+(2/10)*(S164-T163)</f>
        <v>0.631713615472615</v>
      </c>
      <c r="U164" s="33" t="n">
        <f aca="false">S164-T164</f>
        <v>1.25052306460635</v>
      </c>
      <c r="V164" s="32" t="str">
        <f aca="false">IF(M164="","",IF(M164&lt;Assumptions!$B$5,"BUY",IF(M164&gt;Assumptions!$B$4,"SELL","HOLD")))</f>
        <v>HOLD</v>
      </c>
      <c r="W164" s="32" t="str">
        <f aca="false">IF(O164="","",IF(E164&gt;O164,"BUY","SELL"))</f>
        <v>BUY</v>
      </c>
      <c r="X164" s="32" t="str">
        <f aca="false">IF(T164="","",IF(S164&gt;T164,"BUY","SELL"))</f>
        <v>BUY</v>
      </c>
      <c r="Y164" s="34" t="n">
        <f aca="false">IF(OR(V164="",W164="",X164=""),"",IFERROR(IF(V164="BUY",1,IF(V164="SELL",-1,0))+IF(W164="BUY",1,IF(W164="SELL",-1,0))+IF(X164="BUY",1,IF(X164="SELL",-1,0)),0))</f>
        <v>2</v>
      </c>
      <c r="Z164" s="32" t="str">
        <f aca="false">IF(Y164="","",IF(Y164&gt;=2,"STRONG BUY",IF(Y164=1,"BUY",IF(Y164=0,"HOLD",IF(Y164=-1,"SELL","STRONG SELL")))))</f>
        <v>STRONG BUY</v>
      </c>
    </row>
    <row r="165" customFormat="false" ht="15" hidden="false" customHeight="false" outlineLevel="0" collapsed="false">
      <c r="A165" s="24" t="n">
        <v>45999</v>
      </c>
      <c r="B165" s="25" t="n">
        <v>149.25</v>
      </c>
      <c r="C165" s="25" t="n">
        <v>149.42</v>
      </c>
      <c r="D165" s="25" t="n">
        <v>147.78</v>
      </c>
      <c r="E165" s="25" t="n">
        <v>148.6</v>
      </c>
      <c r="F165" s="26" t="n">
        <v>4725057</v>
      </c>
      <c r="G165" s="27" t="n">
        <f aca="false">E165-E164</f>
        <v>4.47999999999999</v>
      </c>
      <c r="H165" s="28" t="n">
        <f aca="false">G165/E164</f>
        <v>0.0310852067721343</v>
      </c>
      <c r="I165" s="29" t="n">
        <f aca="false">MAX(G165,0)</f>
        <v>4.47999999999999</v>
      </c>
      <c r="J165" s="29" t="n">
        <f aca="false">MAX(-G165,0)</f>
        <v>0</v>
      </c>
      <c r="K165" s="29" t="n">
        <f aca="false">(K164*13+I165)/14</f>
        <v>1.31375817872876</v>
      </c>
      <c r="L165" s="29" t="n">
        <f aca="false">(L164*13+J165)/14</f>
        <v>0.607110243163858</v>
      </c>
      <c r="M165" s="31" t="n">
        <f aca="false">IF(L165=0,100,100-100/(1+K165/MAX(L165,0.000001)))</f>
        <v>68.3939703394324</v>
      </c>
      <c r="N165" s="30" t="n">
        <f aca="false">AVERAGE(E146:E165)</f>
        <v>137.9565</v>
      </c>
      <c r="O165" s="30" t="n">
        <f aca="false">AVERAGE(E116:E165)</f>
        <v>139.1592</v>
      </c>
      <c r="Q165" s="30" t="n">
        <f aca="false">Q164+(2/13)*(E165-Q164)</f>
        <v>141.865179396949</v>
      </c>
      <c r="R165" s="30" t="n">
        <f aca="false">R164+(2/27)*(E165-R164)</f>
        <v>139.48743507403</v>
      </c>
      <c r="S165" s="33" t="n">
        <f aca="false">Q165-R165</f>
        <v>2.37774432291963</v>
      </c>
      <c r="T165" s="33" t="n">
        <f aca="false">T164+(2/10)*(S165-T164)</f>
        <v>0.980919756962017</v>
      </c>
      <c r="U165" s="33" t="n">
        <f aca="false">S165-T165</f>
        <v>1.39682456595761</v>
      </c>
      <c r="V165" s="32" t="str">
        <f aca="false">IF(M165="","",IF(M165&lt;Assumptions!$B$5,"BUY",IF(M165&gt;Assumptions!$B$4,"SELL","HOLD")))</f>
        <v>HOLD</v>
      </c>
      <c r="W165" s="32" t="str">
        <f aca="false">IF(O165="","",IF(E165&gt;O165,"BUY","SELL"))</f>
        <v>BUY</v>
      </c>
      <c r="X165" s="32" t="str">
        <f aca="false">IF(T165="","",IF(S165&gt;T165,"BUY","SELL"))</f>
        <v>BUY</v>
      </c>
      <c r="Y165" s="34" t="n">
        <f aca="false">IF(OR(V165="",W165="",X165=""),"",IFERROR(IF(V165="BUY",1,IF(V165="SELL",-1,0))+IF(W165="BUY",1,IF(W165="SELL",-1,0))+IF(X165="BUY",1,IF(X165="SELL",-1,0)),0))</f>
        <v>2</v>
      </c>
      <c r="Z165" s="32" t="str">
        <f aca="false">IF(Y165="","",IF(Y165&gt;=2,"STRONG BUY",IF(Y165=1,"BUY",IF(Y165=0,"HOLD",IF(Y165=-1,"SELL","STRONG SELL")))))</f>
        <v>STRONG BUY</v>
      </c>
    </row>
    <row r="166" customFormat="false" ht="15" hidden="false" customHeight="false" outlineLevel="0" collapsed="false">
      <c r="A166" s="24" t="n">
        <v>46000</v>
      </c>
      <c r="B166" s="25" t="n">
        <v>145.87</v>
      </c>
      <c r="C166" s="25" t="n">
        <v>145.93</v>
      </c>
      <c r="D166" s="25" t="n">
        <v>145.83</v>
      </c>
      <c r="E166" s="25" t="n">
        <v>145.88</v>
      </c>
      <c r="F166" s="26" t="n">
        <v>7507806</v>
      </c>
      <c r="G166" s="27" t="n">
        <f aca="false">E166-E165</f>
        <v>-2.72</v>
      </c>
      <c r="H166" s="28" t="n">
        <f aca="false">G166/E165</f>
        <v>-0.0183041722745626</v>
      </c>
      <c r="I166" s="29" t="n">
        <f aca="false">MAX(G166,0)</f>
        <v>0</v>
      </c>
      <c r="J166" s="29" t="n">
        <f aca="false">MAX(-G166,0)</f>
        <v>2.72</v>
      </c>
      <c r="K166" s="29" t="n">
        <f aca="false">(K165*13+I166)/14</f>
        <v>1.21991830881957</v>
      </c>
      <c r="L166" s="29" t="n">
        <f aca="false">(L165*13+J166)/14</f>
        <v>0.758030940080725</v>
      </c>
      <c r="M166" s="31" t="n">
        <f aca="false">IF(L166=0,100,100-100/(1+K166/MAX(L166,0.000001)))</f>
        <v>61.6759155725467</v>
      </c>
      <c r="N166" s="30" t="n">
        <f aca="false">AVERAGE(E147:E166)</f>
        <v>138.5385</v>
      </c>
      <c r="O166" s="30" t="n">
        <f aca="false">AVERAGE(E117:E166)</f>
        <v>139.1982</v>
      </c>
      <c r="Q166" s="30" t="n">
        <f aca="false">Q165+(2/13)*(E166-Q165)</f>
        <v>142.482844105111</v>
      </c>
      <c r="R166" s="30" t="n">
        <f aca="false">R165+(2/27)*(E166-R165)</f>
        <v>139.960958401879</v>
      </c>
      <c r="S166" s="33" t="n">
        <f aca="false">Q166-R166</f>
        <v>2.52188570323162</v>
      </c>
      <c r="T166" s="33" t="n">
        <f aca="false">T165+(2/10)*(S166-T165)</f>
        <v>1.28911294621594</v>
      </c>
      <c r="U166" s="33" t="n">
        <f aca="false">S166-T166</f>
        <v>1.23277275701568</v>
      </c>
      <c r="V166" s="32" t="str">
        <f aca="false">IF(M166="","",IF(M166&lt;Assumptions!$B$5,"BUY",IF(M166&gt;Assumptions!$B$4,"SELL","HOLD")))</f>
        <v>HOLD</v>
      </c>
      <c r="W166" s="32" t="str">
        <f aca="false">IF(O166="","",IF(E166&gt;O166,"BUY","SELL"))</f>
        <v>BUY</v>
      </c>
      <c r="X166" s="32" t="str">
        <f aca="false">IF(T166="","",IF(S166&gt;T166,"BUY","SELL"))</f>
        <v>BUY</v>
      </c>
      <c r="Y166" s="34" t="n">
        <f aca="false">IF(OR(V166="",W166="",X166=""),"",IFERROR(IF(V166="BUY",1,IF(V166="SELL",-1,0))+IF(W166="BUY",1,IF(W166="SELL",-1,0))+IF(X166="BUY",1,IF(X166="SELL",-1,0)),0))</f>
        <v>2</v>
      </c>
      <c r="Z166" s="32" t="str">
        <f aca="false">IF(Y166="","",IF(Y166&gt;=2,"STRONG BUY",IF(Y166=1,"BUY",IF(Y166=0,"HOLD",IF(Y166=-1,"SELL","STRONG SELL")))))</f>
        <v>STRONG BUY</v>
      </c>
    </row>
    <row r="167" customFormat="false" ht="15" hidden="false" customHeight="false" outlineLevel="0" collapsed="false">
      <c r="A167" s="24" t="n">
        <v>46001</v>
      </c>
      <c r="B167" s="25" t="n">
        <v>144.22</v>
      </c>
      <c r="C167" s="25" t="n">
        <v>145.67</v>
      </c>
      <c r="D167" s="25" t="n">
        <v>142.85</v>
      </c>
      <c r="E167" s="25" t="n">
        <v>144.26</v>
      </c>
      <c r="F167" s="26" t="n">
        <v>10052324</v>
      </c>
      <c r="G167" s="27" t="n">
        <f aca="false">E167-E166</f>
        <v>-1.62</v>
      </c>
      <c r="H167" s="28" t="n">
        <f aca="false">G167/E166</f>
        <v>-0.0111050178228681</v>
      </c>
      <c r="I167" s="29" t="n">
        <f aca="false">MAX(G167,0)</f>
        <v>0</v>
      </c>
      <c r="J167" s="29" t="n">
        <f aca="false">MAX(-G167,0)</f>
        <v>1.62</v>
      </c>
      <c r="K167" s="29" t="n">
        <f aca="false">(K166*13+I167)/14</f>
        <v>1.13278128676103</v>
      </c>
      <c r="L167" s="29" t="n">
        <f aca="false">(L166*13+J167)/14</f>
        <v>0.819600158646388</v>
      </c>
      <c r="M167" s="31" t="n">
        <f aca="false">IF(L167=0,100,100-100/(1+K167/MAX(L167,0.000001)))</f>
        <v>58.0204902799945</v>
      </c>
      <c r="N167" s="30" t="n">
        <f aca="false">AVERAGE(E148:E167)</f>
        <v>138.977</v>
      </c>
      <c r="O167" s="30" t="n">
        <f aca="false">AVERAGE(E118:E167)</f>
        <v>139.1972</v>
      </c>
      <c r="Q167" s="30" t="n">
        <f aca="false">Q166+(2/13)*(E167-Q166)</f>
        <v>142.756252704325</v>
      </c>
      <c r="R167" s="30" t="n">
        <f aca="false">R166+(2/27)*(E167-R166)</f>
        <v>140.279405927666</v>
      </c>
      <c r="S167" s="33" t="n">
        <f aca="false">Q167-R167</f>
        <v>2.47684677665862</v>
      </c>
      <c r="T167" s="33" t="n">
        <f aca="false">T166+(2/10)*(S167-T166)</f>
        <v>1.52665971230447</v>
      </c>
      <c r="U167" s="33" t="n">
        <f aca="false">S167-T167</f>
        <v>0.950187064354145</v>
      </c>
      <c r="V167" s="32" t="str">
        <f aca="false">IF(M167="","",IF(M167&lt;Assumptions!$B$5,"BUY",IF(M167&gt;Assumptions!$B$4,"SELL","HOLD")))</f>
        <v>HOLD</v>
      </c>
      <c r="W167" s="32" t="str">
        <f aca="false">IF(O167="","",IF(E167&gt;O167,"BUY","SELL"))</f>
        <v>BUY</v>
      </c>
      <c r="X167" s="32" t="str">
        <f aca="false">IF(T167="","",IF(S167&gt;T167,"BUY","SELL"))</f>
        <v>BUY</v>
      </c>
      <c r="Y167" s="34" t="n">
        <f aca="false">IF(OR(V167="",W167="",X167=""),"",IFERROR(IF(V167="BUY",1,IF(V167="SELL",-1,0))+IF(W167="BUY",1,IF(W167="SELL",-1,0))+IF(X167="BUY",1,IF(X167="SELL",-1,0)),0))</f>
        <v>2</v>
      </c>
      <c r="Z167" s="32" t="str">
        <f aca="false">IF(Y167="","",IF(Y167&gt;=2,"STRONG BUY",IF(Y167=1,"BUY",IF(Y167=0,"HOLD",IF(Y167=-1,"SELL","STRONG SELL")))))</f>
        <v>STRONG BUY</v>
      </c>
    </row>
    <row r="168" customFormat="false" ht="15" hidden="false" customHeight="false" outlineLevel="0" collapsed="false">
      <c r="A168" s="24" t="n">
        <v>46002</v>
      </c>
      <c r="B168" s="25" t="n">
        <v>143.76</v>
      </c>
      <c r="C168" s="25" t="n">
        <v>144.47</v>
      </c>
      <c r="D168" s="25" t="n">
        <v>143.21</v>
      </c>
      <c r="E168" s="25" t="n">
        <v>143.84</v>
      </c>
      <c r="F168" s="26" t="n">
        <v>10525698</v>
      </c>
      <c r="G168" s="27" t="n">
        <f aca="false">E168-E167</f>
        <v>-0.419999999999988</v>
      </c>
      <c r="H168" s="28" t="n">
        <f aca="false">G168/E167</f>
        <v>-0.00291140995424919</v>
      </c>
      <c r="I168" s="29" t="n">
        <f aca="false">MAX(G168,0)</f>
        <v>0</v>
      </c>
      <c r="J168" s="29" t="n">
        <f aca="false">MAX(-G168,0)</f>
        <v>0.419999999999988</v>
      </c>
      <c r="K168" s="29" t="n">
        <f aca="false">(K167*13+I168)/14</f>
        <v>1.05186833770667</v>
      </c>
      <c r="L168" s="29" t="n">
        <f aca="false">(L167*13+J168)/14</f>
        <v>0.791057290171645</v>
      </c>
      <c r="M168" s="31" t="n">
        <f aca="false">IF(L168=0,100,100-100/(1+K168/MAX(L168,0.000001)))</f>
        <v>57.0760057701103</v>
      </c>
      <c r="N168" s="30" t="n">
        <f aca="false">AVERAGE(E149:E168)</f>
        <v>139.5515</v>
      </c>
      <c r="O168" s="30" t="n">
        <f aca="false">AVERAGE(E119:E168)</f>
        <v>139.2186</v>
      </c>
      <c r="Q168" s="30" t="n">
        <f aca="false">Q167+(2/13)*(E168-Q167)</f>
        <v>142.922983057506</v>
      </c>
      <c r="R168" s="30" t="n">
        <f aca="false">R167+(2/27)*(E168-R167)</f>
        <v>140.543153636728</v>
      </c>
      <c r="S168" s="33" t="n">
        <f aca="false">Q168-R168</f>
        <v>2.37982942077767</v>
      </c>
      <c r="T168" s="33" t="n">
        <f aca="false">T167+(2/10)*(S168-T167)</f>
        <v>1.69729365399911</v>
      </c>
      <c r="U168" s="33" t="n">
        <f aca="false">S168-T168</f>
        <v>0.682535766778555</v>
      </c>
      <c r="V168" s="32" t="str">
        <f aca="false">IF(M168="","",IF(M168&lt;Assumptions!$B$5,"BUY",IF(M168&gt;Assumptions!$B$4,"SELL","HOLD")))</f>
        <v>HOLD</v>
      </c>
      <c r="W168" s="32" t="str">
        <f aca="false">IF(O168="","",IF(E168&gt;O168,"BUY","SELL"))</f>
        <v>BUY</v>
      </c>
      <c r="X168" s="32" t="str">
        <f aca="false">IF(T168="","",IF(S168&gt;T168,"BUY","SELL"))</f>
        <v>BUY</v>
      </c>
      <c r="Y168" s="34" t="n">
        <f aca="false">IF(OR(V168="",W168="",X168=""),"",IFERROR(IF(V168="BUY",1,IF(V168="SELL",-1,0))+IF(W168="BUY",1,IF(W168="SELL",-1,0))+IF(X168="BUY",1,IF(X168="SELL",-1,0)),0))</f>
        <v>2</v>
      </c>
      <c r="Z168" s="32" t="str">
        <f aca="false">IF(Y168="","",IF(Y168&gt;=2,"STRONG BUY",IF(Y168=1,"BUY",IF(Y168=0,"HOLD",IF(Y168=-1,"SELL","STRONG SELL")))))</f>
        <v>STRONG BUY</v>
      </c>
    </row>
    <row r="169" customFormat="false" ht="15" hidden="false" customHeight="false" outlineLevel="0" collapsed="false">
      <c r="A169" s="24" t="n">
        <v>46003</v>
      </c>
      <c r="B169" s="25" t="n">
        <v>142.04</v>
      </c>
      <c r="C169" s="25" t="n">
        <v>142.04</v>
      </c>
      <c r="D169" s="25" t="n">
        <v>142.02</v>
      </c>
      <c r="E169" s="25" t="n">
        <v>142.03</v>
      </c>
      <c r="F169" s="26" t="n">
        <v>11873458</v>
      </c>
      <c r="G169" s="27" t="n">
        <f aca="false">E169-E168</f>
        <v>-1.81</v>
      </c>
      <c r="H169" s="28" t="n">
        <f aca="false">G169/E168</f>
        <v>-0.012583426028921</v>
      </c>
      <c r="I169" s="29" t="n">
        <f aca="false">MAX(G169,0)</f>
        <v>0</v>
      </c>
      <c r="J169" s="29" t="n">
        <f aca="false">MAX(-G169,0)</f>
        <v>1.81</v>
      </c>
      <c r="K169" s="29" t="n">
        <f aca="false">(K168*13+I169)/14</f>
        <v>0.976734885013333</v>
      </c>
      <c r="L169" s="29" t="n">
        <f aca="false">(L168*13+J169)/14</f>
        <v>0.863838912302242</v>
      </c>
      <c r="M169" s="31" t="n">
        <f aca="false">IF(L169=0,100,100-100/(1+K169/MAX(L169,0.000001)))</f>
        <v>53.0668689534684</v>
      </c>
      <c r="N169" s="30" t="n">
        <f aca="false">AVERAGE(E150:E169)</f>
        <v>140.103</v>
      </c>
      <c r="O169" s="30" t="n">
        <f aca="false">AVERAGE(E120:E169)</f>
        <v>139.2626</v>
      </c>
      <c r="Q169" s="30" t="n">
        <f aca="false">Q168+(2/13)*(E169-Q168)</f>
        <v>142.785601048659</v>
      </c>
      <c r="R169" s="30" t="n">
        <f aca="false">R168+(2/27)*(E169-R168)</f>
        <v>140.653290404378</v>
      </c>
      <c r="S169" s="33" t="n">
        <f aca="false">Q169-R169</f>
        <v>2.13231064428089</v>
      </c>
      <c r="T169" s="33" t="n">
        <f aca="false">T168+(2/10)*(S169-T168)</f>
        <v>1.78429705205547</v>
      </c>
      <c r="U169" s="33" t="n">
        <f aca="false">S169-T169</f>
        <v>0.348013592225424</v>
      </c>
      <c r="V169" s="32" t="str">
        <f aca="false">IF(M169="","",IF(M169&lt;Assumptions!$B$5,"BUY",IF(M169&gt;Assumptions!$B$4,"SELL","HOLD")))</f>
        <v>HOLD</v>
      </c>
      <c r="W169" s="32" t="str">
        <f aca="false">IF(O169="","",IF(E169&gt;O169,"BUY","SELL"))</f>
        <v>BUY</v>
      </c>
      <c r="X169" s="32" t="str">
        <f aca="false">IF(T169="","",IF(S169&gt;T169,"BUY","SELL"))</f>
        <v>BUY</v>
      </c>
      <c r="Y169" s="34" t="n">
        <f aca="false">IF(OR(V169="",W169="",X169=""),"",IFERROR(IF(V169="BUY",1,IF(V169="SELL",-1,0))+IF(W169="BUY",1,IF(W169="SELL",-1,0))+IF(X169="BUY",1,IF(X169="SELL",-1,0)),0))</f>
        <v>2</v>
      </c>
      <c r="Z169" s="32" t="str">
        <f aca="false">IF(Y169="","",IF(Y169&gt;=2,"STRONG BUY",IF(Y169=1,"BUY",IF(Y169=0,"HOLD",IF(Y169=-1,"SELL","STRONG SELL")))))</f>
        <v>STRONG BUY</v>
      </c>
    </row>
    <row r="170" customFormat="false" ht="15" hidden="false" customHeight="false" outlineLevel="0" collapsed="false">
      <c r="A170" s="24" t="n">
        <v>46006</v>
      </c>
      <c r="B170" s="25" t="n">
        <v>143.73</v>
      </c>
      <c r="C170" s="25" t="n">
        <v>144.63</v>
      </c>
      <c r="D170" s="25" t="n">
        <v>141.41</v>
      </c>
      <c r="E170" s="25" t="n">
        <v>143.02</v>
      </c>
      <c r="F170" s="26" t="n">
        <v>16063848</v>
      </c>
      <c r="G170" s="27" t="n">
        <f aca="false">E170-E169</f>
        <v>0.990000000000009</v>
      </c>
      <c r="H170" s="28" t="n">
        <f aca="false">G170/E169</f>
        <v>0.00697035837499126</v>
      </c>
      <c r="I170" s="29" t="n">
        <f aca="false">MAX(G170,0)</f>
        <v>0.990000000000009</v>
      </c>
      <c r="J170" s="29" t="n">
        <f aca="false">MAX(-G170,0)</f>
        <v>0</v>
      </c>
      <c r="K170" s="29" t="n">
        <f aca="false">(K169*13+I170)/14</f>
        <v>0.977682393226667</v>
      </c>
      <c r="L170" s="29" t="n">
        <f aca="false">(L169*13+J170)/14</f>
        <v>0.802136132852082</v>
      </c>
      <c r="M170" s="31" t="n">
        <f aca="false">IF(L170=0,100,100-100/(1+K170/MAX(L170,0.000001)))</f>
        <v>54.931577512044</v>
      </c>
      <c r="N170" s="30" t="n">
        <f aca="false">AVERAGE(E151:E170)</f>
        <v>140.6165</v>
      </c>
      <c r="O170" s="30" t="n">
        <f aca="false">AVERAGE(E121:E170)</f>
        <v>139.3114</v>
      </c>
      <c r="Q170" s="30" t="n">
        <f aca="false">Q169+(2/13)*(E170-Q169)</f>
        <v>142.821662425788</v>
      </c>
      <c r="R170" s="30" t="n">
        <f aca="false">R169+(2/27)*(E170-R169)</f>
        <v>140.828602226276</v>
      </c>
      <c r="S170" s="33" t="n">
        <f aca="false">Q170-R170</f>
        <v>1.99306019951237</v>
      </c>
      <c r="T170" s="33" t="n">
        <f aca="false">T169+(2/10)*(S170-T169)</f>
        <v>1.82604968154685</v>
      </c>
      <c r="U170" s="33" t="n">
        <f aca="false">S170-T170</f>
        <v>0.167010517965522</v>
      </c>
      <c r="V170" s="32" t="str">
        <f aca="false">IF(M170="","",IF(M170&lt;Assumptions!$B$5,"BUY",IF(M170&gt;Assumptions!$B$4,"SELL","HOLD")))</f>
        <v>HOLD</v>
      </c>
      <c r="W170" s="32" t="str">
        <f aca="false">IF(O170="","",IF(E170&gt;O170,"BUY","SELL"))</f>
        <v>BUY</v>
      </c>
      <c r="X170" s="32" t="str">
        <f aca="false">IF(T170="","",IF(S170&gt;T170,"BUY","SELL"))</f>
        <v>BUY</v>
      </c>
      <c r="Y170" s="34" t="n">
        <f aca="false">IF(OR(V170="",W170="",X170=""),"",IFERROR(IF(V170="BUY",1,IF(V170="SELL",-1,0))+IF(W170="BUY",1,IF(W170="SELL",-1,0))+IF(X170="BUY",1,IF(X170="SELL",-1,0)),0))</f>
        <v>2</v>
      </c>
      <c r="Z170" s="32" t="str">
        <f aca="false">IF(Y170="","",IF(Y170&gt;=2,"STRONG BUY",IF(Y170=1,"BUY",IF(Y170=0,"HOLD",IF(Y170=-1,"SELL","STRONG SELL")))))</f>
        <v>STRONG BUY</v>
      </c>
    </row>
    <row r="171" customFormat="false" ht="15" hidden="false" customHeight="false" outlineLevel="0" collapsed="false">
      <c r="A171" s="24" t="n">
        <v>46007</v>
      </c>
      <c r="B171" s="25" t="n">
        <v>143.38</v>
      </c>
      <c r="C171" s="25" t="n">
        <v>144.18</v>
      </c>
      <c r="D171" s="25" t="n">
        <v>142.92</v>
      </c>
      <c r="E171" s="25" t="n">
        <v>143.55</v>
      </c>
      <c r="F171" s="26" t="n">
        <v>8137156</v>
      </c>
      <c r="G171" s="27" t="n">
        <f aca="false">E171-E170</f>
        <v>0.530000000000001</v>
      </c>
      <c r="H171" s="28" t="n">
        <f aca="false">G171/E170</f>
        <v>0.00370577541602574</v>
      </c>
      <c r="I171" s="29" t="n">
        <f aca="false">MAX(G171,0)</f>
        <v>0.530000000000001</v>
      </c>
      <c r="J171" s="29" t="n">
        <f aca="false">MAX(-G171,0)</f>
        <v>0</v>
      </c>
      <c r="K171" s="29" t="n">
        <f aca="false">(K170*13+I171)/14</f>
        <v>0.945705079424762</v>
      </c>
      <c r="L171" s="29" t="n">
        <f aca="false">(L170*13+J171)/14</f>
        <v>0.744840694791219</v>
      </c>
      <c r="M171" s="31" t="n">
        <f aca="false">IF(L171=0,100,100-100/(1+K171/MAX(L171,0.000001)))</f>
        <v>55.9408147267322</v>
      </c>
      <c r="N171" s="30" t="n">
        <f aca="false">AVERAGE(E152:E171)</f>
        <v>141.096</v>
      </c>
      <c r="O171" s="30" t="n">
        <f aca="false">AVERAGE(E122:E171)</f>
        <v>139.3798</v>
      </c>
      <c r="Q171" s="30" t="n">
        <f aca="false">Q170+(2/13)*(E171-Q170)</f>
        <v>142.933714360282</v>
      </c>
      <c r="R171" s="30" t="n">
        <f aca="false">R170+(2/27)*(E171-R170)</f>
        <v>141.030187246552</v>
      </c>
      <c r="S171" s="33" t="n">
        <f aca="false">Q171-R171</f>
        <v>1.90352711373066</v>
      </c>
      <c r="T171" s="33" t="n">
        <f aca="false">T170+(2/10)*(S171-T170)</f>
        <v>1.84154516798361</v>
      </c>
      <c r="U171" s="33" t="n">
        <f aca="false">S171-T171</f>
        <v>0.0619819457470494</v>
      </c>
      <c r="V171" s="32" t="str">
        <f aca="false">IF(M171="","",IF(M171&lt;Assumptions!$B$5,"BUY",IF(M171&gt;Assumptions!$B$4,"SELL","HOLD")))</f>
        <v>HOLD</v>
      </c>
      <c r="W171" s="32" t="str">
        <f aca="false">IF(O171="","",IF(E171&gt;O171,"BUY","SELL"))</f>
        <v>BUY</v>
      </c>
      <c r="X171" s="32" t="str">
        <f aca="false">IF(T171="","",IF(S171&gt;T171,"BUY","SELL"))</f>
        <v>BUY</v>
      </c>
      <c r="Y171" s="34" t="n">
        <f aca="false">IF(OR(V171="",W171="",X171=""),"",IFERROR(IF(V171="BUY",1,IF(V171="SELL",-1,0))+IF(W171="BUY",1,IF(W171="SELL",-1,0))+IF(X171="BUY",1,IF(X171="SELL",-1,0)),0))</f>
        <v>2</v>
      </c>
      <c r="Z171" s="32" t="str">
        <f aca="false">IF(Y171="","",IF(Y171&gt;=2,"STRONG BUY",IF(Y171=1,"BUY",IF(Y171=0,"HOLD",IF(Y171=-1,"SELL","STRONG SELL")))))</f>
        <v>STRONG BUY</v>
      </c>
    </row>
    <row r="172" customFormat="false" ht="15" hidden="false" customHeight="false" outlineLevel="0" collapsed="false">
      <c r="A172" s="24" t="n">
        <v>46008</v>
      </c>
      <c r="B172" s="25" t="n">
        <v>143.74</v>
      </c>
      <c r="C172" s="25" t="n">
        <v>144.14</v>
      </c>
      <c r="D172" s="25" t="n">
        <v>143.42</v>
      </c>
      <c r="E172" s="25" t="n">
        <v>143.78</v>
      </c>
      <c r="F172" s="26" t="n">
        <v>13855132</v>
      </c>
      <c r="G172" s="27" t="n">
        <f aca="false">E172-E171</f>
        <v>0.22999999999999</v>
      </c>
      <c r="H172" s="28" t="n">
        <f aca="false">G172/E171</f>
        <v>0.00160222918843601</v>
      </c>
      <c r="I172" s="29" t="n">
        <f aca="false">MAX(G172,0)</f>
        <v>0.22999999999999</v>
      </c>
      <c r="J172" s="29" t="n">
        <f aca="false">MAX(-G172,0)</f>
        <v>0</v>
      </c>
      <c r="K172" s="29" t="n">
        <f aca="false">(K171*13+I172)/14</f>
        <v>0.894583288037278</v>
      </c>
      <c r="L172" s="29" t="n">
        <f aca="false">(L171*13+J172)/14</f>
        <v>0.691637788020418</v>
      </c>
      <c r="M172" s="31" t="n">
        <f aca="false">IF(L172=0,100,100-100/(1+K172/MAX(L172,0.000001)))</f>
        <v>56.3971379235879</v>
      </c>
      <c r="N172" s="30" t="n">
        <f aca="false">AVERAGE(E153:E172)</f>
        <v>141.528</v>
      </c>
      <c r="O172" s="30" t="n">
        <f aca="false">AVERAGE(E123:E172)</f>
        <v>139.4354</v>
      </c>
      <c r="Q172" s="30" t="n">
        <f aca="false">Q171+(2/13)*(E172-Q171)</f>
        <v>143.063912151008</v>
      </c>
      <c r="R172" s="30" t="n">
        <f aca="false">R171+(2/27)*(E172-R171)</f>
        <v>141.23387708014</v>
      </c>
      <c r="S172" s="33" t="n">
        <f aca="false">Q172-R172</f>
        <v>1.83003507086769</v>
      </c>
      <c r="T172" s="33" t="n">
        <f aca="false">T171+(2/10)*(S172-T171)</f>
        <v>1.83924314856043</v>
      </c>
      <c r="U172" s="33" t="n">
        <f aca="false">S172-T172</f>
        <v>-0.00920807769273369</v>
      </c>
      <c r="V172" s="32" t="str">
        <f aca="false">IF(M172="","",IF(M172&lt;Assumptions!$B$5,"BUY",IF(M172&gt;Assumptions!$B$4,"SELL","HOLD")))</f>
        <v>HOLD</v>
      </c>
      <c r="W172" s="32" t="str">
        <f aca="false">IF(O172="","",IF(E172&gt;O172,"BUY","SELL"))</f>
        <v>BUY</v>
      </c>
      <c r="X172" s="32" t="str">
        <f aca="false">IF(T172="","",IF(S172&gt;T172,"BUY","SELL"))</f>
        <v>SELL</v>
      </c>
      <c r="Y172" s="34" t="n">
        <f aca="false">IF(OR(V172="",W172="",X172=""),"",IFERROR(IF(V172="BUY",1,IF(V172="SELL",-1,0))+IF(W172="BUY",1,IF(W172="SELL",-1,0))+IF(X172="BUY",1,IF(X172="SELL",-1,0)),0))</f>
        <v>0</v>
      </c>
      <c r="Z172" s="32" t="str">
        <f aca="false">IF(Y172="","",IF(Y172&gt;=2,"STRONG BUY",IF(Y172=1,"BUY",IF(Y172=0,"HOLD",IF(Y172=-1,"SELL","STRONG SELL")))))</f>
        <v>HOLD</v>
      </c>
    </row>
    <row r="173" customFormat="false" ht="15" hidden="false" customHeight="false" outlineLevel="0" collapsed="false">
      <c r="A173" s="24" t="n">
        <v>46009</v>
      </c>
      <c r="B173" s="25" t="n">
        <v>147.48</v>
      </c>
      <c r="C173" s="25" t="n">
        <v>147.65</v>
      </c>
      <c r="D173" s="25" t="n">
        <v>147.11</v>
      </c>
      <c r="E173" s="25" t="n">
        <v>147.38</v>
      </c>
      <c r="F173" s="26" t="n">
        <v>10500982</v>
      </c>
      <c r="G173" s="27" t="n">
        <f aca="false">E173-E172</f>
        <v>3.59999999999999</v>
      </c>
      <c r="H173" s="28" t="n">
        <f aca="false">G173/E172</f>
        <v>0.0250382528863541</v>
      </c>
      <c r="I173" s="29" t="n">
        <f aca="false">MAX(G173,0)</f>
        <v>3.59999999999999</v>
      </c>
      <c r="J173" s="29" t="n">
        <f aca="false">MAX(-G173,0)</f>
        <v>0</v>
      </c>
      <c r="K173" s="29" t="n">
        <f aca="false">(K172*13+I173)/14</f>
        <v>1.08782733889176</v>
      </c>
      <c r="L173" s="29" t="n">
        <f aca="false">(L172*13+J173)/14</f>
        <v>0.642235088876102</v>
      </c>
      <c r="M173" s="31" t="n">
        <f aca="false">IF(L173=0,100,100-100/(1+K173/MAX(L173,0.000001)))</f>
        <v>62.8779240235441</v>
      </c>
      <c r="N173" s="30" t="n">
        <f aca="false">AVERAGE(E154:E173)</f>
        <v>142.1235</v>
      </c>
      <c r="O173" s="30" t="n">
        <f aca="false">AVERAGE(E124:E173)</f>
        <v>139.5508</v>
      </c>
      <c r="Q173" s="30" t="n">
        <f aca="false">Q172+(2/13)*(E173-Q172)</f>
        <v>143.727925666238</v>
      </c>
      <c r="R173" s="30" t="n">
        <f aca="false">R172+(2/27)*(E173-R172)</f>
        <v>141.689145444574</v>
      </c>
      <c r="S173" s="33" t="n">
        <f aca="false">Q173-R173</f>
        <v>2.03878022166319</v>
      </c>
      <c r="T173" s="33" t="n">
        <f aca="false">T172+(2/10)*(S173-T172)</f>
        <v>1.87915056318098</v>
      </c>
      <c r="U173" s="33" t="n">
        <f aca="false">S173-T173</f>
        <v>0.159629658482208</v>
      </c>
      <c r="V173" s="32" t="str">
        <f aca="false">IF(M173="","",IF(M173&lt;Assumptions!$B$5,"BUY",IF(M173&gt;Assumptions!$B$4,"SELL","HOLD")))</f>
        <v>HOLD</v>
      </c>
      <c r="W173" s="32" t="str">
        <f aca="false">IF(O173="","",IF(E173&gt;O173,"BUY","SELL"))</f>
        <v>BUY</v>
      </c>
      <c r="X173" s="32" t="str">
        <f aca="false">IF(T173="","",IF(S173&gt;T173,"BUY","SELL"))</f>
        <v>BUY</v>
      </c>
      <c r="Y173" s="34" t="n">
        <f aca="false">IF(OR(V173="",W173="",X173=""),"",IFERROR(IF(V173="BUY",1,IF(V173="SELL",-1,0))+IF(W173="BUY",1,IF(W173="SELL",-1,0))+IF(X173="BUY",1,IF(X173="SELL",-1,0)),0))</f>
        <v>2</v>
      </c>
      <c r="Z173" s="32" t="str">
        <f aca="false">IF(Y173="","",IF(Y173&gt;=2,"STRONG BUY",IF(Y173=1,"BUY",IF(Y173=0,"HOLD",IF(Y173=-1,"SELL","STRONG SELL")))))</f>
        <v>STRONG BUY</v>
      </c>
    </row>
    <row r="174" customFormat="false" ht="15" hidden="false" customHeight="false" outlineLevel="0" collapsed="false">
      <c r="A174" s="24" t="n">
        <v>46010</v>
      </c>
      <c r="B174" s="25" t="n">
        <v>144.05</v>
      </c>
      <c r="C174" s="25" t="n">
        <v>145.14</v>
      </c>
      <c r="D174" s="25" t="n">
        <v>143.46</v>
      </c>
      <c r="E174" s="25" t="n">
        <v>144.3</v>
      </c>
      <c r="F174" s="26" t="n">
        <v>15009788</v>
      </c>
      <c r="G174" s="27" t="n">
        <f aca="false">E174-E173</f>
        <v>-3.07999999999998</v>
      </c>
      <c r="H174" s="28" t="n">
        <f aca="false">G174/E173</f>
        <v>-0.0208983579861581</v>
      </c>
      <c r="I174" s="29" t="n">
        <f aca="false">MAX(G174,0)</f>
        <v>0</v>
      </c>
      <c r="J174" s="29" t="n">
        <f aca="false">MAX(-G174,0)</f>
        <v>3.07999999999998</v>
      </c>
      <c r="K174" s="29" t="n">
        <f aca="false">(K173*13+I174)/14</f>
        <v>1.01012538611378</v>
      </c>
      <c r="L174" s="29" t="n">
        <f aca="false">(L173*13+J174)/14</f>
        <v>0.816361153956379</v>
      </c>
      <c r="M174" s="31" t="n">
        <f aca="false">IF(L174=0,100,100-100/(1+K174/MAX(L174,0.000001)))</f>
        <v>55.304288531739</v>
      </c>
      <c r="N174" s="30" t="n">
        <f aca="false">AVERAGE(E155:E174)</f>
        <v>142.4385</v>
      </c>
      <c r="O174" s="30" t="n">
        <f aca="false">AVERAGE(E125:E174)</f>
        <v>139.5882</v>
      </c>
      <c r="Q174" s="30" t="n">
        <f aca="false">Q173+(2/13)*(E174-Q173)</f>
        <v>143.815937102201</v>
      </c>
      <c r="R174" s="30" t="n">
        <f aca="false">R173+(2/27)*(E174-R173)</f>
        <v>141.88254207831</v>
      </c>
      <c r="S174" s="33" t="n">
        <f aca="false">Q174-R174</f>
        <v>1.93339502389142</v>
      </c>
      <c r="T174" s="33" t="n">
        <f aca="false">T173+(2/10)*(S174-T173)</f>
        <v>1.88999945532307</v>
      </c>
      <c r="U174" s="33" t="n">
        <f aca="false">S174-T174</f>
        <v>0.0433955685683529</v>
      </c>
      <c r="V174" s="32" t="str">
        <f aca="false">IF(M174="","",IF(M174&lt;Assumptions!$B$5,"BUY",IF(M174&gt;Assumptions!$B$4,"SELL","HOLD")))</f>
        <v>HOLD</v>
      </c>
      <c r="W174" s="32" t="str">
        <f aca="false">IF(O174="","",IF(E174&gt;O174,"BUY","SELL"))</f>
        <v>BUY</v>
      </c>
      <c r="X174" s="32" t="str">
        <f aca="false">IF(T174="","",IF(S174&gt;T174,"BUY","SELL"))</f>
        <v>BUY</v>
      </c>
      <c r="Y174" s="34" t="n">
        <f aca="false">IF(OR(V174="",W174="",X174=""),"",IFERROR(IF(V174="BUY",1,IF(V174="SELL",-1,0))+IF(W174="BUY",1,IF(W174="SELL",-1,0))+IF(X174="BUY",1,IF(X174="SELL",-1,0)),0))</f>
        <v>2</v>
      </c>
      <c r="Z174" s="32" t="str">
        <f aca="false">IF(Y174="","",IF(Y174&gt;=2,"STRONG BUY",IF(Y174=1,"BUY",IF(Y174=0,"HOLD",IF(Y174=-1,"SELL","STRONG SELL")))))</f>
        <v>STRONG BUY</v>
      </c>
    </row>
    <row r="175" customFormat="false" ht="15" hidden="false" customHeight="false" outlineLevel="0" collapsed="false">
      <c r="A175" s="24" t="n">
        <v>46013</v>
      </c>
      <c r="B175" s="25" t="n">
        <v>146.86</v>
      </c>
      <c r="C175" s="25" t="n">
        <v>147.04</v>
      </c>
      <c r="D175" s="25" t="n">
        <v>146.76</v>
      </c>
      <c r="E175" s="25" t="n">
        <v>146.9</v>
      </c>
      <c r="F175" s="26" t="n">
        <v>15644806</v>
      </c>
      <c r="G175" s="27" t="n">
        <f aca="false">E175-E174</f>
        <v>2.59999999999999</v>
      </c>
      <c r="H175" s="28" t="n">
        <f aca="false">G175/E174</f>
        <v>0.018018018018018</v>
      </c>
      <c r="I175" s="29" t="n">
        <f aca="false">MAX(G175,0)</f>
        <v>2.59999999999999</v>
      </c>
      <c r="J175" s="29" t="n">
        <f aca="false">MAX(-G175,0)</f>
        <v>0</v>
      </c>
      <c r="K175" s="29" t="n">
        <f aca="false">(K174*13+I175)/14</f>
        <v>1.12368785853422</v>
      </c>
      <c r="L175" s="29" t="n">
        <f aca="false">(L174*13+J175)/14</f>
        <v>0.758049642959495</v>
      </c>
      <c r="M175" s="31" t="n">
        <f aca="false">IF(L175=0,100,100-100/(1+K175/MAX(L175,0.000001)))</f>
        <v>59.7154415874819</v>
      </c>
      <c r="N175" s="30" t="n">
        <f aca="false">AVERAGE(E156:E175)</f>
        <v>143.0195</v>
      </c>
      <c r="O175" s="30" t="n">
        <f aca="false">AVERAGE(E126:E175)</f>
        <v>139.6346</v>
      </c>
      <c r="Q175" s="30" t="n">
        <f aca="false">Q174+(2/13)*(E175-Q174)</f>
        <v>144.290408317247</v>
      </c>
      <c r="R175" s="30" t="n">
        <f aca="false">R174+(2/27)*(E175-R174)</f>
        <v>142.254205628064</v>
      </c>
      <c r="S175" s="33" t="n">
        <f aca="false">Q175-R175</f>
        <v>2.03620268918257</v>
      </c>
      <c r="T175" s="33" t="n">
        <f aca="false">T174+(2/10)*(S175-T174)</f>
        <v>1.91924010209497</v>
      </c>
      <c r="U175" s="33" t="n">
        <f aca="false">S175-T175</f>
        <v>0.116962587087604</v>
      </c>
      <c r="V175" s="32" t="str">
        <f aca="false">IF(M175="","",IF(M175&lt;Assumptions!$B$5,"BUY",IF(M175&gt;Assumptions!$B$4,"SELL","HOLD")))</f>
        <v>HOLD</v>
      </c>
      <c r="W175" s="32" t="str">
        <f aca="false">IF(O175="","",IF(E175&gt;O175,"BUY","SELL"))</f>
        <v>BUY</v>
      </c>
      <c r="X175" s="32" t="str">
        <f aca="false">IF(T175="","",IF(S175&gt;T175,"BUY","SELL"))</f>
        <v>BUY</v>
      </c>
      <c r="Y175" s="34" t="n">
        <f aca="false">IF(OR(V175="",W175="",X175=""),"",IFERROR(IF(V175="BUY",1,IF(V175="SELL",-1,0))+IF(W175="BUY",1,IF(W175="SELL",-1,0))+IF(X175="BUY",1,IF(X175="SELL",-1,0)),0))</f>
        <v>2</v>
      </c>
      <c r="Z175" s="32" t="str">
        <f aca="false">IF(Y175="","",IF(Y175&gt;=2,"STRONG BUY",IF(Y175=1,"BUY",IF(Y175=0,"HOLD",IF(Y175=-1,"SELL","STRONG SELL")))))</f>
        <v>STRONG BUY</v>
      </c>
    </row>
    <row r="176" customFormat="false" ht="15" hidden="false" customHeight="false" outlineLevel="0" collapsed="false">
      <c r="A176" s="24" t="n">
        <v>46014</v>
      </c>
      <c r="B176" s="25" t="n">
        <v>144.92</v>
      </c>
      <c r="C176" s="25" t="n">
        <v>145.78</v>
      </c>
      <c r="D176" s="25" t="n">
        <v>144.92</v>
      </c>
      <c r="E176" s="25" t="n">
        <v>145.35</v>
      </c>
      <c r="F176" s="26" t="n">
        <v>11662265</v>
      </c>
      <c r="G176" s="27" t="n">
        <f aca="false">E176-E175</f>
        <v>-1.55000000000001</v>
      </c>
      <c r="H176" s="28" t="n">
        <f aca="false">G176/E175</f>
        <v>-0.0105513955071478</v>
      </c>
      <c r="I176" s="29" t="n">
        <f aca="false">MAX(G176,0)</f>
        <v>0</v>
      </c>
      <c r="J176" s="29" t="n">
        <f aca="false">MAX(-G176,0)</f>
        <v>1.55000000000001</v>
      </c>
      <c r="K176" s="29" t="n">
        <f aca="false">(K175*13+I176)/14</f>
        <v>1.04342444006749</v>
      </c>
      <c r="L176" s="29" t="n">
        <f aca="false">(L175*13+J176)/14</f>
        <v>0.814617525605246</v>
      </c>
      <c r="M176" s="31" t="n">
        <f aca="false">IF(L176=0,100,100-100/(1+K176/MAX(L176,0.000001)))</f>
        <v>56.1572052378107</v>
      </c>
      <c r="N176" s="30" t="n">
        <f aca="false">AVERAGE(E157:E176)</f>
        <v>143.549</v>
      </c>
      <c r="O176" s="30" t="n">
        <f aca="false">AVERAGE(E127:E176)</f>
        <v>139.6378</v>
      </c>
      <c r="Q176" s="30" t="n">
        <f aca="false">Q175+(2/13)*(E176-Q175)</f>
        <v>144.453422422286</v>
      </c>
      <c r="R176" s="30" t="n">
        <f aca="false">R175+(2/27)*(E176-R175)</f>
        <v>142.483523729689</v>
      </c>
      <c r="S176" s="33" t="n">
        <f aca="false">Q176-R176</f>
        <v>1.96989869259662</v>
      </c>
      <c r="T176" s="33" t="n">
        <f aca="false">T175+(2/10)*(S176-T175)</f>
        <v>1.9293718201953</v>
      </c>
      <c r="U176" s="33" t="n">
        <f aca="false">S176-T176</f>
        <v>0.0405268724013168</v>
      </c>
      <c r="V176" s="32" t="str">
        <f aca="false">IF(M176="","",IF(M176&lt;Assumptions!$B$5,"BUY",IF(M176&gt;Assumptions!$B$4,"SELL","HOLD")))</f>
        <v>HOLD</v>
      </c>
      <c r="W176" s="32" t="str">
        <f aca="false">IF(O176="","",IF(E176&gt;O176,"BUY","SELL"))</f>
        <v>BUY</v>
      </c>
      <c r="X176" s="32" t="str">
        <f aca="false">IF(T176="","",IF(S176&gt;T176,"BUY","SELL"))</f>
        <v>BUY</v>
      </c>
      <c r="Y176" s="34" t="n">
        <f aca="false">IF(OR(V176="",W176="",X176=""),"",IFERROR(IF(V176="BUY",1,IF(V176="SELL",-1,0))+IF(W176="BUY",1,IF(W176="SELL",-1,0))+IF(X176="BUY",1,IF(X176="SELL",-1,0)),0))</f>
        <v>2</v>
      </c>
      <c r="Z176" s="32" t="str">
        <f aca="false">IF(Y176="","",IF(Y176&gt;=2,"STRONG BUY",IF(Y176=1,"BUY",IF(Y176=0,"HOLD",IF(Y176=-1,"SELL","STRONG SELL")))))</f>
        <v>STRONG BUY</v>
      </c>
    </row>
    <row r="177" customFormat="false" ht="15" hidden="false" customHeight="false" outlineLevel="0" collapsed="false">
      <c r="A177" s="24" t="n">
        <v>46015</v>
      </c>
      <c r="B177" s="25" t="n">
        <v>148.12</v>
      </c>
      <c r="C177" s="25" t="n">
        <v>148.92</v>
      </c>
      <c r="D177" s="25" t="n">
        <v>147.38</v>
      </c>
      <c r="E177" s="25" t="n">
        <v>148.15</v>
      </c>
      <c r="F177" s="26" t="n">
        <v>13639138</v>
      </c>
      <c r="G177" s="27" t="n">
        <f aca="false">E177-E176</f>
        <v>2.80000000000001</v>
      </c>
      <c r="H177" s="28" t="n">
        <f aca="false">G177/E176</f>
        <v>0.019263845889233</v>
      </c>
      <c r="I177" s="29" t="n">
        <f aca="false">MAX(G177,0)</f>
        <v>2.80000000000001</v>
      </c>
      <c r="J177" s="29" t="n">
        <f aca="false">MAX(-G177,0)</f>
        <v>0</v>
      </c>
      <c r="K177" s="29" t="n">
        <f aca="false">(K176*13+I177)/14</f>
        <v>1.16889412291981</v>
      </c>
      <c r="L177" s="29" t="n">
        <f aca="false">(L176*13+J177)/14</f>
        <v>0.756430559490586</v>
      </c>
      <c r="M177" s="31" t="n">
        <f aca="false">IF(L177=0,100,100-100/(1+K177/MAX(L177,0.000001)))</f>
        <v>60.711532636481</v>
      </c>
      <c r="N177" s="30" t="n">
        <f aca="false">AVERAGE(E158:E177)</f>
        <v>144.2135</v>
      </c>
      <c r="O177" s="30" t="n">
        <f aca="false">AVERAGE(E128:E177)</f>
        <v>139.7238</v>
      </c>
      <c r="Q177" s="30" t="n">
        <f aca="false">Q176+(2/13)*(E177-Q176)</f>
        <v>145.022126665011</v>
      </c>
      <c r="R177" s="30" t="n">
        <f aca="false">R176+(2/27)*(E177-R176)</f>
        <v>142.903262712675</v>
      </c>
      <c r="S177" s="33" t="n">
        <f aca="false">Q177-R177</f>
        <v>2.11886395233586</v>
      </c>
      <c r="T177" s="33" t="n">
        <f aca="false">T176+(2/10)*(S177-T176)</f>
        <v>1.96727024662341</v>
      </c>
      <c r="U177" s="33" t="n">
        <f aca="false">S177-T177</f>
        <v>0.151593705712447</v>
      </c>
      <c r="V177" s="32" t="str">
        <f aca="false">IF(M177="","",IF(M177&lt;Assumptions!$B$5,"BUY",IF(M177&gt;Assumptions!$B$4,"SELL","HOLD")))</f>
        <v>HOLD</v>
      </c>
      <c r="W177" s="32" t="str">
        <f aca="false">IF(O177="","",IF(E177&gt;O177,"BUY","SELL"))</f>
        <v>BUY</v>
      </c>
      <c r="X177" s="32" t="str">
        <f aca="false">IF(T177="","",IF(S177&gt;T177,"BUY","SELL"))</f>
        <v>BUY</v>
      </c>
      <c r="Y177" s="34" t="n">
        <f aca="false">IF(OR(V177="",W177="",X177=""),"",IFERROR(IF(V177="BUY",1,IF(V177="SELL",-1,0))+IF(W177="BUY",1,IF(W177="SELL",-1,0))+IF(X177="BUY",1,IF(X177="SELL",-1,0)),0))</f>
        <v>2</v>
      </c>
      <c r="Z177" s="32" t="str">
        <f aca="false">IF(Y177="","",IF(Y177&gt;=2,"STRONG BUY",IF(Y177=1,"BUY",IF(Y177=0,"HOLD",IF(Y177=-1,"SELL","STRONG SELL")))))</f>
        <v>STRONG BUY</v>
      </c>
    </row>
    <row r="178" customFormat="false" ht="15" hidden="false" customHeight="false" outlineLevel="0" collapsed="false">
      <c r="A178" s="24" t="n">
        <v>46016</v>
      </c>
      <c r="B178" s="25" t="n">
        <v>152.34</v>
      </c>
      <c r="C178" s="25" t="n">
        <v>152.34</v>
      </c>
      <c r="D178" s="25" t="n">
        <v>151.42</v>
      </c>
      <c r="E178" s="25" t="n">
        <v>151.88</v>
      </c>
      <c r="F178" s="26" t="n">
        <v>9896569</v>
      </c>
      <c r="G178" s="27" t="n">
        <f aca="false">E178-E177</f>
        <v>3.72999999999999</v>
      </c>
      <c r="H178" s="28" t="n">
        <f aca="false">G178/E177</f>
        <v>0.0251771852851839</v>
      </c>
      <c r="I178" s="29" t="n">
        <f aca="false">MAX(G178,0)</f>
        <v>3.72999999999999</v>
      </c>
      <c r="J178" s="29" t="n">
        <f aca="false">MAX(-G178,0)</f>
        <v>0</v>
      </c>
      <c r="K178" s="29" t="n">
        <f aca="false">(K177*13+I178)/14</f>
        <v>1.35183025699697</v>
      </c>
      <c r="L178" s="29" t="n">
        <f aca="false">(L177*13+J178)/14</f>
        <v>0.702399805241258</v>
      </c>
      <c r="M178" s="31" t="n">
        <f aca="false">IF(L178=0,100,100-100/(1+K178/MAX(L178,0.000001)))</f>
        <v>65.8071499315931</v>
      </c>
      <c r="N178" s="30" t="n">
        <f aca="false">AVERAGE(E159:E178)</f>
        <v>144.883</v>
      </c>
      <c r="O178" s="30" t="n">
        <f aca="false">AVERAGE(E129:E178)</f>
        <v>139.9128</v>
      </c>
      <c r="Q178" s="30" t="n">
        <f aca="false">Q177+(2/13)*(E178-Q177)</f>
        <v>146.077184101163</v>
      </c>
      <c r="R178" s="30" t="n">
        <f aca="false">R177+(2/27)*(E178-R177)</f>
        <v>143.56820621544</v>
      </c>
      <c r="S178" s="33" t="n">
        <f aca="false">Q178-R178</f>
        <v>2.5089778857232</v>
      </c>
      <c r="T178" s="33" t="n">
        <f aca="false">T177+(2/10)*(S178-T177)</f>
        <v>2.07561177444337</v>
      </c>
      <c r="U178" s="33" t="n">
        <f aca="false">S178-T178</f>
        <v>0.43336611127983</v>
      </c>
      <c r="V178" s="32" t="str">
        <f aca="false">IF(M178="","",IF(M178&lt;Assumptions!$B$5,"BUY",IF(M178&gt;Assumptions!$B$4,"SELL","HOLD")))</f>
        <v>HOLD</v>
      </c>
      <c r="W178" s="32" t="str">
        <f aca="false">IF(O178="","",IF(E178&gt;O178,"BUY","SELL"))</f>
        <v>BUY</v>
      </c>
      <c r="X178" s="32" t="str">
        <f aca="false">IF(T178="","",IF(S178&gt;T178,"BUY","SELL"))</f>
        <v>BUY</v>
      </c>
      <c r="Y178" s="34" t="n">
        <f aca="false">IF(OR(V178="",W178="",X178=""),"",IFERROR(IF(V178="BUY",1,IF(V178="SELL",-1,0))+IF(W178="BUY",1,IF(W178="SELL",-1,0))+IF(X178="BUY",1,IF(X178="SELL",-1,0)),0))</f>
        <v>2</v>
      </c>
      <c r="Z178" s="32" t="str">
        <f aca="false">IF(Y178="","",IF(Y178&gt;=2,"STRONG BUY",IF(Y178=1,"BUY",IF(Y178=0,"HOLD",IF(Y178=-1,"SELL","STRONG SELL")))))</f>
        <v>STRONG BUY</v>
      </c>
    </row>
    <row r="179" customFormat="false" ht="15" hidden="false" customHeight="false" outlineLevel="0" collapsed="false">
      <c r="A179" s="24" t="n">
        <v>46017</v>
      </c>
      <c r="B179" s="25" t="n">
        <v>156.79</v>
      </c>
      <c r="C179" s="25" t="n">
        <v>156.79</v>
      </c>
      <c r="D179" s="25" t="n">
        <v>156.23</v>
      </c>
      <c r="E179" s="25" t="n">
        <v>156.51</v>
      </c>
      <c r="F179" s="26" t="n">
        <v>16040341</v>
      </c>
      <c r="G179" s="27" t="n">
        <f aca="false">E179-E178</f>
        <v>4.63</v>
      </c>
      <c r="H179" s="28" t="n">
        <f aca="false">G179/E178</f>
        <v>0.0304845930998156</v>
      </c>
      <c r="I179" s="29" t="n">
        <f aca="false">MAX(G179,0)</f>
        <v>4.63</v>
      </c>
      <c r="J179" s="29" t="n">
        <f aca="false">MAX(-G179,0)</f>
        <v>0</v>
      </c>
      <c r="K179" s="29" t="n">
        <f aca="false">(K178*13+I179)/14</f>
        <v>1.58598523864004</v>
      </c>
      <c r="L179" s="29" t="n">
        <f aca="false">(L178*13+J179)/14</f>
        <v>0.652228390581168</v>
      </c>
      <c r="M179" s="31" t="n">
        <f aca="false">IF(L179=0,100,100-100/(1+K179/MAX(L179,0.000001)))</f>
        <v>70.8594219038818</v>
      </c>
      <c r="N179" s="30" t="n">
        <f aca="false">AVERAGE(E160:E179)</f>
        <v>145.6905</v>
      </c>
      <c r="O179" s="30" t="n">
        <f aca="false">AVERAGE(E130:E179)</f>
        <v>140.1724</v>
      </c>
      <c r="Q179" s="30" t="n">
        <f aca="false">Q178+(2/13)*(E179-Q178)</f>
        <v>147.682232700984</v>
      </c>
      <c r="R179" s="30" t="n">
        <f aca="false">R178+(2/27)*(E179-R178)</f>
        <v>144.526857606889</v>
      </c>
      <c r="S179" s="33" t="n">
        <f aca="false">Q179-R179</f>
        <v>3.15537509409535</v>
      </c>
      <c r="T179" s="33" t="n">
        <f aca="false">T178+(2/10)*(S179-T178)</f>
        <v>2.29156443837376</v>
      </c>
      <c r="U179" s="33" t="n">
        <f aca="false">S179-T179</f>
        <v>0.863810655721584</v>
      </c>
      <c r="V179" s="32" t="str">
        <f aca="false">IF(M179="","",IF(M179&lt;Assumptions!$B$5,"BUY",IF(M179&gt;Assumptions!$B$4,"SELL","HOLD")))</f>
        <v>SELL</v>
      </c>
      <c r="W179" s="32" t="str">
        <f aca="false">IF(O179="","",IF(E179&gt;O179,"BUY","SELL"))</f>
        <v>BUY</v>
      </c>
      <c r="X179" s="32" t="str">
        <f aca="false">IF(T179="","",IF(S179&gt;T179,"BUY","SELL"))</f>
        <v>BUY</v>
      </c>
      <c r="Y179" s="34" t="n">
        <f aca="false">IF(OR(V179="",W179="",X179=""),"",IFERROR(IF(V179="BUY",1,IF(V179="SELL",-1,0))+IF(W179="BUY",1,IF(W179="SELL",-1,0))+IF(X179="BUY",1,IF(X179="SELL",-1,0)),0))</f>
        <v>1</v>
      </c>
      <c r="Z179" s="32" t="str">
        <f aca="false">IF(Y179="","",IF(Y179&gt;=2,"STRONG BUY",IF(Y179=1,"BUY",IF(Y179=0,"HOLD",IF(Y179=-1,"SELL","STRONG SELL")))))</f>
        <v>BUY</v>
      </c>
    </row>
    <row r="180" customFormat="false" ht="15" hidden="false" customHeight="false" outlineLevel="0" collapsed="false">
      <c r="A180" s="24" t="n">
        <v>46020</v>
      </c>
      <c r="B180" s="25" t="n">
        <v>156.57</v>
      </c>
      <c r="C180" s="25" t="n">
        <v>157.11</v>
      </c>
      <c r="D180" s="25" t="n">
        <v>155.17</v>
      </c>
      <c r="E180" s="25" t="n">
        <v>156.14</v>
      </c>
      <c r="F180" s="26" t="n">
        <v>14795011</v>
      </c>
      <c r="G180" s="27" t="n">
        <f aca="false">E180-E179</f>
        <v>-0.370000000000005</v>
      </c>
      <c r="H180" s="28" t="n">
        <f aca="false">G180/E179</f>
        <v>-0.00236406619385346</v>
      </c>
      <c r="I180" s="29" t="n">
        <f aca="false">MAX(G180,0)</f>
        <v>0</v>
      </c>
      <c r="J180" s="29" t="n">
        <f aca="false">MAX(-G180,0)</f>
        <v>0.370000000000005</v>
      </c>
      <c r="K180" s="29" t="n">
        <f aca="false">(K179*13+I180)/14</f>
        <v>1.47270057873718</v>
      </c>
      <c r="L180" s="29" t="n">
        <f aca="false">(L179*13+J180)/14</f>
        <v>0.632069219825371</v>
      </c>
      <c r="M180" s="31" t="n">
        <f aca="false">IF(L180=0,100,100-100/(1+K180/MAX(L180,0.000001)))</f>
        <v>69.9696745811803</v>
      </c>
      <c r="N180" s="30" t="n">
        <f aca="false">AVERAGE(E161:E180)</f>
        <v>146.3835</v>
      </c>
      <c r="O180" s="30" t="n">
        <f aca="false">AVERAGE(E131:E180)</f>
        <v>140.464</v>
      </c>
      <c r="Q180" s="30" t="n">
        <f aca="false">Q179+(2/13)*(E180-Q179)</f>
        <v>148.983427670064</v>
      </c>
      <c r="R180" s="30" t="n">
        <f aca="false">R179+(2/27)*(E180-R179)</f>
        <v>145.387090376749</v>
      </c>
      <c r="S180" s="33" t="n">
        <f aca="false">Q180-R180</f>
        <v>3.59633729331463</v>
      </c>
      <c r="T180" s="33" t="n">
        <f aca="false">T179+(2/10)*(S180-T179)</f>
        <v>2.55251900936194</v>
      </c>
      <c r="U180" s="33" t="n">
        <f aca="false">S180-T180</f>
        <v>1.0438182839527</v>
      </c>
      <c r="V180" s="32" t="str">
        <f aca="false">IF(M180="","",IF(M180&lt;Assumptions!$B$5,"BUY",IF(M180&gt;Assumptions!$B$4,"SELL","HOLD")))</f>
        <v>HOLD</v>
      </c>
      <c r="W180" s="32" t="str">
        <f aca="false">IF(O180="","",IF(E180&gt;O180,"BUY","SELL"))</f>
        <v>BUY</v>
      </c>
      <c r="X180" s="32" t="str">
        <f aca="false">IF(T180="","",IF(S180&gt;T180,"BUY","SELL"))</f>
        <v>BUY</v>
      </c>
      <c r="Y180" s="34" t="n">
        <f aca="false">IF(OR(V180="",W180="",X180=""),"",IFERROR(IF(V180="BUY",1,IF(V180="SELL",-1,0))+IF(W180="BUY",1,IF(W180="SELL",-1,0))+IF(X180="BUY",1,IF(X180="SELL",-1,0)),0))</f>
        <v>2</v>
      </c>
      <c r="Z180" s="32" t="str">
        <f aca="false">IF(Y180="","",IF(Y180&gt;=2,"STRONG BUY",IF(Y180=1,"BUY",IF(Y180=0,"HOLD",IF(Y180=-1,"SELL","STRONG SELL")))))</f>
        <v>STRONG BUY</v>
      </c>
    </row>
    <row r="181" customFormat="false" ht="15" hidden="false" customHeight="false" outlineLevel="0" collapsed="false">
      <c r="A181" s="24" t="n">
        <v>46021</v>
      </c>
      <c r="B181" s="25" t="n">
        <v>153.67</v>
      </c>
      <c r="C181" s="25" t="n">
        <v>153.95</v>
      </c>
      <c r="D181" s="25" t="n">
        <v>153.67</v>
      </c>
      <c r="E181" s="25" t="n">
        <v>153.81</v>
      </c>
      <c r="F181" s="26" t="n">
        <v>15077120</v>
      </c>
      <c r="G181" s="27" t="n">
        <f aca="false">E181-E180</f>
        <v>-2.32999999999998</v>
      </c>
      <c r="H181" s="28" t="n">
        <f aca="false">G181/E180</f>
        <v>-0.0149225054438324</v>
      </c>
      <c r="I181" s="29" t="n">
        <f aca="false">MAX(G181,0)</f>
        <v>0</v>
      </c>
      <c r="J181" s="29" t="n">
        <f aca="false">MAX(-G181,0)</f>
        <v>2.32999999999998</v>
      </c>
      <c r="K181" s="29" t="n">
        <f aca="false">(K180*13+I181)/14</f>
        <v>1.36750768025595</v>
      </c>
      <c r="L181" s="29" t="n">
        <f aca="false">(L180*13+J181)/14</f>
        <v>0.753349989837843</v>
      </c>
      <c r="M181" s="31" t="n">
        <f aca="false">IF(L181=0,100,100-100/(1+K181/MAX(L181,0.000001)))</f>
        <v>64.4789935477129</v>
      </c>
      <c r="N181" s="30" t="n">
        <f aca="false">AVERAGE(E162:E181)</f>
        <v>147.0295</v>
      </c>
      <c r="O181" s="30" t="n">
        <f aca="false">AVERAGE(E132:E181)</f>
        <v>140.6822</v>
      </c>
      <c r="Q181" s="30" t="n">
        <f aca="false">Q180+(2/13)*(E181-Q180)</f>
        <v>149.725977259285</v>
      </c>
      <c r="R181" s="30" t="n">
        <f aca="false">R180+(2/27)*(E181-R180)</f>
        <v>146.011009608101</v>
      </c>
      <c r="S181" s="33" t="n">
        <f aca="false">Q181-R181</f>
        <v>3.71496765118368</v>
      </c>
      <c r="T181" s="33" t="n">
        <f aca="false">T180+(2/10)*(S181-T180)</f>
        <v>2.78500873772629</v>
      </c>
      <c r="U181" s="33" t="n">
        <f aca="false">S181-T181</f>
        <v>0.929958913457397</v>
      </c>
      <c r="V181" s="32" t="str">
        <f aca="false">IF(M181="","",IF(M181&lt;Assumptions!$B$5,"BUY",IF(M181&gt;Assumptions!$B$4,"SELL","HOLD")))</f>
        <v>HOLD</v>
      </c>
      <c r="W181" s="32" t="str">
        <f aca="false">IF(O181="","",IF(E181&gt;O181,"BUY","SELL"))</f>
        <v>BUY</v>
      </c>
      <c r="X181" s="32" t="str">
        <f aca="false">IF(T181="","",IF(S181&gt;T181,"BUY","SELL"))</f>
        <v>BUY</v>
      </c>
      <c r="Y181" s="34" t="n">
        <f aca="false">IF(OR(V181="",W181="",X181=""),"",IFERROR(IF(V181="BUY",1,IF(V181="SELL",-1,0))+IF(W181="BUY",1,IF(W181="SELL",-1,0))+IF(X181="BUY",1,IF(X181="SELL",-1,0)),0))</f>
        <v>2</v>
      </c>
      <c r="Z181" s="32" t="str">
        <f aca="false">IF(Y181="","",IF(Y181&gt;=2,"STRONG BUY",IF(Y181=1,"BUY",IF(Y181=0,"HOLD",IF(Y181=-1,"SELL","STRONG SELL")))))</f>
        <v>STRONG BUY</v>
      </c>
    </row>
    <row r="182" customFormat="false" ht="15" hidden="false" customHeight="false" outlineLevel="0" collapsed="false">
      <c r="A182" s="24" t="n">
        <v>46022</v>
      </c>
      <c r="B182" s="25" t="n">
        <v>154.73</v>
      </c>
      <c r="C182" s="25" t="n">
        <v>154.88</v>
      </c>
      <c r="D182" s="25" t="n">
        <v>154.08</v>
      </c>
      <c r="E182" s="25" t="n">
        <v>154.48</v>
      </c>
      <c r="F182" s="26" t="n">
        <v>8926469</v>
      </c>
      <c r="G182" s="27" t="n">
        <f aca="false">E182-E181</f>
        <v>0.669999999999988</v>
      </c>
      <c r="H182" s="28" t="n">
        <f aca="false">G182/E181</f>
        <v>0.00435602366556133</v>
      </c>
      <c r="I182" s="29" t="n">
        <f aca="false">MAX(G182,0)</f>
        <v>0.669999999999988</v>
      </c>
      <c r="J182" s="29" t="n">
        <f aca="false">MAX(-G182,0)</f>
        <v>0</v>
      </c>
      <c r="K182" s="29" t="n">
        <f aca="false">(K181*13+I182)/14</f>
        <v>1.31768570309481</v>
      </c>
      <c r="L182" s="29" t="n">
        <f aca="false">(L181*13+J182)/14</f>
        <v>0.699539276277998</v>
      </c>
      <c r="M182" s="31" t="n">
        <f aca="false">IF(L182=0,100,100-100/(1+K182/MAX(L182,0.000001)))</f>
        <v>65.3217026642464</v>
      </c>
      <c r="N182" s="30" t="n">
        <f aca="false">AVERAGE(E163:E182)</f>
        <v>147.499</v>
      </c>
      <c r="O182" s="30" t="n">
        <f aca="false">AVERAGE(E133:E182)</f>
        <v>140.8868</v>
      </c>
      <c r="Q182" s="30" t="n">
        <f aca="false">Q181+(2/13)*(E182-Q181)</f>
        <v>150.457365373241</v>
      </c>
      <c r="R182" s="30" t="n">
        <f aca="false">R181+(2/27)*(E182-R181)</f>
        <v>146.638342229723</v>
      </c>
      <c r="S182" s="33" t="n">
        <f aca="false">Q182-R182</f>
        <v>3.81902314351774</v>
      </c>
      <c r="T182" s="33" t="n">
        <f aca="false">T181+(2/10)*(S182-T181)</f>
        <v>2.99181161888458</v>
      </c>
      <c r="U182" s="33" t="n">
        <f aca="false">S182-T182</f>
        <v>0.827211524633162</v>
      </c>
      <c r="V182" s="32" t="str">
        <f aca="false">IF(M182="","",IF(M182&lt;Assumptions!$B$5,"BUY",IF(M182&gt;Assumptions!$B$4,"SELL","HOLD")))</f>
        <v>HOLD</v>
      </c>
      <c r="W182" s="32" t="str">
        <f aca="false">IF(O182="","",IF(E182&gt;O182,"BUY","SELL"))</f>
        <v>BUY</v>
      </c>
      <c r="X182" s="32" t="str">
        <f aca="false">IF(T182="","",IF(S182&gt;T182,"BUY","SELL"))</f>
        <v>BUY</v>
      </c>
      <c r="Y182" s="34" t="n">
        <f aca="false">IF(OR(V182="",W182="",X182=""),"",IFERROR(IF(V182="BUY",1,IF(V182="SELL",-1,0))+IF(W182="BUY",1,IF(W182="SELL",-1,0))+IF(X182="BUY",1,IF(X182="SELL",-1,0)),0))</f>
        <v>2</v>
      </c>
      <c r="Z182" s="32" t="str">
        <f aca="false">IF(Y182="","",IF(Y182&gt;=2,"STRONG BUY",IF(Y182=1,"BUY",IF(Y182=0,"HOLD",IF(Y182=-1,"SELL","STRONG SELL")))))</f>
        <v>STRONG BUY</v>
      </c>
    </row>
    <row r="183" customFormat="false" ht="15" hidden="false" customHeight="false" outlineLevel="0" collapsed="false">
      <c r="A183" s="24" t="n">
        <v>46023</v>
      </c>
      <c r="B183" s="25" t="n">
        <v>154.33</v>
      </c>
      <c r="C183" s="25" t="n">
        <v>155.99</v>
      </c>
      <c r="D183" s="25" t="n">
        <v>152.79</v>
      </c>
      <c r="E183" s="25" t="n">
        <v>154.39</v>
      </c>
      <c r="F183" s="26" t="n">
        <v>10861384</v>
      </c>
      <c r="G183" s="27" t="n">
        <f aca="false">E183-E182</f>
        <v>-0.0900000000000034</v>
      </c>
      <c r="H183" s="28" t="n">
        <f aca="false">G183/E182</f>
        <v>-0.000582599689280188</v>
      </c>
      <c r="I183" s="29" t="n">
        <f aca="false">MAX(G183,0)</f>
        <v>0</v>
      </c>
      <c r="J183" s="29" t="n">
        <f aca="false">MAX(-G183,0)</f>
        <v>0.0900000000000034</v>
      </c>
      <c r="K183" s="29" t="n">
        <f aca="false">(K182*13+I183)/14</f>
        <v>1.2235652957309</v>
      </c>
      <c r="L183" s="29" t="n">
        <f aca="false">(L182*13+J183)/14</f>
        <v>0.656000756543855</v>
      </c>
      <c r="M183" s="31" t="n">
        <f aca="false">IF(L183=0,100,100-100/(1+K183/MAX(L183,0.000001)))</f>
        <v>65.0982866098306</v>
      </c>
      <c r="N183" s="30" t="n">
        <f aca="false">AVERAGE(E164:E183)</f>
        <v>147.9185</v>
      </c>
      <c r="O183" s="30" t="n">
        <f aca="false">AVERAGE(E134:E183)</f>
        <v>141.091</v>
      </c>
      <c r="Q183" s="30" t="n">
        <f aca="false">Q182+(2/13)*(E183-Q182)</f>
        <v>151.06238608505</v>
      </c>
      <c r="R183" s="30" t="n">
        <f aca="false">R182+(2/27)*(E183-R182)</f>
        <v>147.212539101595</v>
      </c>
      <c r="S183" s="33" t="n">
        <f aca="false">Q183-R183</f>
        <v>3.84984698345446</v>
      </c>
      <c r="T183" s="33" t="n">
        <f aca="false">T182+(2/10)*(S183-T182)</f>
        <v>3.16341869179855</v>
      </c>
      <c r="U183" s="33" t="n">
        <f aca="false">S183-T183</f>
        <v>0.686428291655902</v>
      </c>
      <c r="V183" s="32" t="str">
        <f aca="false">IF(M183="","",IF(M183&lt;Assumptions!$B$5,"BUY",IF(M183&gt;Assumptions!$B$4,"SELL","HOLD")))</f>
        <v>HOLD</v>
      </c>
      <c r="W183" s="32" t="str">
        <f aca="false">IF(O183="","",IF(E183&gt;O183,"BUY","SELL"))</f>
        <v>BUY</v>
      </c>
      <c r="X183" s="32" t="str">
        <f aca="false">IF(T183="","",IF(S183&gt;T183,"BUY","SELL"))</f>
        <v>BUY</v>
      </c>
      <c r="Y183" s="34" t="n">
        <f aca="false">IF(OR(V183="",W183="",X183=""),"",IFERROR(IF(V183="BUY",1,IF(V183="SELL",-1,0))+IF(W183="BUY",1,IF(W183="SELL",-1,0))+IF(X183="BUY",1,IF(X183="SELL",-1,0)),0))</f>
        <v>2</v>
      </c>
      <c r="Z183" s="32" t="str">
        <f aca="false">IF(Y183="","",IF(Y183&gt;=2,"STRONG BUY",IF(Y183=1,"BUY",IF(Y183=0,"HOLD",IF(Y183=-1,"SELL","STRONG SELL")))))</f>
        <v>STRONG BUY</v>
      </c>
    </row>
    <row r="184" customFormat="false" ht="15" hidden="false" customHeight="false" outlineLevel="0" collapsed="false">
      <c r="A184" s="24" t="n">
        <v>46024</v>
      </c>
      <c r="B184" s="25" t="n">
        <v>150.5</v>
      </c>
      <c r="C184" s="25" t="n">
        <v>151.32</v>
      </c>
      <c r="D184" s="25" t="n">
        <v>150.5</v>
      </c>
      <c r="E184" s="25" t="n">
        <v>150.91</v>
      </c>
      <c r="F184" s="26" t="n">
        <v>14665727</v>
      </c>
      <c r="G184" s="27" t="n">
        <f aca="false">E184-E183</f>
        <v>-3.47999999999999</v>
      </c>
      <c r="H184" s="28" t="n">
        <f aca="false">G184/E183</f>
        <v>-0.0225403199689098</v>
      </c>
      <c r="I184" s="29" t="n">
        <f aca="false">MAX(G184,0)</f>
        <v>0</v>
      </c>
      <c r="J184" s="29" t="n">
        <f aca="false">MAX(-G184,0)</f>
        <v>3.47999999999999</v>
      </c>
      <c r="K184" s="29" t="n">
        <f aca="false">(K183*13+I184)/14</f>
        <v>1.13616777460726</v>
      </c>
      <c r="L184" s="29" t="n">
        <f aca="false">(L183*13+J184)/14</f>
        <v>0.857714988219293</v>
      </c>
      <c r="M184" s="31" t="n">
        <f aca="false">IF(L184=0,100,100-100/(1+K184/MAX(L184,0.000001)))</f>
        <v>56.9826770053729</v>
      </c>
      <c r="N184" s="30" t="n">
        <f aca="false">AVERAGE(E165:E184)</f>
        <v>148.258</v>
      </c>
      <c r="O184" s="30" t="n">
        <f aca="false">AVERAGE(E135:E184)</f>
        <v>141.2544</v>
      </c>
      <c r="Q184" s="30" t="n">
        <f aca="false">Q183+(2/13)*(E184-Q183)</f>
        <v>151.038942071965</v>
      </c>
      <c r="R184" s="30" t="n">
        <f aca="false">R183+(2/27)*(E184-R183)</f>
        <v>147.48642509407</v>
      </c>
      <c r="S184" s="33" t="n">
        <f aca="false">Q184-R184</f>
        <v>3.55251697789544</v>
      </c>
      <c r="T184" s="33" t="n">
        <f aca="false">T183+(2/10)*(S184-T183)</f>
        <v>3.24123834901793</v>
      </c>
      <c r="U184" s="33" t="n">
        <f aca="false">S184-T184</f>
        <v>0.311278628877507</v>
      </c>
      <c r="V184" s="32" t="str">
        <f aca="false">IF(M184="","",IF(M184&lt;Assumptions!$B$5,"BUY",IF(M184&gt;Assumptions!$B$4,"SELL","HOLD")))</f>
        <v>HOLD</v>
      </c>
      <c r="W184" s="32" t="str">
        <f aca="false">IF(O184="","",IF(E184&gt;O184,"BUY","SELL"))</f>
        <v>BUY</v>
      </c>
      <c r="X184" s="32" t="str">
        <f aca="false">IF(T184="","",IF(S184&gt;T184,"BUY","SELL"))</f>
        <v>BUY</v>
      </c>
      <c r="Y184" s="34" t="n">
        <f aca="false">IF(OR(V184="",W184="",X184=""),"",IFERROR(IF(V184="BUY",1,IF(V184="SELL",-1,0))+IF(W184="BUY",1,IF(W184="SELL",-1,0))+IF(X184="BUY",1,IF(X184="SELL",-1,0)),0))</f>
        <v>2</v>
      </c>
      <c r="Z184" s="32" t="str">
        <f aca="false">IF(Y184="","",IF(Y184&gt;=2,"STRONG BUY",IF(Y184=1,"BUY",IF(Y184=0,"HOLD",IF(Y184=-1,"SELL","STRONG SELL")))))</f>
        <v>STRONG BUY</v>
      </c>
    </row>
    <row r="185" customFormat="false" ht="15" hidden="false" customHeight="false" outlineLevel="0" collapsed="false">
      <c r="A185" s="24" t="n">
        <v>46027</v>
      </c>
      <c r="B185" s="25" t="n">
        <v>152.01</v>
      </c>
      <c r="C185" s="25" t="n">
        <v>152.75</v>
      </c>
      <c r="D185" s="25" t="n">
        <v>152.01</v>
      </c>
      <c r="E185" s="25" t="n">
        <v>152.38</v>
      </c>
      <c r="F185" s="26" t="n">
        <v>15969121</v>
      </c>
      <c r="G185" s="27" t="n">
        <f aca="false">E185-E184</f>
        <v>1.47</v>
      </c>
      <c r="H185" s="28" t="n">
        <f aca="false">G185/E184</f>
        <v>0.00974090517527002</v>
      </c>
      <c r="I185" s="29" t="n">
        <f aca="false">MAX(G185,0)</f>
        <v>1.47</v>
      </c>
      <c r="J185" s="29" t="n">
        <f aca="false">MAX(-G185,0)</f>
        <v>0</v>
      </c>
      <c r="K185" s="29" t="n">
        <f aca="false">(K184*13+I185)/14</f>
        <v>1.16001293356389</v>
      </c>
      <c r="L185" s="29" t="n">
        <f aca="false">(L184*13+J185)/14</f>
        <v>0.796449631917915</v>
      </c>
      <c r="M185" s="31" t="n">
        <f aca="false">IF(L185=0,100,100-100/(1+K185/MAX(L185,0.000001)))</f>
        <v>59.2913431634313</v>
      </c>
      <c r="N185" s="30" t="n">
        <f aca="false">AVERAGE(E166:E185)</f>
        <v>148.447</v>
      </c>
      <c r="O185" s="30" t="n">
        <f aca="false">AVERAGE(E136:E185)</f>
        <v>141.512</v>
      </c>
      <c r="Q185" s="30" t="n">
        <f aca="false">Q184+(2/13)*(E185-Q184)</f>
        <v>151.245258676278</v>
      </c>
      <c r="R185" s="30" t="n">
        <f aca="false">R184+(2/27)*(E185-R184)</f>
        <v>147.848912124139</v>
      </c>
      <c r="S185" s="33" t="n">
        <f aca="false">Q185-R185</f>
        <v>3.39634655213956</v>
      </c>
      <c r="T185" s="33" t="n">
        <f aca="false">T184+(2/10)*(S185-T184)</f>
        <v>3.27225998964226</v>
      </c>
      <c r="U185" s="33" t="n">
        <f aca="false">S185-T185</f>
        <v>0.124086562497306</v>
      </c>
      <c r="V185" s="32" t="str">
        <f aca="false">IF(M185="","",IF(M185&lt;Assumptions!$B$5,"BUY",IF(M185&gt;Assumptions!$B$4,"SELL","HOLD")))</f>
        <v>HOLD</v>
      </c>
      <c r="W185" s="32" t="str">
        <f aca="false">IF(O185="","",IF(E185&gt;O185,"BUY","SELL"))</f>
        <v>BUY</v>
      </c>
      <c r="X185" s="32" t="str">
        <f aca="false">IF(T185="","",IF(S185&gt;T185,"BUY","SELL"))</f>
        <v>BUY</v>
      </c>
      <c r="Y185" s="34" t="n">
        <f aca="false">IF(OR(V185="",W185="",X185=""),"",IFERROR(IF(V185="BUY",1,IF(V185="SELL",-1,0))+IF(W185="BUY",1,IF(W185="SELL",-1,0))+IF(X185="BUY",1,IF(X185="SELL",-1,0)),0))</f>
        <v>2</v>
      </c>
      <c r="Z185" s="32" t="str">
        <f aca="false">IF(Y185="","",IF(Y185&gt;=2,"STRONG BUY",IF(Y185=1,"BUY",IF(Y185=0,"HOLD",IF(Y185=-1,"SELL","STRONG SELL")))))</f>
        <v>STRONG BUY</v>
      </c>
    </row>
    <row r="186" customFormat="false" ht="15" hidden="false" customHeight="false" outlineLevel="0" collapsed="false">
      <c r="A186" s="24" t="n">
        <v>46028</v>
      </c>
      <c r="B186" s="25" t="n">
        <v>150.27</v>
      </c>
      <c r="C186" s="25" t="n">
        <v>150.89</v>
      </c>
      <c r="D186" s="25" t="n">
        <v>150.27</v>
      </c>
      <c r="E186" s="25" t="n">
        <v>150.58</v>
      </c>
      <c r="F186" s="26" t="n">
        <v>13053641</v>
      </c>
      <c r="G186" s="27" t="n">
        <f aca="false">E186-E185</f>
        <v>-1.79999999999998</v>
      </c>
      <c r="H186" s="28" t="n">
        <f aca="false">G186/E185</f>
        <v>-0.0118125738285863</v>
      </c>
      <c r="I186" s="29" t="n">
        <f aca="false">MAX(G186,0)</f>
        <v>0</v>
      </c>
      <c r="J186" s="29" t="n">
        <f aca="false">MAX(-G186,0)</f>
        <v>1.79999999999998</v>
      </c>
      <c r="K186" s="29" t="n">
        <f aca="false">(K185*13+I186)/14</f>
        <v>1.07715486688075</v>
      </c>
      <c r="L186" s="29" t="n">
        <f aca="false">(L185*13+J186)/14</f>
        <v>0.868131801066634</v>
      </c>
      <c r="M186" s="31" t="n">
        <f aca="false">IF(L186=0,100,100-100/(1+K186/MAX(L186,0.000001)))</f>
        <v>55.3725517492667</v>
      </c>
      <c r="N186" s="30" t="n">
        <f aca="false">AVERAGE(E167:E186)</f>
        <v>148.682</v>
      </c>
      <c r="O186" s="30" t="n">
        <f aca="false">AVERAGE(E137:E186)</f>
        <v>141.7738</v>
      </c>
      <c r="Q186" s="30" t="n">
        <f aca="false">Q185+(2/13)*(E186-Q185)</f>
        <v>151.14291118762</v>
      </c>
      <c r="R186" s="30" t="n">
        <f aca="false">R185+(2/27)*(E186-R185)</f>
        <v>148.051214929758</v>
      </c>
      <c r="S186" s="33" t="n">
        <f aca="false">Q186-R186</f>
        <v>3.091696257862</v>
      </c>
      <c r="T186" s="33" t="n">
        <f aca="false">T185+(2/10)*(S186-T185)</f>
        <v>3.2361472432862</v>
      </c>
      <c r="U186" s="33" t="n">
        <f aca="false">S186-T186</f>
        <v>-0.144450985424207</v>
      </c>
      <c r="V186" s="32" t="str">
        <f aca="false">IF(M186="","",IF(M186&lt;Assumptions!$B$5,"BUY",IF(M186&gt;Assumptions!$B$4,"SELL","HOLD")))</f>
        <v>HOLD</v>
      </c>
      <c r="W186" s="32" t="str">
        <f aca="false">IF(O186="","",IF(E186&gt;O186,"BUY","SELL"))</f>
        <v>BUY</v>
      </c>
      <c r="X186" s="32" t="str">
        <f aca="false">IF(T186="","",IF(S186&gt;T186,"BUY","SELL"))</f>
        <v>SELL</v>
      </c>
      <c r="Y186" s="34" t="n">
        <f aca="false">IF(OR(V186="",W186="",X186=""),"",IFERROR(IF(V186="BUY",1,IF(V186="SELL",-1,0))+IF(W186="BUY",1,IF(W186="SELL",-1,0))+IF(X186="BUY",1,IF(X186="SELL",-1,0)),0))</f>
        <v>0</v>
      </c>
      <c r="Z186" s="32" t="str">
        <f aca="false">IF(Y186="","",IF(Y186&gt;=2,"STRONG BUY",IF(Y186=1,"BUY",IF(Y186=0,"HOLD",IF(Y186=-1,"SELL","STRONG SELL")))))</f>
        <v>HOLD</v>
      </c>
    </row>
    <row r="187" customFormat="false" ht="15" hidden="false" customHeight="false" outlineLevel="0" collapsed="false">
      <c r="A187" s="24" t="n">
        <v>46029</v>
      </c>
      <c r="B187" s="25" t="n">
        <v>153.43</v>
      </c>
      <c r="C187" s="25" t="n">
        <v>153.45</v>
      </c>
      <c r="D187" s="25" t="n">
        <v>153.43</v>
      </c>
      <c r="E187" s="25" t="n">
        <v>153.44</v>
      </c>
      <c r="F187" s="26" t="n">
        <v>14604584</v>
      </c>
      <c r="G187" s="27" t="n">
        <f aca="false">E187-E186</f>
        <v>2.85999999999999</v>
      </c>
      <c r="H187" s="28" t="n">
        <f aca="false">G187/E186</f>
        <v>0.0189932261920573</v>
      </c>
      <c r="I187" s="29" t="n">
        <f aca="false">MAX(G187,0)</f>
        <v>2.85999999999999</v>
      </c>
      <c r="J187" s="29" t="n">
        <f aca="false">MAX(-G187,0)</f>
        <v>0</v>
      </c>
      <c r="K187" s="29" t="n">
        <f aca="false">(K186*13+I187)/14</f>
        <v>1.20450094781784</v>
      </c>
      <c r="L187" s="29" t="n">
        <f aca="false">(L186*13+J187)/14</f>
        <v>0.806122386704732</v>
      </c>
      <c r="M187" s="31" t="n">
        <f aca="false">IF(L187=0,100,100-100/(1+K187/MAX(L187,0.000001)))</f>
        <v>59.9068421785651</v>
      </c>
      <c r="N187" s="30" t="n">
        <f aca="false">AVERAGE(E168:E187)</f>
        <v>149.141</v>
      </c>
      <c r="O187" s="30" t="n">
        <f aca="false">AVERAGE(E138:E187)</f>
        <v>142.15</v>
      </c>
      <c r="Q187" s="30" t="n">
        <f aca="false">Q186+(2/13)*(E187-Q186)</f>
        <v>151.496309466448</v>
      </c>
      <c r="R187" s="30" t="n">
        <f aca="false">R186+(2/27)*(E187-R186)</f>
        <v>148.450384194221</v>
      </c>
      <c r="S187" s="33" t="n">
        <f aca="false">Q187-R187</f>
        <v>3.04592527222732</v>
      </c>
      <c r="T187" s="33" t="n">
        <f aca="false">T186+(2/10)*(S187-T186)</f>
        <v>3.19810284907443</v>
      </c>
      <c r="U187" s="33" t="n">
        <f aca="false">S187-T187</f>
        <v>-0.152177576847106</v>
      </c>
      <c r="V187" s="32" t="str">
        <f aca="false">IF(M187="","",IF(M187&lt;Assumptions!$B$5,"BUY",IF(M187&gt;Assumptions!$B$4,"SELL","HOLD")))</f>
        <v>HOLD</v>
      </c>
      <c r="W187" s="32" t="str">
        <f aca="false">IF(O187="","",IF(E187&gt;O187,"BUY","SELL"))</f>
        <v>BUY</v>
      </c>
      <c r="X187" s="32" t="str">
        <f aca="false">IF(T187="","",IF(S187&gt;T187,"BUY","SELL"))</f>
        <v>SELL</v>
      </c>
      <c r="Y187" s="34" t="n">
        <f aca="false">IF(OR(V187="",W187="",X187=""),"",IFERROR(IF(V187="BUY",1,IF(V187="SELL",-1,0))+IF(W187="BUY",1,IF(W187="SELL",-1,0))+IF(X187="BUY",1,IF(X187="SELL",-1,0)),0))</f>
        <v>0</v>
      </c>
      <c r="Z187" s="32" t="str">
        <f aca="false">IF(Y187="","",IF(Y187&gt;=2,"STRONG BUY",IF(Y187=1,"BUY",IF(Y187=0,"HOLD",IF(Y187=-1,"SELL","STRONG SELL")))))</f>
        <v>HOLD</v>
      </c>
    </row>
    <row r="188" customFormat="false" ht="15" hidden="false" customHeight="false" outlineLevel="0" collapsed="false">
      <c r="A188" s="24" t="n">
        <v>46030</v>
      </c>
      <c r="B188" s="25" t="n">
        <v>155.38</v>
      </c>
      <c r="C188" s="25" t="n">
        <v>155.4</v>
      </c>
      <c r="D188" s="25" t="n">
        <v>155.38</v>
      </c>
      <c r="E188" s="25" t="n">
        <v>155.39</v>
      </c>
      <c r="F188" s="26" t="n">
        <v>4633343</v>
      </c>
      <c r="G188" s="27" t="n">
        <f aca="false">E188-E187</f>
        <v>1.94999999999999</v>
      </c>
      <c r="H188" s="28" t="n">
        <f aca="false">G188/E187</f>
        <v>0.012708550573514</v>
      </c>
      <c r="I188" s="29" t="n">
        <f aca="false">MAX(G188,0)</f>
        <v>1.94999999999999</v>
      </c>
      <c r="J188" s="29" t="n">
        <f aca="false">MAX(-G188,0)</f>
        <v>0</v>
      </c>
      <c r="K188" s="29" t="n">
        <f aca="false">(K187*13+I188)/14</f>
        <v>1.25775088011656</v>
      </c>
      <c r="L188" s="29" t="n">
        <f aca="false">(L187*13+J188)/14</f>
        <v>0.748542216225823</v>
      </c>
      <c r="M188" s="31" t="n">
        <f aca="false">IF(L188=0,100,100-100/(1+K188/MAX(L188,0.000001)))</f>
        <v>62.69028600106</v>
      </c>
      <c r="N188" s="30" t="n">
        <f aca="false">AVERAGE(E169:E188)</f>
        <v>149.7185</v>
      </c>
      <c r="O188" s="30" t="n">
        <f aca="false">AVERAGE(E139:E188)</f>
        <v>142.564</v>
      </c>
      <c r="Q188" s="30" t="n">
        <f aca="false">Q187+(2/13)*(E188-Q187)</f>
        <v>152.095338779302</v>
      </c>
      <c r="R188" s="30" t="n">
        <f aca="false">R187+(2/27)*(E188-R187)</f>
        <v>148.964429809463</v>
      </c>
      <c r="S188" s="33" t="n">
        <f aca="false">Q188-R188</f>
        <v>3.13090896983857</v>
      </c>
      <c r="T188" s="33" t="n">
        <f aca="false">T187+(2/10)*(S188-T187)</f>
        <v>3.18466407322726</v>
      </c>
      <c r="U188" s="33" t="n">
        <f aca="false">S188-T188</f>
        <v>-0.0537551033886849</v>
      </c>
      <c r="V188" s="32" t="str">
        <f aca="false">IF(M188="","",IF(M188&lt;Assumptions!$B$5,"BUY",IF(M188&gt;Assumptions!$B$4,"SELL","HOLD")))</f>
        <v>HOLD</v>
      </c>
      <c r="W188" s="32" t="str">
        <f aca="false">IF(O188="","",IF(E188&gt;O188,"BUY","SELL"))</f>
        <v>BUY</v>
      </c>
      <c r="X188" s="32" t="str">
        <f aca="false">IF(T188="","",IF(S188&gt;T188,"BUY","SELL"))</f>
        <v>SELL</v>
      </c>
      <c r="Y188" s="34" t="n">
        <f aca="false">IF(OR(V188="",W188="",X188=""),"",IFERROR(IF(V188="BUY",1,IF(V188="SELL",-1,0))+IF(W188="BUY",1,IF(W188="SELL",-1,0))+IF(X188="BUY",1,IF(X188="SELL",-1,0)),0))</f>
        <v>0</v>
      </c>
      <c r="Z188" s="32" t="str">
        <f aca="false">IF(Y188="","",IF(Y188&gt;=2,"STRONG BUY",IF(Y188=1,"BUY",IF(Y188=0,"HOLD",IF(Y188=-1,"SELL","STRONG SELL")))))</f>
        <v>HOLD</v>
      </c>
    </row>
    <row r="189" customFormat="false" ht="15" hidden="false" customHeight="false" outlineLevel="0" collapsed="false">
      <c r="A189" s="24" t="n">
        <v>46031</v>
      </c>
      <c r="B189" s="25" t="n">
        <v>154.9</v>
      </c>
      <c r="C189" s="25" t="n">
        <v>155.24</v>
      </c>
      <c r="D189" s="25" t="n">
        <v>154.44</v>
      </c>
      <c r="E189" s="25" t="n">
        <v>154.84</v>
      </c>
      <c r="F189" s="26" t="n">
        <v>12501407</v>
      </c>
      <c r="G189" s="27" t="n">
        <f aca="false">E189-E188</f>
        <v>-0.549999999999983</v>
      </c>
      <c r="H189" s="28" t="n">
        <f aca="false">G189/E188</f>
        <v>-0.00353948130510318</v>
      </c>
      <c r="I189" s="29" t="n">
        <f aca="false">MAX(G189,0)</f>
        <v>0</v>
      </c>
      <c r="J189" s="29" t="n">
        <f aca="false">MAX(-G189,0)</f>
        <v>0.549999999999983</v>
      </c>
      <c r="K189" s="29" t="n">
        <f aca="false">(K188*13+I189)/14</f>
        <v>1.16791153153681</v>
      </c>
      <c r="L189" s="29" t="n">
        <f aca="false">(L188*13+J189)/14</f>
        <v>0.734360629352548</v>
      </c>
      <c r="M189" s="31" t="n">
        <f aca="false">IF(L189=0,100,100-100/(1+K189/MAX(L189,0.000001)))</f>
        <v>61.3956065566761</v>
      </c>
      <c r="N189" s="30" t="n">
        <f aca="false">AVERAGE(E170:E189)</f>
        <v>150.359</v>
      </c>
      <c r="O189" s="30" t="n">
        <f aca="false">AVERAGE(E140:E189)</f>
        <v>142.9822</v>
      </c>
      <c r="Q189" s="30" t="n">
        <f aca="false">Q188+(2/13)*(E189-Q188)</f>
        <v>152.517594351717</v>
      </c>
      <c r="R189" s="30" t="n">
        <f aca="false">R188+(2/27)*(E189-R188)</f>
        <v>149.399657230985</v>
      </c>
      <c r="S189" s="33" t="n">
        <f aca="false">Q189-R189</f>
        <v>3.11793712073242</v>
      </c>
      <c r="T189" s="33" t="n">
        <f aca="false">T188+(2/10)*(S189-T188)</f>
        <v>3.17131868272829</v>
      </c>
      <c r="U189" s="33" t="n">
        <f aca="false">S189-T189</f>
        <v>-0.0533815619958689</v>
      </c>
      <c r="V189" s="32" t="str">
        <f aca="false">IF(M189="","",IF(M189&lt;Assumptions!$B$5,"BUY",IF(M189&gt;Assumptions!$B$4,"SELL","HOLD")))</f>
        <v>HOLD</v>
      </c>
      <c r="W189" s="32" t="str">
        <f aca="false">IF(O189="","",IF(E189&gt;O189,"BUY","SELL"))</f>
        <v>BUY</v>
      </c>
      <c r="X189" s="32" t="str">
        <f aca="false">IF(T189="","",IF(S189&gt;T189,"BUY","SELL"))</f>
        <v>SELL</v>
      </c>
      <c r="Y189" s="34" t="n">
        <f aca="false">IF(OR(V189="",W189="",X189=""),"",IFERROR(IF(V189="BUY",1,IF(V189="SELL",-1,0))+IF(W189="BUY",1,IF(W189="SELL",-1,0))+IF(X189="BUY",1,IF(X189="SELL",-1,0)),0))</f>
        <v>0</v>
      </c>
      <c r="Z189" s="32" t="str">
        <f aca="false">IF(Y189="","",IF(Y189&gt;=2,"STRONG BUY",IF(Y189=1,"BUY",IF(Y189=0,"HOLD",IF(Y189=-1,"SELL","STRONG SELL")))))</f>
        <v>HOLD</v>
      </c>
    </row>
    <row r="190" customFormat="false" ht="15" hidden="false" customHeight="false" outlineLevel="0" collapsed="false">
      <c r="A190" s="24" t="n">
        <v>46034</v>
      </c>
      <c r="B190" s="25" t="n">
        <v>153.65</v>
      </c>
      <c r="C190" s="25" t="n">
        <v>156.21</v>
      </c>
      <c r="D190" s="25" t="n">
        <v>153.65</v>
      </c>
      <c r="E190" s="25" t="n">
        <v>154.93</v>
      </c>
      <c r="F190" s="26" t="n">
        <v>17330670</v>
      </c>
      <c r="G190" s="27" t="n">
        <f aca="false">E190-E189</f>
        <v>0.0900000000000034</v>
      </c>
      <c r="H190" s="28" t="n">
        <f aca="false">G190/E189</f>
        <v>0.000581245156290386</v>
      </c>
      <c r="I190" s="29" t="n">
        <f aca="false">MAX(G190,0)</f>
        <v>0.0900000000000034</v>
      </c>
      <c r="J190" s="29" t="n">
        <f aca="false">MAX(-G190,0)</f>
        <v>0</v>
      </c>
      <c r="K190" s="29" t="n">
        <f aca="false">(K189*13+I190)/14</f>
        <v>1.09091785071275</v>
      </c>
      <c r="L190" s="29" t="n">
        <f aca="false">(L189*13+J190)/14</f>
        <v>0.681906298684509</v>
      </c>
      <c r="M190" s="31" t="n">
        <f aca="false">IF(L190=0,100,100-100/(1+K190/MAX(L190,0.000001)))</f>
        <v>61.5355928608966</v>
      </c>
      <c r="N190" s="30" t="n">
        <f aca="false">AVERAGE(E171:E190)</f>
        <v>150.9545</v>
      </c>
      <c r="O190" s="30" t="n">
        <f aca="false">AVERAGE(E141:E190)</f>
        <v>143.4338</v>
      </c>
      <c r="Q190" s="30" t="n">
        <f aca="false">Q189+(2/13)*(E190-Q189)</f>
        <v>152.888733682222</v>
      </c>
      <c r="R190" s="30" t="n">
        <f aca="false">R189+(2/27)*(E190-R189)</f>
        <v>149.809312250912</v>
      </c>
      <c r="S190" s="33" t="n">
        <f aca="false">Q190-R190</f>
        <v>3.07942143131041</v>
      </c>
      <c r="T190" s="33" t="n">
        <f aca="false">T189+(2/10)*(S190-T189)</f>
        <v>3.15293923244471</v>
      </c>
      <c r="U190" s="33" t="n">
        <f aca="false">S190-T190</f>
        <v>-0.0735178011343054</v>
      </c>
      <c r="V190" s="32" t="str">
        <f aca="false">IF(M190="","",IF(M190&lt;Assumptions!$B$5,"BUY",IF(M190&gt;Assumptions!$B$4,"SELL","HOLD")))</f>
        <v>HOLD</v>
      </c>
      <c r="W190" s="32" t="str">
        <f aca="false">IF(O190="","",IF(E190&gt;O190,"BUY","SELL"))</f>
        <v>BUY</v>
      </c>
      <c r="X190" s="32" t="str">
        <f aca="false">IF(T190="","",IF(S190&gt;T190,"BUY","SELL"))</f>
        <v>SELL</v>
      </c>
      <c r="Y190" s="34" t="n">
        <f aca="false">IF(OR(V190="",W190="",X190=""),"",IFERROR(IF(V190="BUY",1,IF(V190="SELL",-1,0))+IF(W190="BUY",1,IF(W190="SELL",-1,0))+IF(X190="BUY",1,IF(X190="SELL",-1,0)),0))</f>
        <v>0</v>
      </c>
      <c r="Z190" s="32" t="str">
        <f aca="false">IF(Y190="","",IF(Y190&gt;=2,"STRONG BUY",IF(Y190=1,"BUY",IF(Y190=0,"HOLD",IF(Y190=-1,"SELL","STRONG SELL")))))</f>
        <v>HOLD</v>
      </c>
    </row>
    <row r="191" customFormat="false" ht="15" hidden="false" customHeight="false" outlineLevel="0" collapsed="false">
      <c r="A191" s="24" t="n">
        <v>46035</v>
      </c>
      <c r="B191" s="25" t="n">
        <v>153.86</v>
      </c>
      <c r="C191" s="25" t="n">
        <v>155.72</v>
      </c>
      <c r="D191" s="25" t="n">
        <v>153.2</v>
      </c>
      <c r="E191" s="25" t="n">
        <v>154.46</v>
      </c>
      <c r="F191" s="26" t="n">
        <v>16261633</v>
      </c>
      <c r="G191" s="27" t="n">
        <f aca="false">E191-E190</f>
        <v>-0.469999999999999</v>
      </c>
      <c r="H191" s="28" t="n">
        <f aca="false">G191/E190</f>
        <v>-0.0030336280901052</v>
      </c>
      <c r="I191" s="29" t="n">
        <f aca="false">MAX(G191,0)</f>
        <v>0</v>
      </c>
      <c r="J191" s="29" t="n">
        <f aca="false">MAX(-G191,0)</f>
        <v>0.469999999999999</v>
      </c>
      <c r="K191" s="29" t="n">
        <f aca="false">(K190*13+I191)/14</f>
        <v>1.01299514709041</v>
      </c>
      <c r="L191" s="29" t="n">
        <f aca="false">(L190*13+J191)/14</f>
        <v>0.666770134492759</v>
      </c>
      <c r="M191" s="31" t="n">
        <f aca="false">IF(L191=0,100,100-100/(1+K191/MAX(L191,0.000001)))</f>
        <v>60.3057557027057</v>
      </c>
      <c r="N191" s="30" t="n">
        <f aca="false">AVERAGE(E172:E191)</f>
        <v>151.5</v>
      </c>
      <c r="O191" s="30" t="n">
        <f aca="false">AVERAGE(E142:E191)</f>
        <v>143.8456</v>
      </c>
      <c r="Q191" s="30" t="n">
        <f aca="false">Q190+(2/13)*(E191-Q190)</f>
        <v>153.13046696188</v>
      </c>
      <c r="R191" s="30" t="n">
        <f aca="false">R190+(2/27)*(E191-R190)</f>
        <v>150.153807639733</v>
      </c>
      <c r="S191" s="33" t="n">
        <f aca="false">Q191-R191</f>
        <v>2.97665932214719</v>
      </c>
      <c r="T191" s="33" t="n">
        <f aca="false">T190+(2/10)*(S191-T190)</f>
        <v>3.11768325038521</v>
      </c>
      <c r="U191" s="33" t="n">
        <f aca="false">S191-T191</f>
        <v>-0.141023928238023</v>
      </c>
      <c r="V191" s="32" t="str">
        <f aca="false">IF(M191="","",IF(M191&lt;Assumptions!$B$5,"BUY",IF(M191&gt;Assumptions!$B$4,"SELL","HOLD")))</f>
        <v>HOLD</v>
      </c>
      <c r="W191" s="32" t="str">
        <f aca="false">IF(O191="","",IF(E191&gt;O191,"BUY","SELL"))</f>
        <v>BUY</v>
      </c>
      <c r="X191" s="32" t="str">
        <f aca="false">IF(T191="","",IF(S191&gt;T191,"BUY","SELL"))</f>
        <v>SELL</v>
      </c>
      <c r="Y191" s="34" t="n">
        <f aca="false">IF(OR(V191="",W191="",X191=""),"",IFERROR(IF(V191="BUY",1,IF(V191="SELL",-1,0))+IF(W191="BUY",1,IF(W191="SELL",-1,0))+IF(X191="BUY",1,IF(X191="SELL",-1,0)),0))</f>
        <v>0</v>
      </c>
      <c r="Z191" s="32" t="str">
        <f aca="false">IF(Y191="","",IF(Y191&gt;=2,"STRONG BUY",IF(Y191=1,"BUY",IF(Y191=0,"HOLD",IF(Y191=-1,"SELL","STRONG SELL")))))</f>
        <v>HOLD</v>
      </c>
    </row>
    <row r="192" customFormat="false" ht="15" hidden="false" customHeight="false" outlineLevel="0" collapsed="false">
      <c r="A192" s="24" t="n">
        <v>46036</v>
      </c>
      <c r="B192" s="25" t="n">
        <v>152.92</v>
      </c>
      <c r="C192" s="25" t="n">
        <v>154.31</v>
      </c>
      <c r="D192" s="25" t="n">
        <v>152.81</v>
      </c>
      <c r="E192" s="25" t="n">
        <v>153.56</v>
      </c>
      <c r="F192" s="26" t="n">
        <v>11574138</v>
      </c>
      <c r="G192" s="27" t="n">
        <f aca="false">E192-E191</f>
        <v>-0.900000000000006</v>
      </c>
      <c r="H192" s="28" t="n">
        <f aca="false">G192/E191</f>
        <v>-0.00582675126246281</v>
      </c>
      <c r="I192" s="29" t="n">
        <f aca="false">MAX(G192,0)</f>
        <v>0</v>
      </c>
      <c r="J192" s="29" t="n">
        <f aca="false">MAX(-G192,0)</f>
        <v>0.900000000000006</v>
      </c>
      <c r="K192" s="29" t="n">
        <f aca="false">(K191*13+I192)/14</f>
        <v>0.940638350869669</v>
      </c>
      <c r="L192" s="29" t="n">
        <f aca="false">(L191*13+J192)/14</f>
        <v>0.683429410600419</v>
      </c>
      <c r="M192" s="31" t="n">
        <f aca="false">IF(L192=0,100,100-100/(1+K192/MAX(L192,0.000001)))</f>
        <v>57.9186640598182</v>
      </c>
      <c r="N192" s="30" t="n">
        <f aca="false">AVERAGE(E173:E192)</f>
        <v>151.989</v>
      </c>
      <c r="O192" s="30" t="n">
        <f aca="false">AVERAGE(E143:E192)</f>
        <v>144.2346</v>
      </c>
      <c r="Q192" s="30" t="n">
        <f aca="false">Q191+(2/13)*(E192-Q191)</f>
        <v>153.196548967745</v>
      </c>
      <c r="R192" s="30" t="n">
        <f aca="false">R191+(2/27)*(E192-R191)</f>
        <v>150.406118184938</v>
      </c>
      <c r="S192" s="33" t="n">
        <f aca="false">Q192-R192</f>
        <v>2.79043078280682</v>
      </c>
      <c r="T192" s="33" t="n">
        <f aca="false">T191+(2/10)*(S192-T191)</f>
        <v>3.05223275686953</v>
      </c>
      <c r="U192" s="33" t="n">
        <f aca="false">S192-T192</f>
        <v>-0.261801974062708</v>
      </c>
      <c r="V192" s="32" t="str">
        <f aca="false">IF(M192="","",IF(M192&lt;Assumptions!$B$5,"BUY",IF(M192&gt;Assumptions!$B$4,"SELL","HOLD")))</f>
        <v>HOLD</v>
      </c>
      <c r="W192" s="32" t="str">
        <f aca="false">IF(O192="","",IF(E192&gt;O192,"BUY","SELL"))</f>
        <v>BUY</v>
      </c>
      <c r="X192" s="32" t="str">
        <f aca="false">IF(T192="","",IF(S192&gt;T192,"BUY","SELL"))</f>
        <v>SELL</v>
      </c>
      <c r="Y192" s="34" t="n">
        <f aca="false">IF(OR(V192="",W192="",X192=""),"",IFERROR(IF(V192="BUY",1,IF(V192="SELL",-1,0))+IF(W192="BUY",1,IF(W192="SELL",-1,0))+IF(X192="BUY",1,IF(X192="SELL",-1,0)),0))</f>
        <v>0</v>
      </c>
      <c r="Z192" s="32" t="str">
        <f aca="false">IF(Y192="","",IF(Y192&gt;=2,"STRONG BUY",IF(Y192=1,"BUY",IF(Y192=0,"HOLD",IF(Y192=-1,"SELL","STRONG SELL")))))</f>
        <v>HOLD</v>
      </c>
    </row>
    <row r="193" customFormat="false" ht="15" hidden="false" customHeight="false" outlineLevel="0" collapsed="false">
      <c r="A193" s="24" t="n">
        <v>46037</v>
      </c>
      <c r="B193" s="25" t="n">
        <v>160.12</v>
      </c>
      <c r="C193" s="25" t="n">
        <v>161.64</v>
      </c>
      <c r="D193" s="25" t="n">
        <v>158.14</v>
      </c>
      <c r="E193" s="25" t="n">
        <v>159.89</v>
      </c>
      <c r="F193" s="26" t="n">
        <v>12209375</v>
      </c>
      <c r="G193" s="27" t="n">
        <f aca="false">E193-E192</f>
        <v>6.32999999999998</v>
      </c>
      <c r="H193" s="28" t="n">
        <f aca="false">G193/E192</f>
        <v>0.0412216723104974</v>
      </c>
      <c r="I193" s="29" t="n">
        <f aca="false">MAX(G193,0)</f>
        <v>6.32999999999998</v>
      </c>
      <c r="J193" s="29" t="n">
        <f aca="false">MAX(-G193,0)</f>
        <v>0</v>
      </c>
      <c r="K193" s="29" t="n">
        <f aca="false">(K192*13+I193)/14</f>
        <v>1.32559275437898</v>
      </c>
      <c r="L193" s="29" t="n">
        <f aca="false">(L192*13+J193)/14</f>
        <v>0.63461302412896</v>
      </c>
      <c r="M193" s="31" t="n">
        <f aca="false">IF(L193=0,100,100-100/(1+K193/MAX(L193,0.000001)))</f>
        <v>67.6251834839497</v>
      </c>
      <c r="N193" s="30" t="n">
        <f aca="false">AVERAGE(E174:E193)</f>
        <v>152.6145</v>
      </c>
      <c r="O193" s="30" t="n">
        <f aca="false">AVERAGE(E144:E193)</f>
        <v>144.7482</v>
      </c>
      <c r="Q193" s="30" t="n">
        <f aca="false">Q192+(2/13)*(E193-Q192)</f>
        <v>154.226310665015</v>
      </c>
      <c r="R193" s="30" t="n">
        <f aca="false">R192+(2/27)*(E193-R192)</f>
        <v>151.108627949017</v>
      </c>
      <c r="S193" s="33" t="n">
        <f aca="false">Q193-R193</f>
        <v>3.1176827159982</v>
      </c>
      <c r="T193" s="33" t="n">
        <f aca="false">T192+(2/10)*(S193-T192)</f>
        <v>3.06532274869526</v>
      </c>
      <c r="U193" s="33" t="n">
        <f aca="false">S193-T193</f>
        <v>0.0523599673029351</v>
      </c>
      <c r="V193" s="32" t="str">
        <f aca="false">IF(M193="","",IF(M193&lt;Assumptions!$B$5,"BUY",IF(M193&gt;Assumptions!$B$4,"SELL","HOLD")))</f>
        <v>HOLD</v>
      </c>
      <c r="W193" s="32" t="str">
        <f aca="false">IF(O193="","",IF(E193&gt;O193,"BUY","SELL"))</f>
        <v>BUY</v>
      </c>
      <c r="X193" s="32" t="str">
        <f aca="false">IF(T193="","",IF(S193&gt;T193,"BUY","SELL"))</f>
        <v>BUY</v>
      </c>
      <c r="Y193" s="34" t="n">
        <f aca="false">IF(OR(V193="",W193="",X193=""),"",IFERROR(IF(V193="BUY",1,IF(V193="SELL",-1,0))+IF(W193="BUY",1,IF(W193="SELL",-1,0))+IF(X193="BUY",1,IF(X193="SELL",-1,0)),0))</f>
        <v>2</v>
      </c>
      <c r="Z193" s="32" t="str">
        <f aca="false">IF(Y193="","",IF(Y193&gt;=2,"STRONG BUY",IF(Y193=1,"BUY",IF(Y193=0,"HOLD",IF(Y193=-1,"SELL","STRONG SELL")))))</f>
        <v>STRONG BUY</v>
      </c>
    </row>
    <row r="194" customFormat="false" ht="15" hidden="false" customHeight="false" outlineLevel="0" collapsed="false">
      <c r="A194" s="24" t="n">
        <v>46038</v>
      </c>
      <c r="B194" s="25" t="n">
        <v>157.58</v>
      </c>
      <c r="C194" s="25" t="n">
        <v>158.81</v>
      </c>
      <c r="D194" s="25" t="n">
        <v>157.13</v>
      </c>
      <c r="E194" s="25" t="n">
        <v>157.97</v>
      </c>
      <c r="F194" s="26" t="n">
        <v>18289561</v>
      </c>
      <c r="G194" s="27" t="n">
        <f aca="false">E194-E193</f>
        <v>-1.91999999999999</v>
      </c>
      <c r="H194" s="28" t="n">
        <f aca="false">G194/E193</f>
        <v>-0.012008255675777</v>
      </c>
      <c r="I194" s="29" t="n">
        <f aca="false">MAX(G194,0)</f>
        <v>0</v>
      </c>
      <c r="J194" s="29" t="n">
        <f aca="false">MAX(-G194,0)</f>
        <v>1.91999999999999</v>
      </c>
      <c r="K194" s="29" t="n">
        <f aca="false">(K193*13+I194)/14</f>
        <v>1.23090755763762</v>
      </c>
      <c r="L194" s="29" t="n">
        <f aca="false">(L193*13+J194)/14</f>
        <v>0.726426379548319</v>
      </c>
      <c r="M194" s="31" t="n">
        <f aca="false">IF(L194=0,100,100-100/(1+K194/MAX(L194,0.000001)))</f>
        <v>62.8869470994458</v>
      </c>
      <c r="N194" s="30" t="n">
        <f aca="false">AVERAGE(E175:E194)</f>
        <v>153.298</v>
      </c>
      <c r="O194" s="30" t="n">
        <f aca="false">AVERAGE(E145:E194)</f>
        <v>145.2036</v>
      </c>
      <c r="Q194" s="30" t="n">
        <f aca="false">Q193+(2/13)*(E194-Q193)</f>
        <v>154.802262870397</v>
      </c>
      <c r="R194" s="30" t="n">
        <f aca="false">R193+(2/27)*(E194-R193)</f>
        <v>151.616877730571</v>
      </c>
      <c r="S194" s="33" t="n">
        <f aca="false">Q194-R194</f>
        <v>3.1853851398262</v>
      </c>
      <c r="T194" s="33" t="n">
        <f aca="false">T193+(2/10)*(S194-T193)</f>
        <v>3.08933522692145</v>
      </c>
      <c r="U194" s="33" t="n">
        <f aca="false">S194-T194</f>
        <v>0.0960499129047445</v>
      </c>
      <c r="V194" s="32" t="str">
        <f aca="false">IF(M194="","",IF(M194&lt;Assumptions!$B$5,"BUY",IF(M194&gt;Assumptions!$B$4,"SELL","HOLD")))</f>
        <v>HOLD</v>
      </c>
      <c r="W194" s="32" t="str">
        <f aca="false">IF(O194="","",IF(E194&gt;O194,"BUY","SELL"))</f>
        <v>BUY</v>
      </c>
      <c r="X194" s="32" t="str">
        <f aca="false">IF(T194="","",IF(S194&gt;T194,"BUY","SELL"))</f>
        <v>BUY</v>
      </c>
      <c r="Y194" s="34" t="n">
        <f aca="false">IF(OR(V194="",W194="",X194=""),"",IFERROR(IF(V194="BUY",1,IF(V194="SELL",-1,0))+IF(W194="BUY",1,IF(W194="SELL",-1,0))+IF(X194="BUY",1,IF(X194="SELL",-1,0)),0))</f>
        <v>2</v>
      </c>
      <c r="Z194" s="32" t="str">
        <f aca="false">IF(Y194="","",IF(Y194&gt;=2,"STRONG BUY",IF(Y194=1,"BUY",IF(Y194=0,"HOLD",IF(Y194=-1,"SELL","STRONG SELL")))))</f>
        <v>STRONG BUY</v>
      </c>
    </row>
    <row r="195" customFormat="false" ht="15" hidden="false" customHeight="false" outlineLevel="0" collapsed="false">
      <c r="A195" s="24" t="n">
        <v>46041</v>
      </c>
      <c r="B195" s="25" t="n">
        <v>158.37</v>
      </c>
      <c r="C195" s="25" t="n">
        <v>159.59</v>
      </c>
      <c r="D195" s="25" t="n">
        <v>156.61</v>
      </c>
      <c r="E195" s="25" t="n">
        <v>158.1</v>
      </c>
      <c r="F195" s="26" t="n">
        <v>8689276</v>
      </c>
      <c r="G195" s="27" t="n">
        <f aca="false">E195-E194</f>
        <v>0.129999999999995</v>
      </c>
      <c r="H195" s="28" t="n">
        <f aca="false">G195/E194</f>
        <v>0.000822941064759103</v>
      </c>
      <c r="I195" s="29" t="n">
        <f aca="false">MAX(G195,0)</f>
        <v>0.129999999999995</v>
      </c>
      <c r="J195" s="29" t="n">
        <f aca="false">MAX(-G195,0)</f>
        <v>0</v>
      </c>
      <c r="K195" s="29" t="n">
        <f aca="false">(K194*13+I195)/14</f>
        <v>1.15227130352065</v>
      </c>
      <c r="L195" s="29" t="n">
        <f aca="false">(L194*13+J195)/14</f>
        <v>0.674538781009154</v>
      </c>
      <c r="M195" s="31" t="n">
        <f aca="false">IF(L195=0,100,100-100/(1+K195/MAX(L195,0.000001)))</f>
        <v>63.0755935320572</v>
      </c>
      <c r="N195" s="30" t="n">
        <f aca="false">AVERAGE(E176:E195)</f>
        <v>153.858</v>
      </c>
      <c r="O195" s="30" t="n">
        <f aca="false">AVERAGE(E146:E195)</f>
        <v>145.6246</v>
      </c>
      <c r="Q195" s="30" t="n">
        <f aca="false">Q194+(2/13)*(E195-Q194)</f>
        <v>155.309607044182</v>
      </c>
      <c r="R195" s="30" t="n">
        <f aca="false">R194+(2/27)*(E195-R194)</f>
        <v>152.097109009788</v>
      </c>
      <c r="S195" s="33" t="n">
        <f aca="false">Q195-R195</f>
        <v>3.21249803439429</v>
      </c>
      <c r="T195" s="33" t="n">
        <f aca="false">T194+(2/10)*(S195-T194)</f>
        <v>3.11396778841602</v>
      </c>
      <c r="U195" s="33" t="n">
        <f aca="false">S195-T195</f>
        <v>0.0985302459782687</v>
      </c>
      <c r="V195" s="32" t="str">
        <f aca="false">IF(M195="","",IF(M195&lt;Assumptions!$B$5,"BUY",IF(M195&gt;Assumptions!$B$4,"SELL","HOLD")))</f>
        <v>HOLD</v>
      </c>
      <c r="W195" s="32" t="str">
        <f aca="false">IF(O195="","",IF(E195&gt;O195,"BUY","SELL"))</f>
        <v>BUY</v>
      </c>
      <c r="X195" s="32" t="str">
        <f aca="false">IF(T195="","",IF(S195&gt;T195,"BUY","SELL"))</f>
        <v>BUY</v>
      </c>
      <c r="Y195" s="34" t="n">
        <f aca="false">IF(OR(V195="",W195="",X195=""),"",IFERROR(IF(V195="BUY",1,IF(V195="SELL",-1,0))+IF(W195="BUY",1,IF(W195="SELL",-1,0))+IF(X195="BUY",1,IF(X195="SELL",-1,0)),0))</f>
        <v>2</v>
      </c>
      <c r="Z195" s="32" t="str">
        <f aca="false">IF(Y195="","",IF(Y195&gt;=2,"STRONG BUY",IF(Y195=1,"BUY",IF(Y195=0,"HOLD",IF(Y195=-1,"SELL","STRONG SELL")))))</f>
        <v>STRONG BUY</v>
      </c>
    </row>
    <row r="196" customFormat="false" ht="15" hidden="false" customHeight="false" outlineLevel="0" collapsed="false">
      <c r="A196" s="24" t="n">
        <v>46042</v>
      </c>
      <c r="B196" s="25" t="n">
        <v>160.36</v>
      </c>
      <c r="C196" s="25" t="n">
        <v>161.2</v>
      </c>
      <c r="D196" s="25" t="n">
        <v>159.14</v>
      </c>
      <c r="E196" s="25" t="n">
        <v>160.17</v>
      </c>
      <c r="F196" s="26" t="n">
        <v>14703389</v>
      </c>
      <c r="G196" s="27" t="n">
        <f aca="false">E196-E195</f>
        <v>2.06999999999999</v>
      </c>
      <c r="H196" s="28" t="n">
        <f aca="false">G196/E195</f>
        <v>0.0130929791271347</v>
      </c>
      <c r="I196" s="29" t="n">
        <f aca="false">MAX(G196,0)</f>
        <v>2.06999999999999</v>
      </c>
      <c r="J196" s="29" t="n">
        <f aca="false">MAX(-G196,0)</f>
        <v>0</v>
      </c>
      <c r="K196" s="29" t="n">
        <f aca="false">(K195*13+I196)/14</f>
        <v>1.21782335326917</v>
      </c>
      <c r="L196" s="29" t="n">
        <f aca="false">(L195*13+J196)/14</f>
        <v>0.6263574395085</v>
      </c>
      <c r="M196" s="31" t="n">
        <f aca="false">IF(L196=0,100,100-100/(1+K196/MAX(L196,0.000001)))</f>
        <v>66.0360067753937</v>
      </c>
      <c r="N196" s="30" t="n">
        <f aca="false">AVERAGE(E177:E196)</f>
        <v>154.599</v>
      </c>
      <c r="O196" s="30" t="n">
        <f aca="false">AVERAGE(E147:E196)</f>
        <v>146.1432</v>
      </c>
      <c r="Q196" s="30" t="n">
        <f aca="false">Q195+(2/13)*(E196-Q195)</f>
        <v>156.057359806616</v>
      </c>
      <c r="R196" s="30" t="n">
        <f aca="false">R195+(2/27)*(E196-R195)</f>
        <v>152.695100934989</v>
      </c>
      <c r="S196" s="33" t="n">
        <f aca="false">Q196-R196</f>
        <v>3.36225887162689</v>
      </c>
      <c r="T196" s="33" t="n">
        <f aca="false">T195+(2/10)*(S196-T195)</f>
        <v>3.16362600505819</v>
      </c>
      <c r="U196" s="33" t="n">
        <f aca="false">S196-T196</f>
        <v>0.198632866568699</v>
      </c>
      <c r="V196" s="32" t="str">
        <f aca="false">IF(M196="","",IF(M196&lt;Assumptions!$B$5,"BUY",IF(M196&gt;Assumptions!$B$4,"SELL","HOLD")))</f>
        <v>HOLD</v>
      </c>
      <c r="W196" s="32" t="str">
        <f aca="false">IF(O196="","",IF(E196&gt;O196,"BUY","SELL"))</f>
        <v>BUY</v>
      </c>
      <c r="X196" s="32" t="str">
        <f aca="false">IF(T196="","",IF(S196&gt;T196,"BUY","SELL"))</f>
        <v>BUY</v>
      </c>
      <c r="Y196" s="34" t="n">
        <f aca="false">IF(OR(V196="",W196="",X196=""),"",IFERROR(IF(V196="BUY",1,IF(V196="SELL",-1,0))+IF(W196="BUY",1,IF(W196="SELL",-1,0))+IF(X196="BUY",1,IF(X196="SELL",-1,0)),0))</f>
        <v>2</v>
      </c>
      <c r="Z196" s="32" t="str">
        <f aca="false">IF(Y196="","",IF(Y196&gt;=2,"STRONG BUY",IF(Y196=1,"BUY",IF(Y196=0,"HOLD",IF(Y196=-1,"SELL","STRONG SELL")))))</f>
        <v>STRONG BUY</v>
      </c>
    </row>
    <row r="197" customFormat="false" ht="15" hidden="false" customHeight="false" outlineLevel="0" collapsed="false">
      <c r="A197" s="24" t="n">
        <v>46043</v>
      </c>
      <c r="B197" s="25" t="n">
        <v>159.67</v>
      </c>
      <c r="C197" s="25" t="n">
        <v>160.48</v>
      </c>
      <c r="D197" s="25" t="n">
        <v>158.3</v>
      </c>
      <c r="E197" s="25" t="n">
        <v>159.39</v>
      </c>
      <c r="F197" s="26" t="n">
        <v>8209342</v>
      </c>
      <c r="G197" s="27" t="n">
        <f aca="false">E197-E196</f>
        <v>-0.780000000000001</v>
      </c>
      <c r="H197" s="28" t="n">
        <f aca="false">G197/E196</f>
        <v>-0.0048698258100768</v>
      </c>
      <c r="I197" s="29" t="n">
        <f aca="false">MAX(G197,0)</f>
        <v>0</v>
      </c>
      <c r="J197" s="29" t="n">
        <f aca="false">MAX(-G197,0)</f>
        <v>0.780000000000001</v>
      </c>
      <c r="K197" s="29" t="n">
        <f aca="false">(K196*13+I197)/14</f>
        <v>1.1308359708928</v>
      </c>
      <c r="L197" s="29" t="n">
        <f aca="false">(L196*13+J197)/14</f>
        <v>0.637331908115036</v>
      </c>
      <c r="M197" s="31" t="n">
        <f aca="false">IF(L197=0,100,100-100/(1+K197/MAX(L197,0.000001)))</f>
        <v>63.9552377530658</v>
      </c>
      <c r="N197" s="30" t="n">
        <f aca="false">AVERAGE(E178:E197)</f>
        <v>155.161</v>
      </c>
      <c r="O197" s="30" t="n">
        <f aca="false">AVERAGE(E148:E197)</f>
        <v>146.6212</v>
      </c>
      <c r="Q197" s="30" t="n">
        <f aca="false">Q196+(2/13)*(E197-Q196)</f>
        <v>156.570073682521</v>
      </c>
      <c r="R197" s="30" t="n">
        <f aca="false">R196+(2/27)*(E197-R196)</f>
        <v>153.191019384249</v>
      </c>
      <c r="S197" s="33" t="n">
        <f aca="false">Q197-R197</f>
        <v>3.37905429827208</v>
      </c>
      <c r="T197" s="33" t="n">
        <f aca="false">T196+(2/10)*(S197-T196)</f>
        <v>3.20671166370097</v>
      </c>
      <c r="U197" s="33" t="n">
        <f aca="false">S197-T197</f>
        <v>0.17234263457111</v>
      </c>
      <c r="V197" s="32" t="str">
        <f aca="false">IF(M197="","",IF(M197&lt;Assumptions!$B$5,"BUY",IF(M197&gt;Assumptions!$B$4,"SELL","HOLD")))</f>
        <v>HOLD</v>
      </c>
      <c r="W197" s="32" t="str">
        <f aca="false">IF(O197="","",IF(E197&gt;O197,"BUY","SELL"))</f>
        <v>BUY</v>
      </c>
      <c r="X197" s="32" t="str">
        <f aca="false">IF(T197="","",IF(S197&gt;T197,"BUY","SELL"))</f>
        <v>BUY</v>
      </c>
      <c r="Y197" s="34" t="n">
        <f aca="false">IF(OR(V197="",W197="",X197=""),"",IFERROR(IF(V197="BUY",1,IF(V197="SELL",-1,0))+IF(W197="BUY",1,IF(W197="SELL",-1,0))+IF(X197="BUY",1,IF(X197="SELL",-1,0)),0))</f>
        <v>2</v>
      </c>
      <c r="Z197" s="32" t="str">
        <f aca="false">IF(Y197="","",IF(Y197&gt;=2,"STRONG BUY",IF(Y197=1,"BUY",IF(Y197=0,"HOLD",IF(Y197=-1,"SELL","STRONG SELL")))))</f>
        <v>STRONG BUY</v>
      </c>
    </row>
    <row r="198" customFormat="false" ht="15" hidden="false" customHeight="false" outlineLevel="0" collapsed="false">
      <c r="A198" s="24" t="n">
        <v>46044</v>
      </c>
      <c r="B198" s="25" t="n">
        <v>158.29</v>
      </c>
      <c r="C198" s="25" t="n">
        <v>159.52</v>
      </c>
      <c r="D198" s="25" t="n">
        <v>156.7</v>
      </c>
      <c r="E198" s="25" t="n">
        <v>158.11</v>
      </c>
      <c r="F198" s="26" t="n">
        <v>13361461</v>
      </c>
      <c r="G198" s="27" t="n">
        <f aca="false">E198-E197</f>
        <v>-1.27999999999997</v>
      </c>
      <c r="H198" s="28" t="n">
        <f aca="false">G198/E197</f>
        <v>-0.00803061672626873</v>
      </c>
      <c r="I198" s="29" t="n">
        <f aca="false">MAX(G198,0)</f>
        <v>0</v>
      </c>
      <c r="J198" s="29" t="n">
        <f aca="false">MAX(-G198,0)</f>
        <v>1.27999999999997</v>
      </c>
      <c r="K198" s="29" t="n">
        <f aca="false">(K197*13+I198)/14</f>
        <v>1.05006197297189</v>
      </c>
      <c r="L198" s="29" t="n">
        <f aca="false">(L197*13+J198)/14</f>
        <v>0.683236771821102</v>
      </c>
      <c r="M198" s="31" t="n">
        <f aca="false">IF(L198=0,100,100-100/(1+K198/MAX(L198,0.000001)))</f>
        <v>60.5817073442408</v>
      </c>
      <c r="N198" s="30" t="n">
        <f aca="false">AVERAGE(E179:E198)</f>
        <v>155.4725</v>
      </c>
      <c r="O198" s="30" t="n">
        <f aca="false">AVERAGE(E149:E198)</f>
        <v>147.1364</v>
      </c>
      <c r="Q198" s="30" t="n">
        <f aca="false">Q197+(2/13)*(E198-Q197)</f>
        <v>156.806985423672</v>
      </c>
      <c r="R198" s="30" t="n">
        <f aca="false">R197+(2/27)*(E198-R197)</f>
        <v>153.555388318749</v>
      </c>
      <c r="S198" s="33" t="n">
        <f aca="false">Q198-R198</f>
        <v>3.25159710492261</v>
      </c>
      <c r="T198" s="33" t="n">
        <f aca="false">T197+(2/10)*(S198-T197)</f>
        <v>3.2156887519453</v>
      </c>
      <c r="U198" s="33" t="n">
        <f aca="false">S198-T198</f>
        <v>0.0359083529773114</v>
      </c>
      <c r="V198" s="32" t="str">
        <f aca="false">IF(M198="","",IF(M198&lt;Assumptions!$B$5,"BUY",IF(M198&gt;Assumptions!$B$4,"SELL","HOLD")))</f>
        <v>HOLD</v>
      </c>
      <c r="W198" s="32" t="str">
        <f aca="false">IF(O198="","",IF(E198&gt;O198,"BUY","SELL"))</f>
        <v>BUY</v>
      </c>
      <c r="X198" s="32" t="str">
        <f aca="false">IF(T198="","",IF(S198&gt;T198,"BUY","SELL"))</f>
        <v>BUY</v>
      </c>
      <c r="Y198" s="34" t="n">
        <f aca="false">IF(OR(V198="",W198="",X198=""),"",IFERROR(IF(V198="BUY",1,IF(V198="SELL",-1,0))+IF(W198="BUY",1,IF(W198="SELL",-1,0))+IF(X198="BUY",1,IF(X198="SELL",-1,0)),0))</f>
        <v>2</v>
      </c>
      <c r="Z198" s="32" t="str">
        <f aca="false">IF(Y198="","",IF(Y198&gt;=2,"STRONG BUY",IF(Y198=1,"BUY",IF(Y198=0,"HOLD",IF(Y198=-1,"SELL","STRONG SELL")))))</f>
        <v>STRONG BUY</v>
      </c>
    </row>
    <row r="199" customFormat="false" ht="15" hidden="false" customHeight="false" outlineLevel="0" collapsed="false">
      <c r="A199" s="24" t="n">
        <v>46045</v>
      </c>
      <c r="B199" s="25" t="n">
        <v>155.61</v>
      </c>
      <c r="C199" s="25" t="n">
        <v>155.99</v>
      </c>
      <c r="D199" s="25" t="n">
        <v>154.85</v>
      </c>
      <c r="E199" s="25" t="n">
        <v>155.42</v>
      </c>
      <c r="F199" s="26" t="n">
        <v>15141382</v>
      </c>
      <c r="G199" s="27" t="n">
        <f aca="false">E199-E198</f>
        <v>-2.69000000000003</v>
      </c>
      <c r="H199" s="28" t="n">
        <f aca="false">G199/E198</f>
        <v>-0.0170134716336729</v>
      </c>
      <c r="I199" s="29" t="n">
        <f aca="false">MAX(G199,0)</f>
        <v>0</v>
      </c>
      <c r="J199" s="29" t="n">
        <f aca="false">MAX(-G199,0)</f>
        <v>2.69000000000003</v>
      </c>
      <c r="K199" s="29" t="n">
        <f aca="false">(K198*13+I199)/14</f>
        <v>0.97505754633104</v>
      </c>
      <c r="L199" s="29" t="n">
        <f aca="false">(L198*13+J199)/14</f>
        <v>0.826577002405311</v>
      </c>
      <c r="M199" s="31" t="n">
        <f aca="false">IF(L199=0,100,100-100/(1+K199/MAX(L199,0.000001)))</f>
        <v>54.1207176014101</v>
      </c>
      <c r="N199" s="30" t="n">
        <f aca="false">AVERAGE(E180:E199)</f>
        <v>155.418</v>
      </c>
      <c r="O199" s="30" t="n">
        <f aca="false">AVERAGE(E150:E199)</f>
        <v>147.6248</v>
      </c>
      <c r="Q199" s="30" t="n">
        <f aca="false">Q198+(2/13)*(E199-Q198)</f>
        <v>156.593603050799</v>
      </c>
      <c r="R199" s="30" t="n">
        <f aca="false">R198+(2/27)*(E199-R198)</f>
        <v>153.693507702545</v>
      </c>
      <c r="S199" s="33" t="n">
        <f aca="false">Q199-R199</f>
        <v>2.90009534825367</v>
      </c>
      <c r="T199" s="33" t="n">
        <f aca="false">T198+(2/10)*(S199-T198)</f>
        <v>3.15257007120697</v>
      </c>
      <c r="U199" s="33" t="n">
        <f aca="false">S199-T199</f>
        <v>-0.252474722953301</v>
      </c>
      <c r="V199" s="32" t="str">
        <f aca="false">IF(M199="","",IF(M199&lt;Assumptions!$B$5,"BUY",IF(M199&gt;Assumptions!$B$4,"SELL","HOLD")))</f>
        <v>HOLD</v>
      </c>
      <c r="W199" s="32" t="str">
        <f aca="false">IF(O199="","",IF(E199&gt;O199,"BUY","SELL"))</f>
        <v>BUY</v>
      </c>
      <c r="X199" s="32" t="str">
        <f aca="false">IF(T199="","",IF(S199&gt;T199,"BUY","SELL"))</f>
        <v>SELL</v>
      </c>
      <c r="Y199" s="34" t="n">
        <f aca="false">IF(OR(V199="",W199="",X199=""),"",IFERROR(IF(V199="BUY",1,IF(V199="SELL",-1,0))+IF(W199="BUY",1,IF(W199="SELL",-1,0))+IF(X199="BUY",1,IF(X199="SELL",-1,0)),0))</f>
        <v>0</v>
      </c>
      <c r="Z199" s="32" t="str">
        <f aca="false">IF(Y199="","",IF(Y199&gt;=2,"STRONG BUY",IF(Y199=1,"BUY",IF(Y199=0,"HOLD",IF(Y199=-1,"SELL","STRONG SELL")))))</f>
        <v>HOLD</v>
      </c>
    </row>
    <row r="200" customFormat="false" ht="15" hidden="false" customHeight="false" outlineLevel="0" collapsed="false">
      <c r="A200" s="24" t="n">
        <v>46048</v>
      </c>
      <c r="B200" s="25" t="n">
        <v>157.75</v>
      </c>
      <c r="C200" s="25" t="n">
        <v>158.05</v>
      </c>
      <c r="D200" s="25" t="n">
        <v>157.67</v>
      </c>
      <c r="E200" s="25" t="n">
        <v>157.86</v>
      </c>
      <c r="F200" s="26" t="n">
        <v>9689231</v>
      </c>
      <c r="G200" s="27" t="n">
        <f aca="false">E200-E199</f>
        <v>2.44000000000003</v>
      </c>
      <c r="H200" s="28" t="n">
        <f aca="false">G200/E199</f>
        <v>0.0156993951872348</v>
      </c>
      <c r="I200" s="29" t="n">
        <f aca="false">MAX(G200,0)</f>
        <v>2.44000000000003</v>
      </c>
      <c r="J200" s="29" t="n">
        <f aca="false">MAX(-G200,0)</f>
        <v>0</v>
      </c>
      <c r="K200" s="29" t="n">
        <f aca="false">(K199*13+I200)/14</f>
        <v>1.07969629302168</v>
      </c>
      <c r="L200" s="29" t="n">
        <f aca="false">(L199*13+J200)/14</f>
        <v>0.767535787947789</v>
      </c>
      <c r="M200" s="31" t="n">
        <f aca="false">IF(L200=0,100,100-100/(1+K200/MAX(L200,0.000001)))</f>
        <v>58.4494121851236</v>
      </c>
      <c r="N200" s="30" t="n">
        <f aca="false">AVERAGE(E181:E200)</f>
        <v>155.504</v>
      </c>
      <c r="O200" s="30" t="n">
        <f aca="false">AVERAGE(E151:E200)</f>
        <v>148.127</v>
      </c>
      <c r="Q200" s="30" t="n">
        <f aca="false">Q199+(2/13)*(E200-Q199)</f>
        <v>156.788433350676</v>
      </c>
      <c r="R200" s="30" t="n">
        <f aca="false">R199+(2/27)*(E200-R199)</f>
        <v>154.002136761616</v>
      </c>
      <c r="S200" s="33" t="n">
        <f aca="false">Q200-R200</f>
        <v>2.78629658906004</v>
      </c>
      <c r="T200" s="33" t="n">
        <f aca="false">T199+(2/10)*(S200-T199)</f>
        <v>3.07931537477759</v>
      </c>
      <c r="U200" s="33" t="n">
        <f aca="false">S200-T200</f>
        <v>-0.293018785717544</v>
      </c>
      <c r="V200" s="32" t="str">
        <f aca="false">IF(M200="","",IF(M200&lt;Assumptions!$B$5,"BUY",IF(M200&gt;Assumptions!$B$4,"SELL","HOLD")))</f>
        <v>HOLD</v>
      </c>
      <c r="W200" s="32" t="str">
        <f aca="false">IF(O200="","",IF(E200&gt;O200,"BUY","SELL"))</f>
        <v>BUY</v>
      </c>
      <c r="X200" s="32" t="str">
        <f aca="false">IF(T200="","",IF(S200&gt;T200,"BUY","SELL"))</f>
        <v>SELL</v>
      </c>
      <c r="Y200" s="34" t="n">
        <f aca="false">IF(OR(V200="",W200="",X200=""),"",IFERROR(IF(V200="BUY",1,IF(V200="SELL",-1,0))+IF(W200="BUY",1,IF(W200="SELL",-1,0))+IF(X200="BUY",1,IF(X200="SELL",-1,0)),0))</f>
        <v>0</v>
      </c>
      <c r="Z200" s="32" t="str">
        <f aca="false">IF(Y200="","",IF(Y200&gt;=2,"STRONG BUY",IF(Y200=1,"BUY",IF(Y200=0,"HOLD",IF(Y200=-1,"SELL","STRONG SELL")))))</f>
        <v>HOLD</v>
      </c>
    </row>
    <row r="201" customFormat="false" ht="15" hidden="false" customHeight="false" outlineLevel="0" collapsed="false">
      <c r="A201" s="24" t="n">
        <v>46049</v>
      </c>
      <c r="B201" s="25" t="n">
        <v>159.16</v>
      </c>
      <c r="C201" s="25" t="n">
        <v>159.83</v>
      </c>
      <c r="D201" s="25" t="n">
        <v>158.85</v>
      </c>
      <c r="E201" s="25" t="n">
        <v>159.34</v>
      </c>
      <c r="F201" s="26" t="n">
        <v>16155643</v>
      </c>
      <c r="G201" s="27" t="n">
        <f aca="false">E201-E200</f>
        <v>1.47999999999999</v>
      </c>
      <c r="H201" s="28" t="n">
        <f aca="false">G201/E200</f>
        <v>0.00937539592043576</v>
      </c>
      <c r="I201" s="29" t="n">
        <f aca="false">MAX(G201,0)</f>
        <v>1.47999999999999</v>
      </c>
      <c r="J201" s="29" t="n">
        <f aca="false">MAX(-G201,0)</f>
        <v>0</v>
      </c>
      <c r="K201" s="29" t="n">
        <f aca="false">(K200*13+I201)/14</f>
        <v>1.1082894149487</v>
      </c>
      <c r="L201" s="29" t="n">
        <f aca="false">(L200*13+J201)/14</f>
        <v>0.712711803094376</v>
      </c>
      <c r="M201" s="31" t="n">
        <f aca="false">IF(L201=0,100,100-100/(1+K201/MAX(L201,0.000001)))</f>
        <v>60.8615416600169</v>
      </c>
      <c r="N201" s="30" t="n">
        <f aca="false">AVERAGE(E182:E201)</f>
        <v>155.7805</v>
      </c>
      <c r="O201" s="30" t="n">
        <f aca="false">AVERAGE(E152:E201)</f>
        <v>148.6346</v>
      </c>
      <c r="Q201" s="30" t="n">
        <f aca="false">Q200+(2/13)*(E201-Q200)</f>
        <v>157.180982065957</v>
      </c>
      <c r="R201" s="30" t="n">
        <f aca="false">R200+(2/27)*(E201-R200)</f>
        <v>154.397534038533</v>
      </c>
      <c r="S201" s="33" t="n">
        <f aca="false">Q201-R201</f>
        <v>2.7834480274233</v>
      </c>
      <c r="T201" s="33" t="n">
        <f aca="false">T200+(2/10)*(S201-T200)</f>
        <v>3.02014190530673</v>
      </c>
      <c r="U201" s="33" t="n">
        <f aca="false">S201-T201</f>
        <v>-0.236693877883426</v>
      </c>
      <c r="V201" s="32" t="str">
        <f aca="false">IF(M201="","",IF(M201&lt;Assumptions!$B$5,"BUY",IF(M201&gt;Assumptions!$B$4,"SELL","HOLD")))</f>
        <v>HOLD</v>
      </c>
      <c r="W201" s="32" t="str">
        <f aca="false">IF(O201="","",IF(E201&gt;O201,"BUY","SELL"))</f>
        <v>BUY</v>
      </c>
      <c r="X201" s="32" t="str">
        <f aca="false">IF(T201="","",IF(S201&gt;T201,"BUY","SELL"))</f>
        <v>SELL</v>
      </c>
      <c r="Y201" s="34" t="n">
        <f aca="false">IF(OR(V201="",W201="",X201=""),"",IFERROR(IF(V201="BUY",1,IF(V201="SELL",-1,0))+IF(W201="BUY",1,IF(W201="SELL",-1,0))+IF(X201="BUY",1,IF(X201="SELL",-1,0)),0))</f>
        <v>0</v>
      </c>
      <c r="Z201" s="32" t="str">
        <f aca="false">IF(Y201="","",IF(Y201&gt;=2,"STRONG BUY",IF(Y201=1,"BUY",IF(Y201=0,"HOLD",IF(Y201=-1,"SELL","STRONG SELL")))))</f>
        <v>HOLD</v>
      </c>
    </row>
    <row r="202" customFormat="false" ht="15" hidden="false" customHeight="false" outlineLevel="0" collapsed="false">
      <c r="A202" s="24" t="n">
        <v>46050</v>
      </c>
      <c r="B202" s="25" t="n">
        <v>160.26</v>
      </c>
      <c r="C202" s="25" t="n">
        <v>160.65</v>
      </c>
      <c r="D202" s="25" t="n">
        <v>160.01</v>
      </c>
      <c r="E202" s="25" t="n">
        <v>160.33</v>
      </c>
      <c r="F202" s="26" t="n">
        <v>11575539</v>
      </c>
      <c r="G202" s="27" t="n">
        <f aca="false">E202-E201</f>
        <v>0.990000000000009</v>
      </c>
      <c r="H202" s="28" t="n">
        <f aca="false">G202/E201</f>
        <v>0.00621312915777588</v>
      </c>
      <c r="I202" s="29" t="n">
        <f aca="false">MAX(G202,0)</f>
        <v>0.990000000000009</v>
      </c>
      <c r="J202" s="29" t="n">
        <f aca="false">MAX(-G202,0)</f>
        <v>0</v>
      </c>
      <c r="K202" s="29" t="n">
        <f aca="false">(K201*13+I202)/14</f>
        <v>1.0998401710238</v>
      </c>
      <c r="L202" s="29" t="n">
        <f aca="false">(L201*13+J202)/14</f>
        <v>0.661803817159063</v>
      </c>
      <c r="M202" s="31" t="n">
        <f aca="false">IF(L202=0,100,100-100/(1+K202/MAX(L202,0.000001)))</f>
        <v>62.4326015018667</v>
      </c>
      <c r="N202" s="30" t="n">
        <f aca="false">AVERAGE(E183:E202)</f>
        <v>156.073</v>
      </c>
      <c r="O202" s="30" t="n">
        <f aca="false">AVERAGE(E153:E202)</f>
        <v>149.1384</v>
      </c>
      <c r="P202" s="30" t="n">
        <f aca="false">AVERAGE(E3:E202)</f>
        <v>140.5293</v>
      </c>
      <c r="Q202" s="30" t="n">
        <f aca="false">Q201+(2/13)*(E202-Q201)</f>
        <v>157.665446363502</v>
      </c>
      <c r="R202" s="30" t="n">
        <f aca="false">R201+(2/27)*(E202-R201)</f>
        <v>154.836975961605</v>
      </c>
      <c r="S202" s="33" t="n">
        <f aca="false">Q202-R202</f>
        <v>2.82847040189682</v>
      </c>
      <c r="T202" s="33" t="n">
        <f aca="false">T201+(2/10)*(S202-T201)</f>
        <v>2.98180760462475</v>
      </c>
      <c r="U202" s="33" t="n">
        <f aca="false">S202-T202</f>
        <v>-0.153337202727927</v>
      </c>
      <c r="V202" s="32" t="str">
        <f aca="false">IF(M202="","",IF(M202&lt;Assumptions!$B$5,"BUY",IF(M202&gt;Assumptions!$B$4,"SELL","HOLD")))</f>
        <v>HOLD</v>
      </c>
      <c r="W202" s="32" t="str">
        <f aca="false">IF(O202="","",IF(E202&gt;O202,"BUY","SELL"))</f>
        <v>BUY</v>
      </c>
      <c r="X202" s="32" t="str">
        <f aca="false">IF(T202="","",IF(S202&gt;T202,"BUY","SELL"))</f>
        <v>SELL</v>
      </c>
      <c r="Y202" s="34" t="n">
        <f aca="false">IF(OR(V202="",W202="",X202=""),"",IFERROR(IF(V202="BUY",1,IF(V202="SELL",-1,0))+IF(W202="BUY",1,IF(W202="SELL",-1,0))+IF(X202="BUY",1,IF(X202="SELL",-1,0)),0))</f>
        <v>0</v>
      </c>
      <c r="Z202" s="32" t="str">
        <f aca="false">IF(Y202="","",IF(Y202&gt;=2,"STRONG BUY",IF(Y202=1,"BUY",IF(Y202=0,"HOLD",IF(Y202=-1,"SELL","STRONG SELL")))))</f>
        <v>HOLD</v>
      </c>
    </row>
    <row r="203" customFormat="false" ht="15" hidden="false" customHeight="false" outlineLevel="0" collapsed="false">
      <c r="A203" s="24" t="n">
        <v>46051</v>
      </c>
      <c r="B203" s="25" t="n">
        <v>157.64</v>
      </c>
      <c r="C203" s="25" t="n">
        <v>157.73</v>
      </c>
      <c r="D203" s="25" t="n">
        <v>156.73</v>
      </c>
      <c r="E203" s="25" t="n">
        <v>157.23</v>
      </c>
      <c r="F203" s="26" t="n">
        <v>20292671</v>
      </c>
      <c r="G203" s="27" t="n">
        <f aca="false">E203-E202</f>
        <v>-3.10000000000002</v>
      </c>
      <c r="H203" s="28" t="n">
        <f aca="false">G203/E202</f>
        <v>-0.0193351213122935</v>
      </c>
      <c r="I203" s="29" t="n">
        <f aca="false">MAX(G203,0)</f>
        <v>0</v>
      </c>
      <c r="J203" s="29" t="n">
        <f aca="false">MAX(-G203,0)</f>
        <v>3.10000000000002</v>
      </c>
      <c r="K203" s="29" t="n">
        <f aca="false">(K202*13+I203)/14</f>
        <v>1.02128015880781</v>
      </c>
      <c r="L203" s="29" t="n">
        <f aca="false">(L202*13+J203)/14</f>
        <v>0.835960687361989</v>
      </c>
      <c r="M203" s="31" t="n">
        <f aca="false">IF(L203=0,100,100-100/(1+K203/MAX(L203,0.000001)))</f>
        <v>54.9891071432122</v>
      </c>
      <c r="N203" s="30" t="n">
        <f aca="false">AVERAGE(E184:E203)</f>
        <v>156.215</v>
      </c>
      <c r="O203" s="30" t="n">
        <f aca="false">AVERAGE(E154:E203)</f>
        <v>149.5736</v>
      </c>
      <c r="P203" s="30" t="n">
        <f aca="false">AVERAGE(E4:E203)</f>
        <v>140.57545</v>
      </c>
      <c r="Q203" s="30" t="n">
        <f aca="false">Q202+(2/13)*(E203-Q202)</f>
        <v>157.598454615271</v>
      </c>
      <c r="R203" s="30" t="n">
        <f aca="false">R202+(2/27)*(E203-R202)</f>
        <v>155.014237001486</v>
      </c>
      <c r="S203" s="33" t="n">
        <f aca="false">Q203-R203</f>
        <v>2.58421761378466</v>
      </c>
      <c r="T203" s="33" t="n">
        <f aca="false">T202+(2/10)*(S203-T202)</f>
        <v>2.90228960645673</v>
      </c>
      <c r="U203" s="33" t="n">
        <f aca="false">S203-T203</f>
        <v>-0.318071992672072</v>
      </c>
      <c r="V203" s="32" t="str">
        <f aca="false">IF(M203="","",IF(M203&lt;Assumptions!$B$5,"BUY",IF(M203&gt;Assumptions!$B$4,"SELL","HOLD")))</f>
        <v>HOLD</v>
      </c>
      <c r="W203" s="32" t="str">
        <f aca="false">IF(O203="","",IF(E203&gt;O203,"BUY","SELL"))</f>
        <v>BUY</v>
      </c>
      <c r="X203" s="32" t="str">
        <f aca="false">IF(T203="","",IF(S203&gt;T203,"BUY","SELL"))</f>
        <v>SELL</v>
      </c>
      <c r="Y203" s="34" t="n">
        <f aca="false">IF(OR(V203="",W203="",X203=""),"",IFERROR(IF(V203="BUY",1,IF(V203="SELL",-1,0))+IF(W203="BUY",1,IF(W203="SELL",-1,0))+IF(X203="BUY",1,IF(X203="SELL",-1,0)),0))</f>
        <v>0</v>
      </c>
      <c r="Z203" s="32" t="str">
        <f aca="false">IF(Y203="","",IF(Y203&gt;=2,"STRONG BUY",IF(Y203=1,"BUY",IF(Y203=0,"HOLD",IF(Y203=-1,"SELL","STRONG SELL")))))</f>
        <v>HOLD</v>
      </c>
    </row>
    <row r="204" customFormat="false" ht="15" hidden="false" customHeight="false" outlineLevel="0" collapsed="false">
      <c r="A204" s="24" t="n">
        <v>46052</v>
      </c>
      <c r="B204" s="25" t="n">
        <v>158.14</v>
      </c>
      <c r="C204" s="25" t="n">
        <v>159.6</v>
      </c>
      <c r="D204" s="25" t="n">
        <v>156.96</v>
      </c>
      <c r="E204" s="25" t="n">
        <v>158.28</v>
      </c>
      <c r="F204" s="26" t="n">
        <v>14406695</v>
      </c>
      <c r="G204" s="27" t="n">
        <f aca="false">E204-E203</f>
        <v>1.05000000000001</v>
      </c>
      <c r="H204" s="28" t="n">
        <f aca="false">G204/E203</f>
        <v>0.00667811486357573</v>
      </c>
      <c r="I204" s="29" t="n">
        <f aca="false">MAX(G204,0)</f>
        <v>1.05000000000001</v>
      </c>
      <c r="J204" s="29" t="n">
        <f aca="false">MAX(-G204,0)</f>
        <v>0</v>
      </c>
      <c r="K204" s="29" t="n">
        <f aca="false">(K203*13+I204)/14</f>
        <v>1.02333157603583</v>
      </c>
      <c r="L204" s="29" t="n">
        <f aca="false">(L203*13+J204)/14</f>
        <v>0.776249209693275</v>
      </c>
      <c r="M204" s="31" t="n">
        <f aca="false">IF(L204=0,100,100-100/(1+K204/MAX(L204,0.000001)))</f>
        <v>56.8649979012319</v>
      </c>
      <c r="N204" s="30" t="n">
        <f aca="false">AVERAGE(E185:E204)</f>
        <v>156.5835</v>
      </c>
      <c r="O204" s="30" t="n">
        <f aca="false">AVERAGE(E155:E204)</f>
        <v>149.9792</v>
      </c>
      <c r="P204" s="30" t="n">
        <f aca="false">AVERAGE(E5:E204)</f>
        <v>140.6249</v>
      </c>
      <c r="Q204" s="30" t="n">
        <f aca="false">Q203+(2/13)*(E204-Q203)</f>
        <v>157.703307751383</v>
      </c>
      <c r="R204" s="30" t="n">
        <f aca="false">R203+(2/27)*(E204-R203)</f>
        <v>155.256145371746</v>
      </c>
      <c r="S204" s="33" t="n">
        <f aca="false">Q204-R204</f>
        <v>2.44716237963655</v>
      </c>
      <c r="T204" s="33" t="n">
        <f aca="false">T203+(2/10)*(S204-T203)</f>
        <v>2.8112641610927</v>
      </c>
      <c r="U204" s="33" t="n">
        <f aca="false">S204-T204</f>
        <v>-0.364101781456143</v>
      </c>
      <c r="V204" s="32" t="str">
        <f aca="false">IF(M204="","",IF(M204&lt;Assumptions!$B$5,"BUY",IF(M204&gt;Assumptions!$B$4,"SELL","HOLD")))</f>
        <v>HOLD</v>
      </c>
      <c r="W204" s="32" t="str">
        <f aca="false">IF(O204="","",IF(E204&gt;O204,"BUY","SELL"))</f>
        <v>BUY</v>
      </c>
      <c r="X204" s="32" t="str">
        <f aca="false">IF(T204="","",IF(S204&gt;T204,"BUY","SELL"))</f>
        <v>SELL</v>
      </c>
      <c r="Y204" s="34" t="n">
        <f aca="false">IF(OR(V204="",W204="",X204=""),"",IFERROR(IF(V204="BUY",1,IF(V204="SELL",-1,0))+IF(W204="BUY",1,IF(W204="SELL",-1,0))+IF(X204="BUY",1,IF(X204="SELL",-1,0)),0))</f>
        <v>0</v>
      </c>
      <c r="Z204" s="32" t="str">
        <f aca="false">IF(Y204="","",IF(Y204&gt;=2,"STRONG BUY",IF(Y204=1,"BUY",IF(Y204=0,"HOLD",IF(Y204=-1,"SELL","STRONG SELL")))))</f>
        <v>HOLD</v>
      </c>
    </row>
    <row r="205" customFormat="false" ht="15" hidden="false" customHeight="false" outlineLevel="0" collapsed="false">
      <c r="A205" s="24" t="n">
        <v>46055</v>
      </c>
      <c r="B205" s="25" t="n">
        <v>159.99</v>
      </c>
      <c r="C205" s="25" t="n">
        <v>160.49</v>
      </c>
      <c r="D205" s="25" t="n">
        <v>157.27</v>
      </c>
      <c r="E205" s="25" t="n">
        <v>158.88</v>
      </c>
      <c r="F205" s="26" t="n">
        <v>11512344</v>
      </c>
      <c r="G205" s="27" t="n">
        <f aca="false">E205-E204</f>
        <v>0.599999999999994</v>
      </c>
      <c r="H205" s="28" t="n">
        <f aca="false">G205/E204</f>
        <v>0.00379075056861255</v>
      </c>
      <c r="I205" s="29" t="n">
        <f aca="false">MAX(G205,0)</f>
        <v>0.599999999999994</v>
      </c>
      <c r="J205" s="29" t="n">
        <f aca="false">MAX(-G205,0)</f>
        <v>0</v>
      </c>
      <c r="K205" s="29" t="n">
        <f aca="false">(K204*13+I205)/14</f>
        <v>0.993093606318981</v>
      </c>
      <c r="L205" s="29" t="n">
        <f aca="false">(L204*13+J205)/14</f>
        <v>0.720802837572327</v>
      </c>
      <c r="M205" s="31" t="n">
        <f aca="false">IF(L205=0,100,100-100/(1+K205/MAX(L205,0.000001)))</f>
        <v>57.9436178806823</v>
      </c>
      <c r="N205" s="30" t="n">
        <f aca="false">AVERAGE(E186:E205)</f>
        <v>156.9085</v>
      </c>
      <c r="O205" s="30" t="n">
        <f aca="false">AVERAGE(E156:E205)</f>
        <v>150.4512</v>
      </c>
      <c r="P205" s="30" t="n">
        <f aca="false">AVERAGE(E6:E205)</f>
        <v>140.68545</v>
      </c>
      <c r="Q205" s="30" t="n">
        <f aca="false">Q204+(2/13)*(E205-Q204)</f>
        <v>157.884337328093</v>
      </c>
      <c r="R205" s="30" t="n">
        <f aca="false">R204+(2/27)*(E205-R204)</f>
        <v>155.524579047913</v>
      </c>
      <c r="S205" s="33" t="n">
        <f aca="false">Q205-R205</f>
        <v>2.35975828017993</v>
      </c>
      <c r="T205" s="33" t="n">
        <f aca="false">T204+(2/10)*(S205-T204)</f>
        <v>2.72096298491014</v>
      </c>
      <c r="U205" s="33" t="n">
        <f aca="false">S205-T205</f>
        <v>-0.361204704730211</v>
      </c>
      <c r="V205" s="32" t="str">
        <f aca="false">IF(M205="","",IF(M205&lt;Assumptions!$B$5,"BUY",IF(M205&gt;Assumptions!$B$4,"SELL","HOLD")))</f>
        <v>HOLD</v>
      </c>
      <c r="W205" s="32" t="str">
        <f aca="false">IF(O205="","",IF(E205&gt;O205,"BUY","SELL"))</f>
        <v>BUY</v>
      </c>
      <c r="X205" s="32" t="str">
        <f aca="false">IF(T205="","",IF(S205&gt;T205,"BUY","SELL"))</f>
        <v>SELL</v>
      </c>
      <c r="Y205" s="34" t="n">
        <f aca="false">IF(OR(V205="",W205="",X205=""),"",IFERROR(IF(V205="BUY",1,IF(V205="SELL",-1,0))+IF(W205="BUY",1,IF(W205="SELL",-1,0))+IF(X205="BUY",1,IF(X205="SELL",-1,0)),0))</f>
        <v>0</v>
      </c>
      <c r="Z205" s="32" t="str">
        <f aca="false">IF(Y205="","",IF(Y205&gt;=2,"STRONG BUY",IF(Y205=1,"BUY",IF(Y205=0,"HOLD",IF(Y205=-1,"SELL","STRONG SELL")))))</f>
        <v>HOLD</v>
      </c>
    </row>
    <row r="206" customFormat="false" ht="15" hidden="false" customHeight="false" outlineLevel="0" collapsed="false">
      <c r="A206" s="24" t="n">
        <v>46056</v>
      </c>
      <c r="B206" s="25" t="n">
        <v>158.82</v>
      </c>
      <c r="C206" s="25" t="n">
        <v>158.95</v>
      </c>
      <c r="D206" s="25" t="n">
        <v>157.45</v>
      </c>
      <c r="E206" s="25" t="n">
        <v>158.2</v>
      </c>
      <c r="F206" s="26" t="n">
        <v>2768368</v>
      </c>
      <c r="G206" s="27" t="n">
        <f aca="false">E206-E205</f>
        <v>-0.680000000000007</v>
      </c>
      <c r="H206" s="28" t="n">
        <f aca="false">G206/E205</f>
        <v>-0.00427995971802623</v>
      </c>
      <c r="I206" s="29" t="n">
        <f aca="false">MAX(G206,0)</f>
        <v>0</v>
      </c>
      <c r="J206" s="29" t="n">
        <f aca="false">MAX(-G206,0)</f>
        <v>0.680000000000007</v>
      </c>
      <c r="K206" s="29" t="n">
        <f aca="false">(K205*13+I206)/14</f>
        <v>0.922158348724768</v>
      </c>
      <c r="L206" s="29" t="n">
        <f aca="false">(L205*13+J206)/14</f>
        <v>0.717888349174304</v>
      </c>
      <c r="M206" s="31" t="n">
        <f aca="false">IF(L206=0,100,100-100/(1+K206/MAX(L206,0.000001)))</f>
        <v>56.2275665629563</v>
      </c>
      <c r="N206" s="30" t="n">
        <f aca="false">AVERAGE(E187:E206)</f>
        <v>157.2895</v>
      </c>
      <c r="O206" s="30" t="n">
        <f aca="false">AVERAGE(E157:E206)</f>
        <v>150.92</v>
      </c>
      <c r="P206" s="30" t="n">
        <f aca="false">AVERAGE(E7:E206)</f>
        <v>140.7472</v>
      </c>
      <c r="Q206" s="30" t="n">
        <f aca="false">Q205+(2/13)*(E206-Q205)</f>
        <v>157.932900816079</v>
      </c>
      <c r="R206" s="30" t="n">
        <f aca="false">R205+(2/27)*(E206-R205)</f>
        <v>155.722758377698</v>
      </c>
      <c r="S206" s="33" t="n">
        <f aca="false">Q206-R206</f>
        <v>2.21014243838138</v>
      </c>
      <c r="T206" s="33" t="n">
        <f aca="false">T205+(2/10)*(S206-T205)</f>
        <v>2.61879887560439</v>
      </c>
      <c r="U206" s="33" t="n">
        <f aca="false">S206-T206</f>
        <v>-0.408656437223008</v>
      </c>
      <c r="V206" s="32" t="str">
        <f aca="false">IF(M206="","",IF(M206&lt;Assumptions!$B$5,"BUY",IF(M206&gt;Assumptions!$B$4,"SELL","HOLD")))</f>
        <v>HOLD</v>
      </c>
      <c r="W206" s="32" t="str">
        <f aca="false">IF(O206="","",IF(E206&gt;O206,"BUY","SELL"))</f>
        <v>BUY</v>
      </c>
      <c r="X206" s="32" t="str">
        <f aca="false">IF(T206="","",IF(S206&gt;T206,"BUY","SELL"))</f>
        <v>SELL</v>
      </c>
      <c r="Y206" s="34" t="n">
        <f aca="false">IF(OR(V206="",W206="",X206=""),"",IFERROR(IF(V206="BUY",1,IF(V206="SELL",-1,0))+IF(W206="BUY",1,IF(W206="SELL",-1,0))+IF(X206="BUY",1,IF(X206="SELL",-1,0)),0))</f>
        <v>0</v>
      </c>
      <c r="Z206" s="32" t="str">
        <f aca="false">IF(Y206="","",IF(Y206&gt;=2,"STRONG BUY",IF(Y206=1,"BUY",IF(Y206=0,"HOLD",IF(Y206=-1,"SELL","STRONG SELL")))))</f>
        <v>HOLD</v>
      </c>
    </row>
    <row r="207" customFormat="false" ht="15" hidden="false" customHeight="false" outlineLevel="0" collapsed="false">
      <c r="A207" s="24" t="n">
        <v>46057</v>
      </c>
      <c r="B207" s="25" t="n">
        <v>155.21</v>
      </c>
      <c r="C207" s="25" t="n">
        <v>155.61</v>
      </c>
      <c r="D207" s="25" t="n">
        <v>155.21</v>
      </c>
      <c r="E207" s="25" t="n">
        <v>155.41</v>
      </c>
      <c r="F207" s="26" t="n">
        <v>11937375</v>
      </c>
      <c r="G207" s="27" t="n">
        <f aca="false">E207-E206</f>
        <v>-2.78999999999999</v>
      </c>
      <c r="H207" s="28" t="n">
        <f aca="false">G207/E206</f>
        <v>-0.0176359039190897</v>
      </c>
      <c r="I207" s="29" t="n">
        <f aca="false">MAX(G207,0)</f>
        <v>0</v>
      </c>
      <c r="J207" s="29" t="n">
        <f aca="false">MAX(-G207,0)</f>
        <v>2.78999999999999</v>
      </c>
      <c r="K207" s="29" t="n">
        <f aca="false">(K206*13+I207)/14</f>
        <v>0.856289895244427</v>
      </c>
      <c r="L207" s="29" t="n">
        <f aca="false">(L206*13+J207)/14</f>
        <v>0.865896324233282</v>
      </c>
      <c r="M207" s="31" t="n">
        <f aca="false">IF(L207=0,100,100-100/(1+K207/MAX(L207,0.000001)))</f>
        <v>49.7210978441179</v>
      </c>
      <c r="N207" s="30" t="n">
        <f aca="false">AVERAGE(E188:E207)</f>
        <v>157.388</v>
      </c>
      <c r="O207" s="30" t="n">
        <f aca="false">AVERAGE(E158:E207)</f>
        <v>151.331</v>
      </c>
      <c r="P207" s="30" t="n">
        <f aca="false">AVERAGE(E8:E207)</f>
        <v>140.7922</v>
      </c>
      <c r="Q207" s="30" t="n">
        <f aca="false">Q206+(2/13)*(E207-Q206)</f>
        <v>157.54476222899</v>
      </c>
      <c r="R207" s="30" t="n">
        <f aca="false">R206+(2/27)*(E207-R206)</f>
        <v>155.699591090461</v>
      </c>
      <c r="S207" s="33" t="n">
        <f aca="false">Q207-R207</f>
        <v>1.84517113852917</v>
      </c>
      <c r="T207" s="33" t="n">
        <f aca="false">T206+(2/10)*(S207-T206)</f>
        <v>2.46407332818935</v>
      </c>
      <c r="U207" s="33" t="n">
        <f aca="false">S207-T207</f>
        <v>-0.618902189660179</v>
      </c>
      <c r="V207" s="32" t="str">
        <f aca="false">IF(M207="","",IF(M207&lt;Assumptions!$B$5,"BUY",IF(M207&gt;Assumptions!$B$4,"SELL","HOLD")))</f>
        <v>HOLD</v>
      </c>
      <c r="W207" s="32" t="str">
        <f aca="false">IF(O207="","",IF(E207&gt;O207,"BUY","SELL"))</f>
        <v>BUY</v>
      </c>
      <c r="X207" s="32" t="str">
        <f aca="false">IF(T207="","",IF(S207&gt;T207,"BUY","SELL"))</f>
        <v>SELL</v>
      </c>
      <c r="Y207" s="34" t="n">
        <f aca="false">IF(OR(V207="",W207="",X207=""),"",IFERROR(IF(V207="BUY",1,IF(V207="SELL",-1,0))+IF(W207="BUY",1,IF(W207="SELL",-1,0))+IF(X207="BUY",1,IF(X207="SELL",-1,0)),0))</f>
        <v>0</v>
      </c>
      <c r="Z207" s="32" t="str">
        <f aca="false">IF(Y207="","",IF(Y207&gt;=2,"STRONG BUY",IF(Y207=1,"BUY",IF(Y207=0,"HOLD",IF(Y207=-1,"SELL","STRONG SELL")))))</f>
        <v>HOLD</v>
      </c>
    </row>
    <row r="208" customFormat="false" ht="15" hidden="false" customHeight="false" outlineLevel="0" collapsed="false">
      <c r="A208" s="24" t="n">
        <v>46058</v>
      </c>
      <c r="B208" s="25" t="n">
        <v>155.66</v>
      </c>
      <c r="C208" s="25" t="n">
        <v>155.66</v>
      </c>
      <c r="D208" s="25" t="n">
        <v>154.96</v>
      </c>
      <c r="E208" s="25" t="n">
        <v>155.31</v>
      </c>
      <c r="F208" s="26" t="n">
        <v>13727576</v>
      </c>
      <c r="G208" s="27" t="n">
        <f aca="false">E208-E207</f>
        <v>-0.0999999999999943</v>
      </c>
      <c r="H208" s="28" t="n">
        <f aca="false">G208/E207</f>
        <v>-0.000643459236857309</v>
      </c>
      <c r="I208" s="29" t="n">
        <f aca="false">MAX(G208,0)</f>
        <v>0</v>
      </c>
      <c r="J208" s="29" t="n">
        <f aca="false">MAX(-G208,0)</f>
        <v>0.0999999999999943</v>
      </c>
      <c r="K208" s="29" t="n">
        <f aca="false">(K207*13+I208)/14</f>
        <v>0.795126331298397</v>
      </c>
      <c r="L208" s="29" t="n">
        <f aca="false">(L207*13+J208)/14</f>
        <v>0.811189443930904</v>
      </c>
      <c r="M208" s="31" t="n">
        <f aca="false">IF(L208=0,100,100-100/(1+K208/MAX(L208,0.000001)))</f>
        <v>49.5000014044494</v>
      </c>
      <c r="N208" s="30" t="n">
        <f aca="false">AVERAGE(E189:E208)</f>
        <v>157.384</v>
      </c>
      <c r="O208" s="30" t="n">
        <f aca="false">AVERAGE(E159:E208)</f>
        <v>151.6674</v>
      </c>
      <c r="P208" s="30" t="n">
        <f aca="false">AVERAGE(E9:E208)</f>
        <v>140.8479</v>
      </c>
      <c r="Q208" s="30" t="n">
        <f aca="false">Q207+(2/13)*(E208-Q207)</f>
        <v>157.200952655299</v>
      </c>
      <c r="R208" s="30" t="n">
        <f aca="false">R207+(2/27)*(E208-R207)</f>
        <v>155.670732491167</v>
      </c>
      <c r="S208" s="33" t="n">
        <f aca="false">Q208-R208</f>
        <v>1.53022016413181</v>
      </c>
      <c r="T208" s="33" t="n">
        <f aca="false">T207+(2/10)*(S208-T207)</f>
        <v>2.27730269537784</v>
      </c>
      <c r="U208" s="33" t="n">
        <f aca="false">S208-T208</f>
        <v>-0.747082531246033</v>
      </c>
      <c r="V208" s="32" t="str">
        <f aca="false">IF(M208="","",IF(M208&lt;Assumptions!$B$5,"BUY",IF(M208&gt;Assumptions!$B$4,"SELL","HOLD")))</f>
        <v>HOLD</v>
      </c>
      <c r="W208" s="32" t="str">
        <f aca="false">IF(O208="","",IF(E208&gt;O208,"BUY","SELL"))</f>
        <v>BUY</v>
      </c>
      <c r="X208" s="32" t="str">
        <f aca="false">IF(T208="","",IF(S208&gt;T208,"BUY","SELL"))</f>
        <v>SELL</v>
      </c>
      <c r="Y208" s="34" t="n">
        <f aca="false">IF(OR(V208="",W208="",X208=""),"",IFERROR(IF(V208="BUY",1,IF(V208="SELL",-1,0))+IF(W208="BUY",1,IF(W208="SELL",-1,0))+IF(X208="BUY",1,IF(X208="SELL",-1,0)),0))</f>
        <v>0</v>
      </c>
      <c r="Z208" s="32" t="str">
        <f aca="false">IF(Y208="","",IF(Y208&gt;=2,"STRONG BUY",IF(Y208=1,"BUY",IF(Y208=0,"HOLD",IF(Y208=-1,"SELL","STRONG SELL")))))</f>
        <v>HOLD</v>
      </c>
    </row>
    <row r="209" customFormat="false" ht="15" hidden="false" customHeight="false" outlineLevel="0" collapsed="false">
      <c r="A209" s="24" t="n">
        <v>46059</v>
      </c>
      <c r="B209" s="25" t="n">
        <v>153.62</v>
      </c>
      <c r="C209" s="25" t="n">
        <v>155.5</v>
      </c>
      <c r="D209" s="25" t="n">
        <v>151.66</v>
      </c>
      <c r="E209" s="25" t="n">
        <v>153.58</v>
      </c>
      <c r="F209" s="26" t="n">
        <v>10563903</v>
      </c>
      <c r="G209" s="27" t="n">
        <f aca="false">E209-E208</f>
        <v>-1.72999999999999</v>
      </c>
      <c r="H209" s="28" t="n">
        <f aca="false">G209/E208</f>
        <v>-0.0111390122979846</v>
      </c>
      <c r="I209" s="29" t="n">
        <f aca="false">MAX(G209,0)</f>
        <v>0</v>
      </c>
      <c r="J209" s="29" t="n">
        <f aca="false">MAX(-G209,0)</f>
        <v>1.72999999999999</v>
      </c>
      <c r="K209" s="29" t="n">
        <f aca="false">(K208*13+I209)/14</f>
        <v>0.738331593348511</v>
      </c>
      <c r="L209" s="29" t="n">
        <f aca="false">(L208*13+J209)/14</f>
        <v>0.87681876936441</v>
      </c>
      <c r="M209" s="31" t="n">
        <f aca="false">IF(L209=0,100,100-100/(1+K209/MAX(L209,0.000001)))</f>
        <v>45.7128704790282</v>
      </c>
      <c r="N209" s="30" t="n">
        <f aca="false">AVERAGE(E190:E209)</f>
        <v>157.321</v>
      </c>
      <c r="O209" s="30" t="n">
        <f aca="false">AVERAGE(E160:E209)</f>
        <v>151.9318</v>
      </c>
      <c r="P209" s="30" t="n">
        <f aca="false">AVERAGE(E10:E209)</f>
        <v>140.8838</v>
      </c>
      <c r="Q209" s="30" t="n">
        <f aca="false">Q208+(2/13)*(E209-Q208)</f>
        <v>156.643883016022</v>
      </c>
      <c r="R209" s="30" t="n">
        <f aca="false">R208+(2/27)*(E209-R208)</f>
        <v>155.515863417748</v>
      </c>
      <c r="S209" s="33" t="n">
        <f aca="false">Q209-R209</f>
        <v>1.12801959827482</v>
      </c>
      <c r="T209" s="33" t="n">
        <f aca="false">T208+(2/10)*(S209-T208)</f>
        <v>2.04744607595723</v>
      </c>
      <c r="U209" s="33" t="n">
        <f aca="false">S209-T209</f>
        <v>-0.919426477682416</v>
      </c>
      <c r="V209" s="32" t="str">
        <f aca="false">IF(M209="","",IF(M209&lt;Assumptions!$B$5,"BUY",IF(M209&gt;Assumptions!$B$4,"SELL","HOLD")))</f>
        <v>HOLD</v>
      </c>
      <c r="W209" s="32" t="str">
        <f aca="false">IF(O209="","",IF(E209&gt;O209,"BUY","SELL"))</f>
        <v>BUY</v>
      </c>
      <c r="X209" s="32" t="str">
        <f aca="false">IF(T209="","",IF(S209&gt;T209,"BUY","SELL"))</f>
        <v>SELL</v>
      </c>
      <c r="Y209" s="34" t="n">
        <f aca="false">IF(OR(V209="",W209="",X209=""),"",IFERROR(IF(V209="BUY",1,IF(V209="SELL",-1,0))+IF(W209="BUY",1,IF(W209="SELL",-1,0))+IF(X209="BUY",1,IF(X209="SELL",-1,0)),0))</f>
        <v>0</v>
      </c>
      <c r="Z209" s="32" t="str">
        <f aca="false">IF(Y209="","",IF(Y209&gt;=2,"STRONG BUY",IF(Y209=1,"BUY",IF(Y209=0,"HOLD",IF(Y209=-1,"SELL","STRONG SELL")))))</f>
        <v>HOLD</v>
      </c>
    </row>
    <row r="210" customFormat="false" ht="15" hidden="false" customHeight="false" outlineLevel="0" collapsed="false">
      <c r="A210" s="24" t="n">
        <v>46062</v>
      </c>
      <c r="B210" s="25" t="n">
        <v>153.72</v>
      </c>
      <c r="C210" s="25" t="n">
        <v>154.89</v>
      </c>
      <c r="D210" s="25" t="n">
        <v>152.63</v>
      </c>
      <c r="E210" s="25" t="n">
        <v>153.76</v>
      </c>
      <c r="F210" s="26" t="n">
        <v>13756500</v>
      </c>
      <c r="G210" s="27" t="n">
        <f aca="false">E210-E209</f>
        <v>0.179999999999978</v>
      </c>
      <c r="H210" s="28" t="n">
        <f aca="false">G210/E209</f>
        <v>0.00117202760776129</v>
      </c>
      <c r="I210" s="29" t="n">
        <f aca="false">MAX(G210,0)</f>
        <v>0.179999999999978</v>
      </c>
      <c r="J210" s="29" t="n">
        <f aca="false">MAX(-G210,0)</f>
        <v>0</v>
      </c>
      <c r="K210" s="29" t="n">
        <f aca="false">(K209*13+I210)/14</f>
        <v>0.698450765252188</v>
      </c>
      <c r="L210" s="29" t="n">
        <f aca="false">(L209*13+J210)/14</f>
        <v>0.814188857266952</v>
      </c>
      <c r="M210" s="31" t="n">
        <f aca="false">IF(L210=0,100,100-100/(1+K210/MAX(L210,0.000001)))</f>
        <v>46.1743005309482</v>
      </c>
      <c r="N210" s="30" t="n">
        <f aca="false">AVERAGE(E191:E210)</f>
        <v>157.2625</v>
      </c>
      <c r="O210" s="30" t="n">
        <f aca="false">AVERAGE(E161:E210)</f>
        <v>152.1614</v>
      </c>
      <c r="P210" s="30" t="n">
        <f aca="false">AVERAGE(E11:E210)</f>
        <v>140.93855</v>
      </c>
      <c r="Q210" s="30" t="n">
        <f aca="false">Q209+(2/13)*(E210-Q209)</f>
        <v>156.200208705865</v>
      </c>
      <c r="R210" s="30" t="n">
        <f aca="false">R209+(2/27)*(E210-R209)</f>
        <v>155.385799460877</v>
      </c>
      <c r="S210" s="33" t="n">
        <f aca="false">Q210-R210</f>
        <v>0.814409244987701</v>
      </c>
      <c r="T210" s="33" t="n">
        <f aca="false">T209+(2/10)*(S210-T209)</f>
        <v>1.80083870976333</v>
      </c>
      <c r="U210" s="33" t="n">
        <f aca="false">S210-T210</f>
        <v>-0.986429464775626</v>
      </c>
      <c r="V210" s="32" t="str">
        <f aca="false">IF(M210="","",IF(M210&lt;Assumptions!$B$5,"BUY",IF(M210&gt;Assumptions!$B$4,"SELL","HOLD")))</f>
        <v>HOLD</v>
      </c>
      <c r="W210" s="32" t="str">
        <f aca="false">IF(O210="","",IF(E210&gt;O210,"BUY","SELL"))</f>
        <v>BUY</v>
      </c>
      <c r="X210" s="32" t="str">
        <f aca="false">IF(T210="","",IF(S210&gt;T210,"BUY","SELL"))</f>
        <v>SELL</v>
      </c>
      <c r="Y210" s="34" t="n">
        <f aca="false">IF(OR(V210="",W210="",X210=""),"",IFERROR(IF(V210="BUY",1,IF(V210="SELL",-1,0))+IF(W210="BUY",1,IF(W210="SELL",-1,0))+IF(X210="BUY",1,IF(X210="SELL",-1,0)),0))</f>
        <v>0</v>
      </c>
      <c r="Z210" s="32" t="str">
        <f aca="false">IF(Y210="","",IF(Y210&gt;=2,"STRONG BUY",IF(Y210=1,"BUY",IF(Y210=0,"HOLD",IF(Y210=-1,"SELL","STRONG SELL")))))</f>
        <v>HOLD</v>
      </c>
    </row>
    <row r="211" customFormat="false" ht="15" hidden="false" customHeight="false" outlineLevel="0" collapsed="false">
      <c r="A211" s="24" t="n">
        <v>46063</v>
      </c>
      <c r="B211" s="25" t="n">
        <v>154.18</v>
      </c>
      <c r="C211" s="25" t="n">
        <v>157.54</v>
      </c>
      <c r="D211" s="25" t="n">
        <v>150.26</v>
      </c>
      <c r="E211" s="25" t="n">
        <v>153.9</v>
      </c>
      <c r="F211" s="26" t="n">
        <v>11685975</v>
      </c>
      <c r="G211" s="27" t="n">
        <f aca="false">E211-E210</f>
        <v>0.140000000000015</v>
      </c>
      <c r="H211" s="28" t="n">
        <f aca="false">G211/E210</f>
        <v>0.000910509885535996</v>
      </c>
      <c r="I211" s="29" t="n">
        <f aca="false">MAX(G211,0)</f>
        <v>0.140000000000015</v>
      </c>
      <c r="J211" s="29" t="n">
        <f aca="false">MAX(-G211,0)</f>
        <v>0</v>
      </c>
      <c r="K211" s="29" t="n">
        <f aca="false">(K210*13+I211)/14</f>
        <v>0.658561424877032</v>
      </c>
      <c r="L211" s="29" t="n">
        <f aca="false">(L210*13+J211)/14</f>
        <v>0.756032510319313</v>
      </c>
      <c r="M211" s="31" t="n">
        <f aca="false">IF(L211=0,100,100-100/(1+K211/MAX(L211,0.000001)))</f>
        <v>46.5548033602748</v>
      </c>
      <c r="N211" s="30" t="n">
        <f aca="false">AVERAGE(E192:E211)</f>
        <v>157.2345</v>
      </c>
      <c r="O211" s="30" t="n">
        <f aca="false">AVERAGE(E162:E211)</f>
        <v>152.4216</v>
      </c>
      <c r="P211" s="30" t="n">
        <f aca="false">AVERAGE(E12:E211)</f>
        <v>140.99095</v>
      </c>
      <c r="Q211" s="30" t="n">
        <f aca="false">Q210+(2/13)*(E211-Q210)</f>
        <v>155.846330443424</v>
      </c>
      <c r="R211" s="30" t="n">
        <f aca="false">R210+(2/27)*(E211-R210)</f>
        <v>155.275740241553</v>
      </c>
      <c r="S211" s="33" t="n">
        <f aca="false">Q211-R211</f>
        <v>0.57059020187117</v>
      </c>
      <c r="T211" s="33" t="n">
        <f aca="false">T210+(2/10)*(S211-T210)</f>
        <v>1.5547890081849</v>
      </c>
      <c r="U211" s="33" t="n">
        <f aca="false">S211-T211</f>
        <v>-0.984198806313726</v>
      </c>
      <c r="V211" s="32" t="str">
        <f aca="false">IF(M211="","",IF(M211&lt;Assumptions!$B$5,"BUY",IF(M211&gt;Assumptions!$B$4,"SELL","HOLD")))</f>
        <v>HOLD</v>
      </c>
      <c r="W211" s="32" t="str">
        <f aca="false">IF(O211="","",IF(E211&gt;O211,"BUY","SELL"))</f>
        <v>BUY</v>
      </c>
      <c r="X211" s="32" t="str">
        <f aca="false">IF(T211="","",IF(S211&gt;T211,"BUY","SELL"))</f>
        <v>SELL</v>
      </c>
      <c r="Y211" s="34" t="n">
        <f aca="false">IF(OR(V211="",W211="",X211=""),"",IFERROR(IF(V211="BUY",1,IF(V211="SELL",-1,0))+IF(W211="BUY",1,IF(W211="SELL",-1,0))+IF(X211="BUY",1,IF(X211="SELL",-1,0)),0))</f>
        <v>0</v>
      </c>
      <c r="Z211" s="32" t="str">
        <f aca="false">IF(Y211="","",IF(Y211&gt;=2,"STRONG BUY",IF(Y211=1,"BUY",IF(Y211=0,"HOLD",IF(Y211=-1,"SELL","STRONG SELL")))))</f>
        <v>HOLD</v>
      </c>
    </row>
    <row r="212" customFormat="false" ht="15" hidden="false" customHeight="false" outlineLevel="0" collapsed="false">
      <c r="A212" s="24" t="n">
        <v>46064</v>
      </c>
      <c r="B212" s="25" t="n">
        <v>152.84</v>
      </c>
      <c r="C212" s="25" t="n">
        <v>153.64</v>
      </c>
      <c r="D212" s="25" t="n">
        <v>152.84</v>
      </c>
      <c r="E212" s="25" t="n">
        <v>153.24</v>
      </c>
      <c r="F212" s="26" t="n">
        <v>15793235</v>
      </c>
      <c r="G212" s="27" t="n">
        <f aca="false">E212-E211</f>
        <v>-0.659999999999997</v>
      </c>
      <c r="H212" s="28" t="n">
        <f aca="false">G212/E211</f>
        <v>-0.00428849902534111</v>
      </c>
      <c r="I212" s="29" t="n">
        <f aca="false">MAX(G212,0)</f>
        <v>0</v>
      </c>
      <c r="J212" s="29" t="n">
        <f aca="false">MAX(-G212,0)</f>
        <v>0.659999999999997</v>
      </c>
      <c r="K212" s="29" t="n">
        <f aca="false">(K211*13+I212)/14</f>
        <v>0.611521323100101</v>
      </c>
      <c r="L212" s="29" t="n">
        <f aca="false">(L211*13+J212)/14</f>
        <v>0.749173045296505</v>
      </c>
      <c r="M212" s="31" t="n">
        <f aca="false">IF(L212=0,100,100-100/(1+K212/MAX(L212,0.000001)))</f>
        <v>44.9418574297986</v>
      </c>
      <c r="N212" s="30" t="n">
        <f aca="false">AVERAGE(E193:E212)</f>
        <v>157.2185</v>
      </c>
      <c r="O212" s="30" t="n">
        <f aca="false">AVERAGE(E163:E212)</f>
        <v>152.5846</v>
      </c>
      <c r="P212" s="30" t="n">
        <f aca="false">AVERAGE(E13:E212)</f>
        <v>141.04455</v>
      </c>
      <c r="Q212" s="30" t="n">
        <f aca="false">Q211+(2/13)*(E212-Q211)</f>
        <v>155.445356529051</v>
      </c>
      <c r="R212" s="30" t="n">
        <f aca="false">R211+(2/27)*(E212-R211)</f>
        <v>155.124944668105</v>
      </c>
      <c r="S212" s="33" t="n">
        <f aca="false">Q212-R212</f>
        <v>0.320411860946564</v>
      </c>
      <c r="T212" s="33" t="n">
        <f aca="false">T211+(2/10)*(S212-T211)</f>
        <v>1.30791357873723</v>
      </c>
      <c r="U212" s="33" t="n">
        <f aca="false">S212-T212</f>
        <v>-0.987501717790666</v>
      </c>
      <c r="V212" s="32" t="str">
        <f aca="false">IF(M212="","",IF(M212&lt;Assumptions!$B$5,"BUY",IF(M212&gt;Assumptions!$B$4,"SELL","HOLD")))</f>
        <v>HOLD</v>
      </c>
      <c r="W212" s="32" t="str">
        <f aca="false">IF(O212="","",IF(E212&gt;O212,"BUY","SELL"))</f>
        <v>BUY</v>
      </c>
      <c r="X212" s="32" t="str">
        <f aca="false">IF(T212="","",IF(S212&gt;T212,"BUY","SELL"))</f>
        <v>SELL</v>
      </c>
      <c r="Y212" s="34" t="n">
        <f aca="false">IF(OR(V212="",W212="",X212=""),"",IFERROR(IF(V212="BUY",1,IF(V212="SELL",-1,0))+IF(W212="BUY",1,IF(W212="SELL",-1,0))+IF(X212="BUY",1,IF(X212="SELL",-1,0)),0))</f>
        <v>0</v>
      </c>
      <c r="Z212" s="32" t="str">
        <f aca="false">IF(Y212="","",IF(Y212&gt;=2,"STRONG BUY",IF(Y212=1,"BUY",IF(Y212=0,"HOLD",IF(Y212=-1,"SELL","STRONG SELL")))))</f>
        <v>HOLD</v>
      </c>
    </row>
    <row r="213" customFormat="false" ht="15" hidden="false" customHeight="false" outlineLevel="0" collapsed="false">
      <c r="A213" s="24" t="n">
        <v>46065</v>
      </c>
      <c r="B213" s="25" t="n">
        <v>156.92</v>
      </c>
      <c r="C213" s="25" t="n">
        <v>156.92</v>
      </c>
      <c r="D213" s="25" t="n">
        <v>153.12</v>
      </c>
      <c r="E213" s="25" t="n">
        <v>155.02</v>
      </c>
      <c r="F213" s="26" t="n">
        <v>16847307</v>
      </c>
      <c r="G213" s="27" t="n">
        <f aca="false">E213-E212</f>
        <v>1.78</v>
      </c>
      <c r="H213" s="28" t="n">
        <f aca="false">G213/E212</f>
        <v>0.0116157661185069</v>
      </c>
      <c r="I213" s="29" t="n">
        <f aca="false">MAX(G213,0)</f>
        <v>1.78</v>
      </c>
      <c r="J213" s="29" t="n">
        <f aca="false">MAX(-G213,0)</f>
        <v>0</v>
      </c>
      <c r="K213" s="29" t="n">
        <f aca="false">(K212*13+I213)/14</f>
        <v>0.694984085735808</v>
      </c>
      <c r="L213" s="29" t="n">
        <f aca="false">(L212*13+J213)/14</f>
        <v>0.695660684918183</v>
      </c>
      <c r="M213" s="31" t="n">
        <f aca="false">IF(L213=0,100,100-100/(1+K213/MAX(L213,0.000001)))</f>
        <v>49.9756731842433</v>
      </c>
      <c r="N213" s="30" t="n">
        <f aca="false">AVERAGE(E194:E213)</f>
        <v>156.975</v>
      </c>
      <c r="O213" s="30" t="n">
        <f aca="false">AVERAGE(E164:E213)</f>
        <v>152.765</v>
      </c>
      <c r="P213" s="30" t="n">
        <f aca="false">AVERAGE(E14:E213)</f>
        <v>141.09305</v>
      </c>
      <c r="Q213" s="30" t="n">
        <f aca="false">Q212+(2/13)*(E213-Q212)</f>
        <v>155.379917063043</v>
      </c>
      <c r="R213" s="30" t="n">
        <f aca="false">R212+(2/27)*(E213-R212)</f>
        <v>155.117170988986</v>
      </c>
      <c r="S213" s="33" t="n">
        <f aca="false">Q213-R213</f>
        <v>0.262746074057532</v>
      </c>
      <c r="T213" s="33" t="n">
        <f aca="false">T212+(2/10)*(S213-T212)</f>
        <v>1.09888007780129</v>
      </c>
      <c r="U213" s="33" t="n">
        <f aca="false">S213-T213</f>
        <v>-0.836134003743758</v>
      </c>
      <c r="V213" s="32" t="str">
        <f aca="false">IF(M213="","",IF(M213&lt;Assumptions!$B$5,"BUY",IF(M213&gt;Assumptions!$B$4,"SELL","HOLD")))</f>
        <v>HOLD</v>
      </c>
      <c r="W213" s="32" t="str">
        <f aca="false">IF(O213="","",IF(E213&gt;O213,"BUY","SELL"))</f>
        <v>BUY</v>
      </c>
      <c r="X213" s="32" t="str">
        <f aca="false">IF(T213="","",IF(S213&gt;T213,"BUY","SELL"))</f>
        <v>SELL</v>
      </c>
      <c r="Y213" s="34" t="n">
        <f aca="false">IF(OR(V213="",W213="",X213=""),"",IFERROR(IF(V213="BUY",1,IF(V213="SELL",-1,0))+IF(W213="BUY",1,IF(W213="SELL",-1,0))+IF(X213="BUY",1,IF(X213="SELL",-1,0)),0))</f>
        <v>0</v>
      </c>
      <c r="Z213" s="32" t="str">
        <f aca="false">IF(Y213="","",IF(Y213&gt;=2,"STRONG BUY",IF(Y213=1,"BUY",IF(Y213=0,"HOLD",IF(Y213=-1,"SELL","STRONG SELL")))))</f>
        <v>HOLD</v>
      </c>
    </row>
    <row r="214" customFormat="false" ht="15" hidden="false" customHeight="false" outlineLevel="0" collapsed="false">
      <c r="A214" s="24" t="n">
        <v>46066</v>
      </c>
      <c r="B214" s="25" t="n">
        <v>155.24</v>
      </c>
      <c r="C214" s="25" t="n">
        <v>155.24</v>
      </c>
      <c r="D214" s="25" t="n">
        <v>154.56</v>
      </c>
      <c r="E214" s="25" t="n">
        <v>154.9</v>
      </c>
      <c r="F214" s="26" t="n">
        <v>13153553</v>
      </c>
      <c r="G214" s="27" t="n">
        <f aca="false">E214-E213</f>
        <v>-0.120000000000005</v>
      </c>
      <c r="H214" s="28" t="n">
        <f aca="false">G214/E213</f>
        <v>-0.000774093665333535</v>
      </c>
      <c r="I214" s="29" t="n">
        <f aca="false">MAX(G214,0)</f>
        <v>0</v>
      </c>
      <c r="J214" s="29" t="n">
        <f aca="false">MAX(-G214,0)</f>
        <v>0.120000000000005</v>
      </c>
      <c r="K214" s="29" t="n">
        <f aca="false">(K213*13+I214)/14</f>
        <v>0.645342365326108</v>
      </c>
      <c r="L214" s="29" t="n">
        <f aca="false">(L213*13+J214)/14</f>
        <v>0.654542064566885</v>
      </c>
      <c r="M214" s="31" t="n">
        <f aca="false">IF(L214=0,100,100-100/(1+K214/MAX(L214,0.000001)))</f>
        <v>49.6461339550958</v>
      </c>
      <c r="N214" s="30" t="n">
        <f aca="false">AVERAGE(E195:E214)</f>
        <v>156.8215</v>
      </c>
      <c r="O214" s="30" t="n">
        <f aca="false">AVERAGE(E165:E214)</f>
        <v>152.9806</v>
      </c>
      <c r="P214" s="30" t="n">
        <f aca="false">AVERAGE(E15:E214)</f>
        <v>141.13365</v>
      </c>
      <c r="Q214" s="30" t="n">
        <f aca="false">Q213+(2/13)*(E214-Q213)</f>
        <v>155.306083668729</v>
      </c>
      <c r="R214" s="30" t="n">
        <f aca="false">R213+(2/27)*(E214-R213)</f>
        <v>155.101084249061</v>
      </c>
      <c r="S214" s="33" t="n">
        <f aca="false">Q214-R214</f>
        <v>0.204999419668042</v>
      </c>
      <c r="T214" s="33" t="n">
        <f aca="false">T213+(2/10)*(S214-T213)</f>
        <v>0.92010394617464</v>
      </c>
      <c r="U214" s="33" t="n">
        <f aca="false">S214-T214</f>
        <v>-0.715104526506599</v>
      </c>
      <c r="V214" s="32" t="str">
        <f aca="false">IF(M214="","",IF(M214&lt;Assumptions!$B$5,"BUY",IF(M214&gt;Assumptions!$B$4,"SELL","HOLD")))</f>
        <v>HOLD</v>
      </c>
      <c r="W214" s="32" t="str">
        <f aca="false">IF(O214="","",IF(E214&gt;O214,"BUY","SELL"))</f>
        <v>BUY</v>
      </c>
      <c r="X214" s="32" t="str">
        <f aca="false">IF(T214="","",IF(S214&gt;T214,"BUY","SELL"))</f>
        <v>SELL</v>
      </c>
      <c r="Y214" s="34" t="n">
        <f aca="false">IF(OR(V214="",W214="",X214=""),"",IFERROR(IF(V214="BUY",1,IF(V214="SELL",-1,0))+IF(W214="BUY",1,IF(W214="SELL",-1,0))+IF(X214="BUY",1,IF(X214="SELL",-1,0)),0))</f>
        <v>0</v>
      </c>
      <c r="Z214" s="32" t="str">
        <f aca="false">IF(Y214="","",IF(Y214&gt;=2,"STRONG BUY",IF(Y214=1,"BUY",IF(Y214=0,"HOLD",IF(Y214=-1,"SELL","STRONG SELL")))))</f>
        <v>HOLD</v>
      </c>
    </row>
    <row r="215" customFormat="false" ht="15" hidden="false" customHeight="false" outlineLevel="0" collapsed="false">
      <c r="A215" s="24" t="n">
        <v>46069</v>
      </c>
      <c r="B215" s="25" t="n">
        <v>156.62</v>
      </c>
      <c r="C215" s="25" t="n">
        <v>156.82</v>
      </c>
      <c r="D215" s="25" t="n">
        <v>155.14</v>
      </c>
      <c r="E215" s="25" t="n">
        <v>155.98</v>
      </c>
      <c r="F215" s="26" t="n">
        <v>5128643</v>
      </c>
      <c r="G215" s="27" t="n">
        <f aca="false">E215-E214</f>
        <v>1.07999999999998</v>
      </c>
      <c r="H215" s="28" t="n">
        <f aca="false">G215/E214</f>
        <v>0.00697224015493857</v>
      </c>
      <c r="I215" s="29" t="n">
        <f aca="false">MAX(G215,0)</f>
        <v>1.07999999999998</v>
      </c>
      <c r="J215" s="29" t="n">
        <f aca="false">MAX(-G215,0)</f>
        <v>0</v>
      </c>
      <c r="K215" s="29" t="n">
        <f aca="false">(K214*13+I215)/14</f>
        <v>0.676389339231385</v>
      </c>
      <c r="L215" s="29" t="n">
        <f aca="false">(L214*13+J215)/14</f>
        <v>0.607789059954964</v>
      </c>
      <c r="M215" s="31" t="n">
        <f aca="false">IF(L215=0,100,100-100/(1+K215/MAX(L215,0.000001)))</f>
        <v>52.6709793327736</v>
      </c>
      <c r="N215" s="30" t="n">
        <f aca="false">AVERAGE(E196:E215)</f>
        <v>156.7155</v>
      </c>
      <c r="O215" s="30" t="n">
        <f aca="false">AVERAGE(E166:E215)</f>
        <v>153.1282</v>
      </c>
      <c r="P215" s="30" t="n">
        <f aca="false">AVERAGE(E16:E215)</f>
        <v>141.1992</v>
      </c>
      <c r="Q215" s="30" t="n">
        <f aca="false">Q214+(2/13)*(E215-Q214)</f>
        <v>155.409763104309</v>
      </c>
      <c r="R215" s="30" t="n">
        <f aca="false">R214+(2/27)*(E215-R214)</f>
        <v>155.166189119501</v>
      </c>
      <c r="S215" s="33" t="n">
        <f aca="false">Q215-R215</f>
        <v>0.243573984808251</v>
      </c>
      <c r="T215" s="33" t="n">
        <f aca="false">T214+(2/10)*(S215-T214)</f>
        <v>0.784797953901362</v>
      </c>
      <c r="U215" s="33" t="n">
        <f aca="false">S215-T215</f>
        <v>-0.541223969093112</v>
      </c>
      <c r="V215" s="32" t="str">
        <f aca="false">IF(M215="","",IF(M215&lt;Assumptions!$B$5,"BUY",IF(M215&gt;Assumptions!$B$4,"SELL","HOLD")))</f>
        <v>HOLD</v>
      </c>
      <c r="W215" s="32" t="str">
        <f aca="false">IF(O215="","",IF(E215&gt;O215,"BUY","SELL"))</f>
        <v>BUY</v>
      </c>
      <c r="X215" s="32" t="str">
        <f aca="false">IF(T215="","",IF(S215&gt;T215,"BUY","SELL"))</f>
        <v>SELL</v>
      </c>
      <c r="Y215" s="34" t="n">
        <f aca="false">IF(OR(V215="",W215="",X215=""),"",IFERROR(IF(V215="BUY",1,IF(V215="SELL",-1,0))+IF(W215="BUY",1,IF(W215="SELL",-1,0))+IF(X215="BUY",1,IF(X215="SELL",-1,0)),0))</f>
        <v>0</v>
      </c>
      <c r="Z215" s="32" t="str">
        <f aca="false">IF(Y215="","",IF(Y215&gt;=2,"STRONG BUY",IF(Y215=1,"BUY",IF(Y215=0,"HOLD",IF(Y215=-1,"SELL","STRONG SELL")))))</f>
        <v>HOLD</v>
      </c>
    </row>
    <row r="216" customFormat="false" ht="15" hidden="false" customHeight="false" outlineLevel="0" collapsed="false">
      <c r="A216" s="24" t="n">
        <v>46070</v>
      </c>
      <c r="B216" s="25" t="n">
        <v>157.41</v>
      </c>
      <c r="C216" s="25" t="n">
        <v>157.41</v>
      </c>
      <c r="D216" s="25" t="n">
        <v>156.29</v>
      </c>
      <c r="E216" s="25" t="n">
        <v>156.85</v>
      </c>
      <c r="F216" s="26" t="n">
        <v>14246856</v>
      </c>
      <c r="G216" s="27" t="n">
        <f aca="false">E216-E215</f>
        <v>0.870000000000005</v>
      </c>
      <c r="H216" s="28" t="n">
        <f aca="false">G216/E215</f>
        <v>0.00557763815873833</v>
      </c>
      <c r="I216" s="29" t="n">
        <f aca="false">MAX(G216,0)</f>
        <v>0.870000000000005</v>
      </c>
      <c r="J216" s="29" t="n">
        <f aca="false">MAX(-G216,0)</f>
        <v>0</v>
      </c>
      <c r="K216" s="29" t="n">
        <f aca="false">(K215*13+I216)/14</f>
        <v>0.690218672143429</v>
      </c>
      <c r="L216" s="29" t="n">
        <f aca="false">(L215*13+J216)/14</f>
        <v>0.564375555672467</v>
      </c>
      <c r="M216" s="31" t="n">
        <f aca="false">IF(L216=0,100,100-100/(1+K216/MAX(L216,0.000001)))</f>
        <v>55.0152915453007</v>
      </c>
      <c r="N216" s="30" t="n">
        <f aca="false">AVERAGE(E197:E216)</f>
        <v>156.5495</v>
      </c>
      <c r="O216" s="30" t="n">
        <f aca="false">AVERAGE(E167:E216)</f>
        <v>153.3476</v>
      </c>
      <c r="P216" s="30" t="n">
        <f aca="false">AVERAGE(E17:E216)</f>
        <v>141.2912</v>
      </c>
      <c r="Q216" s="30" t="n">
        <f aca="false">Q215+(2/13)*(E216-Q215)</f>
        <v>155.631338011339</v>
      </c>
      <c r="R216" s="30" t="n">
        <f aca="false">R215+(2/27)*(E216-R215)</f>
        <v>155.29091585139</v>
      </c>
      <c r="S216" s="33" t="n">
        <f aca="false">Q216-R216</f>
        <v>0.340422159948787</v>
      </c>
      <c r="T216" s="33" t="n">
        <f aca="false">T215+(2/10)*(S216-T215)</f>
        <v>0.695922795110847</v>
      </c>
      <c r="U216" s="33" t="n">
        <f aca="false">S216-T216</f>
        <v>-0.35550063516206</v>
      </c>
      <c r="V216" s="32" t="str">
        <f aca="false">IF(M216="","",IF(M216&lt;Assumptions!$B$5,"BUY",IF(M216&gt;Assumptions!$B$4,"SELL","HOLD")))</f>
        <v>HOLD</v>
      </c>
      <c r="W216" s="32" t="str">
        <f aca="false">IF(O216="","",IF(E216&gt;O216,"BUY","SELL"))</f>
        <v>BUY</v>
      </c>
      <c r="X216" s="32" t="str">
        <f aca="false">IF(T216="","",IF(S216&gt;T216,"BUY","SELL"))</f>
        <v>SELL</v>
      </c>
      <c r="Y216" s="34" t="n">
        <f aca="false">IF(OR(V216="",W216="",X216=""),"",IFERROR(IF(V216="BUY",1,IF(V216="SELL",-1,0))+IF(W216="BUY",1,IF(W216="SELL",-1,0))+IF(X216="BUY",1,IF(X216="SELL",-1,0)),0))</f>
        <v>0</v>
      </c>
      <c r="Z216" s="32" t="str">
        <f aca="false">IF(Y216="","",IF(Y216&gt;=2,"STRONG BUY",IF(Y216=1,"BUY",IF(Y216=0,"HOLD",IF(Y216=-1,"SELL","STRONG SELL")))))</f>
        <v>HOLD</v>
      </c>
    </row>
    <row r="217" customFormat="false" ht="15" hidden="false" customHeight="false" outlineLevel="0" collapsed="false">
      <c r="A217" s="24" t="n">
        <v>46071</v>
      </c>
      <c r="B217" s="25" t="n">
        <v>159.07</v>
      </c>
      <c r="C217" s="25" t="n">
        <v>160.32</v>
      </c>
      <c r="D217" s="25" t="n">
        <v>157.56</v>
      </c>
      <c r="E217" s="25" t="n">
        <v>158.94</v>
      </c>
      <c r="F217" s="26" t="n">
        <v>11483031</v>
      </c>
      <c r="G217" s="27" t="n">
        <f aca="false">E217-E216</f>
        <v>2.09</v>
      </c>
      <c r="H217" s="28" t="n">
        <f aca="false">G217/E216</f>
        <v>0.0133248326426522</v>
      </c>
      <c r="I217" s="29" t="n">
        <f aca="false">MAX(G217,0)</f>
        <v>2.09</v>
      </c>
      <c r="J217" s="29" t="n">
        <f aca="false">MAX(-G217,0)</f>
        <v>0</v>
      </c>
      <c r="K217" s="29" t="n">
        <f aca="false">(K216*13+I217)/14</f>
        <v>0.790203052704613</v>
      </c>
      <c r="L217" s="29" t="n">
        <f aca="false">(L216*13+J217)/14</f>
        <v>0.524063015981576</v>
      </c>
      <c r="M217" s="31" t="n">
        <f aca="false">IF(L217=0,100,100-100/(1+K217/MAX(L217,0.000001)))</f>
        <v>60.1250440479333</v>
      </c>
      <c r="N217" s="30" t="n">
        <f aca="false">AVERAGE(E198:E217)</f>
        <v>156.527</v>
      </c>
      <c r="O217" s="30" t="n">
        <f aca="false">AVERAGE(E168:E217)</f>
        <v>153.6412</v>
      </c>
      <c r="P217" s="30" t="n">
        <f aca="false">AVERAGE(E18:E217)</f>
        <v>141.40255</v>
      </c>
      <c r="Q217" s="30" t="n">
        <f aca="false">Q216+(2/13)*(E217-Q216)</f>
        <v>156.140362932671</v>
      </c>
      <c r="R217" s="30" t="n">
        <f aca="false">R216+(2/27)*(E217-R216)</f>
        <v>155.561218380916</v>
      </c>
      <c r="S217" s="33" t="n">
        <f aca="false">Q217-R217</f>
        <v>0.579144551754638</v>
      </c>
      <c r="T217" s="33" t="n">
        <f aca="false">T216+(2/10)*(S217-T216)</f>
        <v>0.672567146439605</v>
      </c>
      <c r="U217" s="33" t="n">
        <f aca="false">S217-T217</f>
        <v>-0.0934225946849674</v>
      </c>
      <c r="V217" s="32" t="str">
        <f aca="false">IF(M217="","",IF(M217&lt;Assumptions!$B$5,"BUY",IF(M217&gt;Assumptions!$B$4,"SELL","HOLD")))</f>
        <v>HOLD</v>
      </c>
      <c r="W217" s="32" t="str">
        <f aca="false">IF(O217="","",IF(E217&gt;O217,"BUY","SELL"))</f>
        <v>BUY</v>
      </c>
      <c r="X217" s="32" t="str">
        <f aca="false">IF(T217="","",IF(S217&gt;T217,"BUY","SELL"))</f>
        <v>SELL</v>
      </c>
      <c r="Y217" s="34" t="n">
        <f aca="false">IF(OR(V217="",W217="",X217=""),"",IFERROR(IF(V217="BUY",1,IF(V217="SELL",-1,0))+IF(W217="BUY",1,IF(W217="SELL",-1,0))+IF(X217="BUY",1,IF(X217="SELL",-1,0)),0))</f>
        <v>0</v>
      </c>
      <c r="Z217" s="32" t="str">
        <f aca="false">IF(Y217="","",IF(Y217&gt;=2,"STRONG BUY",IF(Y217=1,"BUY",IF(Y217=0,"HOLD",IF(Y217=-1,"SELL","STRONG SELL")))))</f>
        <v>HOLD</v>
      </c>
    </row>
    <row r="218" customFormat="false" ht="15" hidden="false" customHeight="false" outlineLevel="0" collapsed="false">
      <c r="A218" s="24" t="n">
        <v>46072</v>
      </c>
      <c r="B218" s="25" t="n">
        <v>156.28</v>
      </c>
      <c r="C218" s="25" t="n">
        <v>157.68</v>
      </c>
      <c r="D218" s="25" t="n">
        <v>156.28</v>
      </c>
      <c r="E218" s="25" t="n">
        <v>156.98</v>
      </c>
      <c r="F218" s="26" t="n">
        <v>7020903</v>
      </c>
      <c r="G218" s="27" t="n">
        <f aca="false">E218-E217</f>
        <v>-1.96000000000001</v>
      </c>
      <c r="H218" s="28" t="n">
        <f aca="false">G218/E217</f>
        <v>-0.0123316974959105</v>
      </c>
      <c r="I218" s="29" t="n">
        <f aca="false">MAX(G218,0)</f>
        <v>0</v>
      </c>
      <c r="J218" s="29" t="n">
        <f aca="false">MAX(-G218,0)</f>
        <v>1.96000000000001</v>
      </c>
      <c r="K218" s="29" t="n">
        <f aca="false">(K217*13+I218)/14</f>
        <v>0.733759977511426</v>
      </c>
      <c r="L218" s="29" t="n">
        <f aca="false">(L217*13+J218)/14</f>
        <v>0.626629943411464</v>
      </c>
      <c r="M218" s="31" t="n">
        <f aca="false">IF(L218=0,100,100-100/(1+K218/MAX(L218,0.000001)))</f>
        <v>53.9374752948509</v>
      </c>
      <c r="N218" s="30" t="n">
        <f aca="false">AVERAGE(E199:E218)</f>
        <v>156.4705</v>
      </c>
      <c r="O218" s="30" t="n">
        <f aca="false">AVERAGE(E169:E218)</f>
        <v>153.904</v>
      </c>
      <c r="P218" s="30" t="n">
        <f aca="false">AVERAGE(E19:E218)</f>
        <v>141.5085</v>
      </c>
      <c r="Q218" s="30" t="n">
        <f aca="false">Q217+(2/13)*(E218-Q217)</f>
        <v>156.269537866106</v>
      </c>
      <c r="R218" s="30" t="n">
        <f aca="false">R217+(2/27)*(E218-R217)</f>
        <v>155.666313315663</v>
      </c>
      <c r="S218" s="33" t="n">
        <f aca="false">Q218-R218</f>
        <v>0.603224550442917</v>
      </c>
      <c r="T218" s="33" t="n">
        <f aca="false">T217+(2/10)*(S218-T217)</f>
        <v>0.658698627240268</v>
      </c>
      <c r="U218" s="33" t="n">
        <f aca="false">S218-T218</f>
        <v>-0.0554740767973506</v>
      </c>
      <c r="V218" s="32" t="str">
        <f aca="false">IF(M218="","",IF(M218&lt;Assumptions!$B$5,"BUY",IF(M218&gt;Assumptions!$B$4,"SELL","HOLD")))</f>
        <v>HOLD</v>
      </c>
      <c r="W218" s="32" t="str">
        <f aca="false">IF(O218="","",IF(E218&gt;O218,"BUY","SELL"))</f>
        <v>BUY</v>
      </c>
      <c r="X218" s="32" t="str">
        <f aca="false">IF(T218="","",IF(S218&gt;T218,"BUY","SELL"))</f>
        <v>SELL</v>
      </c>
      <c r="Y218" s="34" t="n">
        <f aca="false">IF(OR(V218="",W218="",X218=""),"",IFERROR(IF(V218="BUY",1,IF(V218="SELL",-1,0))+IF(W218="BUY",1,IF(W218="SELL",-1,0))+IF(X218="BUY",1,IF(X218="SELL",-1,0)),0))</f>
        <v>0</v>
      </c>
      <c r="Z218" s="32" t="str">
        <f aca="false">IF(Y218="","",IF(Y218&gt;=2,"STRONG BUY",IF(Y218=1,"BUY",IF(Y218=0,"HOLD",IF(Y218=-1,"SELL","STRONG SELL")))))</f>
        <v>HOLD</v>
      </c>
    </row>
    <row r="219" customFormat="false" ht="15" hidden="false" customHeight="false" outlineLevel="0" collapsed="false">
      <c r="A219" s="24" t="n">
        <v>46073</v>
      </c>
      <c r="B219" s="25" t="n">
        <v>156.76</v>
      </c>
      <c r="C219" s="25" t="n">
        <v>156.76</v>
      </c>
      <c r="D219" s="25" t="n">
        <v>155.82</v>
      </c>
      <c r="E219" s="25" t="n">
        <v>156.29</v>
      </c>
      <c r="F219" s="26" t="n">
        <v>23563250</v>
      </c>
      <c r="G219" s="27" t="n">
        <f aca="false">E219-E218</f>
        <v>-0.689999999999998</v>
      </c>
      <c r="H219" s="28" t="n">
        <f aca="false">G219/E218</f>
        <v>-0.00439546439036819</v>
      </c>
      <c r="I219" s="29" t="n">
        <f aca="false">MAX(G219,0)</f>
        <v>0</v>
      </c>
      <c r="J219" s="29" t="n">
        <f aca="false">MAX(-G219,0)</f>
        <v>0.689999999999998</v>
      </c>
      <c r="K219" s="29" t="n">
        <f aca="false">(K218*13+I219)/14</f>
        <v>0.681348550546325</v>
      </c>
      <c r="L219" s="29" t="n">
        <f aca="false">(L218*13+J219)/14</f>
        <v>0.631156376024931</v>
      </c>
      <c r="M219" s="31" t="n">
        <f aca="false">IF(L219=0,100,100-100/(1+K219/MAX(L219,0.000001)))</f>
        <v>51.9120756617849</v>
      </c>
      <c r="N219" s="30" t="n">
        <f aca="false">AVERAGE(E200:E219)</f>
        <v>156.514</v>
      </c>
      <c r="O219" s="30" t="n">
        <f aca="false">AVERAGE(E170:E219)</f>
        <v>154.1892</v>
      </c>
      <c r="P219" s="30" t="n">
        <f aca="false">AVERAGE(E20:E219)</f>
        <v>141.6126</v>
      </c>
      <c r="Q219" s="30" t="n">
        <f aca="false">Q218+(2/13)*(E219-Q218)</f>
        <v>156.272685886705</v>
      </c>
      <c r="R219" s="30" t="n">
        <f aca="false">R218+(2/27)*(E219-R218)</f>
        <v>155.712512329318</v>
      </c>
      <c r="S219" s="33" t="n">
        <f aca="false">Q219-R219</f>
        <v>0.560173557387401</v>
      </c>
      <c r="T219" s="33" t="n">
        <f aca="false">T218+(2/10)*(S219-T218)</f>
        <v>0.638993613269694</v>
      </c>
      <c r="U219" s="33" t="n">
        <f aca="false">S219-T219</f>
        <v>-0.0788200558822934</v>
      </c>
      <c r="V219" s="32" t="str">
        <f aca="false">IF(M219="","",IF(M219&lt;Assumptions!$B$5,"BUY",IF(M219&gt;Assumptions!$B$4,"SELL","HOLD")))</f>
        <v>HOLD</v>
      </c>
      <c r="W219" s="32" t="str">
        <f aca="false">IF(O219="","",IF(E219&gt;O219,"BUY","SELL"))</f>
        <v>BUY</v>
      </c>
      <c r="X219" s="32" t="str">
        <f aca="false">IF(T219="","",IF(S219&gt;T219,"BUY","SELL"))</f>
        <v>SELL</v>
      </c>
      <c r="Y219" s="34" t="n">
        <f aca="false">IF(OR(V219="",W219="",X219=""),"",IFERROR(IF(V219="BUY",1,IF(V219="SELL",-1,0))+IF(W219="BUY",1,IF(W219="SELL",-1,0))+IF(X219="BUY",1,IF(X219="SELL",-1,0)),0))</f>
        <v>0</v>
      </c>
      <c r="Z219" s="32" t="str">
        <f aca="false">IF(Y219="","",IF(Y219&gt;=2,"STRONG BUY",IF(Y219=1,"BUY",IF(Y219=0,"HOLD",IF(Y219=-1,"SELL","STRONG SELL")))))</f>
        <v>HOLD</v>
      </c>
    </row>
    <row r="220" customFormat="false" ht="15" hidden="false" customHeight="false" outlineLevel="0" collapsed="false">
      <c r="A220" s="24" t="n">
        <v>46076</v>
      </c>
      <c r="B220" s="25" t="n">
        <v>157.69</v>
      </c>
      <c r="C220" s="25" t="n">
        <v>159</v>
      </c>
      <c r="D220" s="25" t="n">
        <v>157.38</v>
      </c>
      <c r="E220" s="25" t="n">
        <v>158.19</v>
      </c>
      <c r="F220" s="26" t="n">
        <v>10231642</v>
      </c>
      <c r="G220" s="27" t="n">
        <f aca="false">E220-E219</f>
        <v>1.90000000000001</v>
      </c>
      <c r="H220" s="28" t="n">
        <f aca="false">G220/E219</f>
        <v>0.0121568878367138</v>
      </c>
      <c r="I220" s="29" t="n">
        <f aca="false">MAX(G220,0)</f>
        <v>1.90000000000001</v>
      </c>
      <c r="J220" s="29" t="n">
        <f aca="false">MAX(-G220,0)</f>
        <v>0</v>
      </c>
      <c r="K220" s="29" t="n">
        <f aca="false">(K219*13+I220)/14</f>
        <v>0.768395082650159</v>
      </c>
      <c r="L220" s="29" t="n">
        <f aca="false">(L219*13+J220)/14</f>
        <v>0.586073777737436</v>
      </c>
      <c r="M220" s="31" t="n">
        <f aca="false">IF(L220=0,100,100-100/(1+K220/MAX(L220,0.000001)))</f>
        <v>56.730361629006</v>
      </c>
      <c r="N220" s="30" t="n">
        <f aca="false">AVERAGE(E201:E220)</f>
        <v>156.5305</v>
      </c>
      <c r="O220" s="30" t="n">
        <f aca="false">AVERAGE(E171:E220)</f>
        <v>154.4926</v>
      </c>
      <c r="P220" s="30" t="n">
        <f aca="false">AVERAGE(E21:E220)</f>
        <v>141.72585</v>
      </c>
      <c r="Q220" s="30" t="n">
        <f aca="false">Q219+(2/13)*(E220-Q219)</f>
        <v>156.567657288751</v>
      </c>
      <c r="R220" s="30" t="n">
        <f aca="false">R219+(2/27)*(E220-R219)</f>
        <v>155.896029934554</v>
      </c>
      <c r="S220" s="33" t="n">
        <f aca="false">Q220-R220</f>
        <v>0.671627354197028</v>
      </c>
      <c r="T220" s="33" t="n">
        <f aca="false">T219+(2/10)*(S220-T219)</f>
        <v>0.645520361455161</v>
      </c>
      <c r="U220" s="33" t="n">
        <f aca="false">S220-T220</f>
        <v>0.0261069927418671</v>
      </c>
      <c r="V220" s="32" t="str">
        <f aca="false">IF(M220="","",IF(M220&lt;Assumptions!$B$5,"BUY",IF(M220&gt;Assumptions!$B$4,"SELL","HOLD")))</f>
        <v>HOLD</v>
      </c>
      <c r="W220" s="32" t="str">
        <f aca="false">IF(O220="","",IF(E220&gt;O220,"BUY","SELL"))</f>
        <v>BUY</v>
      </c>
      <c r="X220" s="32" t="str">
        <f aca="false">IF(T220="","",IF(S220&gt;T220,"BUY","SELL"))</f>
        <v>BUY</v>
      </c>
      <c r="Y220" s="34" t="n">
        <f aca="false">IF(OR(V220="",W220="",X220=""),"",IFERROR(IF(V220="BUY",1,IF(V220="SELL",-1,0))+IF(W220="BUY",1,IF(W220="SELL",-1,0))+IF(X220="BUY",1,IF(X220="SELL",-1,0)),0))</f>
        <v>2</v>
      </c>
      <c r="Z220" s="32" t="str">
        <f aca="false">IF(Y220="","",IF(Y220&gt;=2,"STRONG BUY",IF(Y220=1,"BUY",IF(Y220=0,"HOLD",IF(Y220=-1,"SELL","STRONG SELL")))))</f>
        <v>STRONG BUY</v>
      </c>
    </row>
    <row r="221" customFormat="false" ht="15" hidden="false" customHeight="false" outlineLevel="0" collapsed="false">
      <c r="A221" s="24" t="n">
        <v>46077</v>
      </c>
      <c r="B221" s="25" t="n">
        <v>158.91</v>
      </c>
      <c r="C221" s="25" t="n">
        <v>159.55</v>
      </c>
      <c r="D221" s="25" t="n">
        <v>157.49</v>
      </c>
      <c r="E221" s="25" t="n">
        <v>158.52</v>
      </c>
      <c r="F221" s="26" t="n">
        <v>13641851</v>
      </c>
      <c r="G221" s="27" t="n">
        <f aca="false">E221-E220</f>
        <v>0.330000000000013</v>
      </c>
      <c r="H221" s="28" t="n">
        <f aca="false">G221/E220</f>
        <v>0.00208609899487965</v>
      </c>
      <c r="I221" s="29" t="n">
        <f aca="false">MAX(G221,0)</f>
        <v>0.330000000000013</v>
      </c>
      <c r="J221" s="29" t="n">
        <f aca="false">MAX(-G221,0)</f>
        <v>0</v>
      </c>
      <c r="K221" s="29" t="n">
        <f aca="false">(K220*13+I221)/14</f>
        <v>0.737081148175149</v>
      </c>
      <c r="L221" s="29" t="n">
        <f aca="false">(L220*13+J221)/14</f>
        <v>0.544211365041905</v>
      </c>
      <c r="M221" s="31" t="n">
        <f aca="false">IF(L221=0,100,100-100/(1+K221/MAX(L221,0.000001)))</f>
        <v>57.526375950211</v>
      </c>
      <c r="N221" s="30" t="n">
        <f aca="false">AVERAGE(E202:E221)</f>
        <v>156.4895</v>
      </c>
      <c r="O221" s="30" t="n">
        <f aca="false">AVERAGE(E172:E221)</f>
        <v>154.792</v>
      </c>
      <c r="P221" s="30" t="n">
        <f aca="false">AVERAGE(E22:E221)</f>
        <v>141.8347</v>
      </c>
      <c r="Q221" s="30" t="n">
        <f aca="false">Q220+(2/13)*(E221-Q220)</f>
        <v>156.868017705866</v>
      </c>
      <c r="R221" s="30" t="n">
        <f aca="false">R220+(2/27)*(E221-R220)</f>
        <v>156.09039808755</v>
      </c>
      <c r="S221" s="33" t="n">
        <f aca="false">Q221-R221</f>
        <v>0.777619618316294</v>
      </c>
      <c r="T221" s="33" t="n">
        <f aca="false">T220+(2/10)*(S221-T220)</f>
        <v>0.671940212827388</v>
      </c>
      <c r="U221" s="33" t="n">
        <f aca="false">S221-T221</f>
        <v>0.105679405488906</v>
      </c>
      <c r="V221" s="32" t="str">
        <f aca="false">IF(M221="","",IF(M221&lt;Assumptions!$B$5,"BUY",IF(M221&gt;Assumptions!$B$4,"SELL","HOLD")))</f>
        <v>HOLD</v>
      </c>
      <c r="W221" s="32" t="str">
        <f aca="false">IF(O221="","",IF(E221&gt;O221,"BUY","SELL"))</f>
        <v>BUY</v>
      </c>
      <c r="X221" s="32" t="str">
        <f aca="false">IF(T221="","",IF(S221&gt;T221,"BUY","SELL"))</f>
        <v>BUY</v>
      </c>
      <c r="Y221" s="34" t="n">
        <f aca="false">IF(OR(V221="",W221="",X221=""),"",IFERROR(IF(V221="BUY",1,IF(V221="SELL",-1,0))+IF(W221="BUY",1,IF(W221="SELL",-1,0))+IF(X221="BUY",1,IF(X221="SELL",-1,0)),0))</f>
        <v>2</v>
      </c>
      <c r="Z221" s="32" t="str">
        <f aca="false">IF(Y221="","",IF(Y221&gt;=2,"STRONG BUY",IF(Y221=1,"BUY",IF(Y221=0,"HOLD",IF(Y221=-1,"SELL","STRONG SELL")))))</f>
        <v>STRONG BUY</v>
      </c>
    </row>
    <row r="222" customFormat="false" ht="15" hidden="false" customHeight="false" outlineLevel="0" collapsed="false">
      <c r="A222" s="24" t="n">
        <v>46078</v>
      </c>
      <c r="B222" s="25" t="n">
        <v>161.1</v>
      </c>
      <c r="C222" s="25" t="n">
        <v>161.1</v>
      </c>
      <c r="D222" s="25" t="n">
        <v>160.64</v>
      </c>
      <c r="E222" s="25" t="n">
        <v>160.87</v>
      </c>
      <c r="F222" s="26" t="n">
        <v>21390968</v>
      </c>
      <c r="G222" s="27" t="n">
        <f aca="false">E222-E221</f>
        <v>2.34999999999999</v>
      </c>
      <c r="H222" s="28" t="n">
        <f aca="false">G222/E221</f>
        <v>0.0148246278072167</v>
      </c>
      <c r="I222" s="29" t="n">
        <f aca="false">MAX(G222,0)</f>
        <v>2.34999999999999</v>
      </c>
      <c r="J222" s="29" t="n">
        <f aca="false">MAX(-G222,0)</f>
        <v>0</v>
      </c>
      <c r="K222" s="29" t="n">
        <f aca="false">(K221*13+I222)/14</f>
        <v>0.852289637591209</v>
      </c>
      <c r="L222" s="29" t="n">
        <f aca="false">(L221*13+J222)/14</f>
        <v>0.505339124681769</v>
      </c>
      <c r="M222" s="31" t="n">
        <f aca="false">IF(L222=0,100,100-100/(1+K222/MAX(L222,0.000001)))</f>
        <v>62.7778124090626</v>
      </c>
      <c r="N222" s="30" t="n">
        <f aca="false">AVERAGE(E203:E222)</f>
        <v>156.5165</v>
      </c>
      <c r="O222" s="30" t="n">
        <f aca="false">AVERAGE(E173:E222)</f>
        <v>155.1338</v>
      </c>
      <c r="P222" s="30" t="n">
        <f aca="false">AVERAGE(E23:E222)</f>
        <v>141.96725</v>
      </c>
      <c r="Q222" s="30" t="n">
        <f aca="false">Q221+(2/13)*(E222-Q221)</f>
        <v>157.483707289579</v>
      </c>
      <c r="R222" s="30" t="n">
        <f aca="false">R221+(2/27)*(E222-R221)</f>
        <v>156.444442673657</v>
      </c>
      <c r="S222" s="33" t="n">
        <f aca="false">Q222-R222</f>
        <v>1.03926461592181</v>
      </c>
      <c r="T222" s="33" t="n">
        <f aca="false">T221+(2/10)*(S222-T221)</f>
        <v>0.745405093446272</v>
      </c>
      <c r="U222" s="33" t="n">
        <f aca="false">S222-T222</f>
        <v>0.293859522475537</v>
      </c>
      <c r="V222" s="32" t="str">
        <f aca="false">IF(M222="","",IF(M222&lt;Assumptions!$B$5,"BUY",IF(M222&gt;Assumptions!$B$4,"SELL","HOLD")))</f>
        <v>HOLD</v>
      </c>
      <c r="W222" s="32" t="str">
        <f aca="false">IF(O222="","",IF(E222&gt;O222,"BUY","SELL"))</f>
        <v>BUY</v>
      </c>
      <c r="X222" s="32" t="str">
        <f aca="false">IF(T222="","",IF(S222&gt;T222,"BUY","SELL"))</f>
        <v>BUY</v>
      </c>
      <c r="Y222" s="34" t="n">
        <f aca="false">IF(OR(V222="",W222="",X222=""),"",IFERROR(IF(V222="BUY",1,IF(V222="SELL",-1,0))+IF(W222="BUY",1,IF(W222="SELL",-1,0))+IF(X222="BUY",1,IF(X222="SELL",-1,0)),0))</f>
        <v>2</v>
      </c>
      <c r="Z222" s="32" t="str">
        <f aca="false">IF(Y222="","",IF(Y222&gt;=2,"STRONG BUY",IF(Y222=1,"BUY",IF(Y222=0,"HOLD",IF(Y222=-1,"SELL","STRONG SELL")))))</f>
        <v>STRONG BUY</v>
      </c>
    </row>
    <row r="223" customFormat="false" ht="15" hidden="false" customHeight="false" outlineLevel="0" collapsed="false">
      <c r="A223" s="24" t="n">
        <v>46079</v>
      </c>
      <c r="B223" s="25" t="n">
        <v>162.46</v>
      </c>
      <c r="C223" s="25" t="n">
        <v>162.46</v>
      </c>
      <c r="D223" s="25" t="n">
        <v>162.44</v>
      </c>
      <c r="E223" s="25" t="n">
        <v>162.45</v>
      </c>
      <c r="F223" s="26" t="n">
        <v>14118561</v>
      </c>
      <c r="G223" s="27" t="n">
        <f aca="false">E223-E222</f>
        <v>1.57999999999998</v>
      </c>
      <c r="H223" s="28" t="n">
        <f aca="false">G223/E222</f>
        <v>0.00982159507676996</v>
      </c>
      <c r="I223" s="29" t="n">
        <f aca="false">MAX(G223,0)</f>
        <v>1.57999999999998</v>
      </c>
      <c r="J223" s="29" t="n">
        <f aca="false">MAX(-G223,0)</f>
        <v>0</v>
      </c>
      <c r="K223" s="29" t="n">
        <f aca="false">(K222*13+I223)/14</f>
        <v>0.904268949191836</v>
      </c>
      <c r="L223" s="29" t="n">
        <f aca="false">(L222*13+J223)/14</f>
        <v>0.469243472918785</v>
      </c>
      <c r="M223" s="31" t="n">
        <f aca="false">IF(L223=0,100,100-100/(1+K223/MAX(L223,0.000001)))</f>
        <v>65.8362410586926</v>
      </c>
      <c r="N223" s="30" t="n">
        <f aca="false">AVERAGE(E204:E223)</f>
        <v>156.7775</v>
      </c>
      <c r="O223" s="30" t="n">
        <f aca="false">AVERAGE(E174:E223)</f>
        <v>155.4352</v>
      </c>
      <c r="P223" s="30" t="n">
        <f aca="false">AVERAGE(E24:E223)</f>
        <v>142.1232</v>
      </c>
      <c r="Q223" s="30" t="n">
        <f aca="false">Q222+(2/13)*(E223-Q222)</f>
        <v>158.247752321951</v>
      </c>
      <c r="R223" s="30" t="n">
        <f aca="false">R222+(2/27)*(E223-R222)</f>
        <v>156.889298771905</v>
      </c>
      <c r="S223" s="33" t="n">
        <f aca="false">Q223-R223</f>
        <v>1.35845355004668</v>
      </c>
      <c r="T223" s="33" t="n">
        <f aca="false">T222+(2/10)*(S223-T222)</f>
        <v>0.868014784766353</v>
      </c>
      <c r="U223" s="33" t="n">
        <f aca="false">S223-T223</f>
        <v>0.490438765280323</v>
      </c>
      <c r="V223" s="32" t="str">
        <f aca="false">IF(M223="","",IF(M223&lt;Assumptions!$B$5,"BUY",IF(M223&gt;Assumptions!$B$4,"SELL","HOLD")))</f>
        <v>HOLD</v>
      </c>
      <c r="W223" s="32" t="str">
        <f aca="false">IF(O223="","",IF(E223&gt;O223,"BUY","SELL"))</f>
        <v>BUY</v>
      </c>
      <c r="X223" s="32" t="str">
        <f aca="false">IF(T223="","",IF(S223&gt;T223,"BUY","SELL"))</f>
        <v>BUY</v>
      </c>
      <c r="Y223" s="34" t="n">
        <f aca="false">IF(OR(V223="",W223="",X223=""),"",IFERROR(IF(V223="BUY",1,IF(V223="SELL",-1,0))+IF(W223="BUY",1,IF(W223="SELL",-1,0))+IF(X223="BUY",1,IF(X223="SELL",-1,0)),0))</f>
        <v>2</v>
      </c>
      <c r="Z223" s="32" t="str">
        <f aca="false">IF(Y223="","",IF(Y223&gt;=2,"STRONG BUY",IF(Y223=1,"BUY",IF(Y223=0,"HOLD",IF(Y223=-1,"SELL","STRONG SELL")))))</f>
        <v>STRONG BUY</v>
      </c>
    </row>
    <row r="224" customFormat="false" ht="15" hidden="false" customHeight="false" outlineLevel="0" collapsed="false">
      <c r="A224" s="24" t="n">
        <v>46080</v>
      </c>
      <c r="B224" s="25" t="n">
        <v>161.08</v>
      </c>
      <c r="C224" s="25" t="n">
        <v>161.98</v>
      </c>
      <c r="D224" s="25" t="n">
        <v>161.08</v>
      </c>
      <c r="E224" s="25" t="n">
        <v>161.53</v>
      </c>
      <c r="F224" s="26" t="n">
        <v>14073668</v>
      </c>
      <c r="G224" s="27" t="n">
        <f aca="false">E224-E223</f>
        <v>-0.919999999999988</v>
      </c>
      <c r="H224" s="28" t="n">
        <f aca="false">G224/E223</f>
        <v>-0.00566328100954132</v>
      </c>
      <c r="I224" s="29" t="n">
        <f aca="false">MAX(G224,0)</f>
        <v>0</v>
      </c>
      <c r="J224" s="29" t="n">
        <f aca="false">MAX(-G224,0)</f>
        <v>0.919999999999988</v>
      </c>
      <c r="K224" s="29" t="n">
        <f aca="false">(K223*13+I224)/14</f>
        <v>0.839678309963847</v>
      </c>
      <c r="L224" s="29" t="n">
        <f aca="false">(L223*13+J224)/14</f>
        <v>0.5014403677103</v>
      </c>
      <c r="M224" s="31" t="n">
        <f aca="false">IF(L224=0,100,100-100/(1+K224/MAX(L224,0.000001)))</f>
        <v>62.6102912398529</v>
      </c>
      <c r="N224" s="30" t="n">
        <f aca="false">AVERAGE(E205:E224)</f>
        <v>156.94</v>
      </c>
      <c r="O224" s="30" t="n">
        <f aca="false">AVERAGE(E175:E224)</f>
        <v>155.7798</v>
      </c>
      <c r="P224" s="30" t="n">
        <f aca="false">AVERAGE(E25:E224)</f>
        <v>142.27235</v>
      </c>
      <c r="Q224" s="30" t="n">
        <f aca="false">Q223+(2/13)*(E224-Q223)</f>
        <v>158.75271350319</v>
      </c>
      <c r="R224" s="30" t="n">
        <f aca="false">R223+(2/27)*(E224-R223)</f>
        <v>157.23305441843</v>
      </c>
      <c r="S224" s="33" t="n">
        <f aca="false">Q224-R224</f>
        <v>1.51965908475935</v>
      </c>
      <c r="T224" s="33" t="n">
        <f aca="false">T223+(2/10)*(S224-T223)</f>
        <v>0.998343644764953</v>
      </c>
      <c r="U224" s="33" t="n">
        <f aca="false">S224-T224</f>
        <v>0.521315439994401</v>
      </c>
      <c r="V224" s="32" t="str">
        <f aca="false">IF(M224="","",IF(M224&lt;Assumptions!$B$5,"BUY",IF(M224&gt;Assumptions!$B$4,"SELL","HOLD")))</f>
        <v>HOLD</v>
      </c>
      <c r="W224" s="32" t="str">
        <f aca="false">IF(O224="","",IF(E224&gt;O224,"BUY","SELL"))</f>
        <v>BUY</v>
      </c>
      <c r="X224" s="32" t="str">
        <f aca="false">IF(T224="","",IF(S224&gt;T224,"BUY","SELL"))</f>
        <v>BUY</v>
      </c>
      <c r="Y224" s="34" t="n">
        <f aca="false">IF(OR(V224="",W224="",X224=""),"",IFERROR(IF(V224="BUY",1,IF(V224="SELL",-1,0))+IF(W224="BUY",1,IF(W224="SELL",-1,0))+IF(X224="BUY",1,IF(X224="SELL",-1,0)),0))</f>
        <v>2</v>
      </c>
      <c r="Z224" s="32" t="str">
        <f aca="false">IF(Y224="","",IF(Y224&gt;=2,"STRONG BUY",IF(Y224=1,"BUY",IF(Y224=0,"HOLD",IF(Y224=-1,"SELL","STRONG SELL")))))</f>
        <v>STRONG BUY</v>
      </c>
    </row>
    <row r="225" customFormat="false" ht="15" hidden="false" customHeight="false" outlineLevel="0" collapsed="false">
      <c r="A225" s="24" t="n">
        <v>46083</v>
      </c>
      <c r="B225" s="25" t="n">
        <v>164.13</v>
      </c>
      <c r="C225" s="25" t="n">
        <v>164.13</v>
      </c>
      <c r="D225" s="25" t="n">
        <v>162.69</v>
      </c>
      <c r="E225" s="25" t="n">
        <v>163.41</v>
      </c>
      <c r="F225" s="26" t="n">
        <v>12766196</v>
      </c>
      <c r="G225" s="27" t="n">
        <f aca="false">E225-E224</f>
        <v>1.88</v>
      </c>
      <c r="H225" s="28" t="n">
        <f aca="false">G225/E224</f>
        <v>0.0116387048845415</v>
      </c>
      <c r="I225" s="29" t="n">
        <f aca="false">MAX(G225,0)</f>
        <v>1.88</v>
      </c>
      <c r="J225" s="29" t="n">
        <f aca="false">MAX(-G225,0)</f>
        <v>0</v>
      </c>
      <c r="K225" s="29" t="n">
        <f aca="false">(K224*13+I225)/14</f>
        <v>0.913987002109287</v>
      </c>
      <c r="L225" s="29" t="n">
        <f aca="false">(L224*13+J225)/14</f>
        <v>0.465623198588135</v>
      </c>
      <c r="M225" s="31" t="n">
        <f aca="false">IF(L225=0,100,100-100/(1+K225/MAX(L225,0.000001)))</f>
        <v>66.2496552756168</v>
      </c>
      <c r="N225" s="30" t="n">
        <f aca="false">AVERAGE(E206:E225)</f>
        <v>157.1665</v>
      </c>
      <c r="O225" s="30" t="n">
        <f aca="false">AVERAGE(E176:E225)</f>
        <v>156.11</v>
      </c>
      <c r="P225" s="30" t="n">
        <f aca="false">AVERAGE(E26:E225)</f>
        <v>142.4339</v>
      </c>
      <c r="Q225" s="30" t="n">
        <f aca="false">Q224+(2/13)*(E225-Q224)</f>
        <v>159.469219118084</v>
      </c>
      <c r="R225" s="30" t="n">
        <f aca="false">R224+(2/27)*(E225-R224)</f>
        <v>157.690605942991</v>
      </c>
      <c r="S225" s="33" t="n">
        <f aca="false">Q225-R225</f>
        <v>1.77861317509252</v>
      </c>
      <c r="T225" s="33" t="n">
        <f aca="false">T224+(2/10)*(S225-T224)</f>
        <v>1.15439755083047</v>
      </c>
      <c r="U225" s="33" t="n">
        <f aca="false">S225-T225</f>
        <v>0.624215624262051</v>
      </c>
      <c r="V225" s="32" t="str">
        <f aca="false">IF(M225="","",IF(M225&lt;Assumptions!$B$5,"BUY",IF(M225&gt;Assumptions!$B$4,"SELL","HOLD")))</f>
        <v>HOLD</v>
      </c>
      <c r="W225" s="32" t="str">
        <f aca="false">IF(O225="","",IF(E225&gt;O225,"BUY","SELL"))</f>
        <v>BUY</v>
      </c>
      <c r="X225" s="32" t="str">
        <f aca="false">IF(T225="","",IF(S225&gt;T225,"BUY","SELL"))</f>
        <v>BUY</v>
      </c>
      <c r="Y225" s="34" t="n">
        <f aca="false">IF(OR(V225="",W225="",X225=""),"",IFERROR(IF(V225="BUY",1,IF(V225="SELL",-1,0))+IF(W225="BUY",1,IF(W225="SELL",-1,0))+IF(X225="BUY",1,IF(X225="SELL",-1,0)),0))</f>
        <v>2</v>
      </c>
      <c r="Z225" s="32" t="str">
        <f aca="false">IF(Y225="","",IF(Y225&gt;=2,"STRONG BUY",IF(Y225=1,"BUY",IF(Y225=0,"HOLD",IF(Y225=-1,"SELL","STRONG SELL")))))</f>
        <v>STRONG BUY</v>
      </c>
    </row>
    <row r="226" customFormat="false" ht="15" hidden="false" customHeight="false" outlineLevel="0" collapsed="false">
      <c r="A226" s="24" t="n">
        <v>46084</v>
      </c>
      <c r="B226" s="25" t="n">
        <v>162.32</v>
      </c>
      <c r="C226" s="25" t="n">
        <v>164.34</v>
      </c>
      <c r="D226" s="25" t="n">
        <v>161.42</v>
      </c>
      <c r="E226" s="25" t="n">
        <v>162.88</v>
      </c>
      <c r="F226" s="26" t="n">
        <v>16751001</v>
      </c>
      <c r="G226" s="27" t="n">
        <f aca="false">E226-E225</f>
        <v>-0.530000000000001</v>
      </c>
      <c r="H226" s="28" t="n">
        <f aca="false">G226/E225</f>
        <v>-0.00324337555841137</v>
      </c>
      <c r="I226" s="29" t="n">
        <f aca="false">MAX(G226,0)</f>
        <v>0</v>
      </c>
      <c r="J226" s="29" t="n">
        <f aca="false">MAX(-G226,0)</f>
        <v>0.530000000000001</v>
      </c>
      <c r="K226" s="29" t="n">
        <f aca="false">(K225*13+I226)/14</f>
        <v>0.848702216244338</v>
      </c>
      <c r="L226" s="29" t="n">
        <f aca="false">(L225*13+J226)/14</f>
        <v>0.470221541546126</v>
      </c>
      <c r="M226" s="31" t="n">
        <f aca="false">IF(L226=0,100,100-100/(1+K226/MAX(L226,0.000001)))</f>
        <v>64.3480876912955</v>
      </c>
      <c r="N226" s="30" t="n">
        <f aca="false">AVERAGE(E207:E226)</f>
        <v>157.4005</v>
      </c>
      <c r="O226" s="30" t="n">
        <f aca="false">AVERAGE(E177:E226)</f>
        <v>156.4606</v>
      </c>
      <c r="P226" s="30" t="n">
        <f aca="false">AVERAGE(E27:E226)</f>
        <v>142.5936</v>
      </c>
      <c r="Q226" s="30" t="n">
        <f aca="false">Q225+(2/13)*(E226-Q225)</f>
        <v>159.993954638378</v>
      </c>
      <c r="R226" s="30" t="n">
        <f aca="false">R225+(2/27)*(E226-R225)</f>
        <v>158.075005502769</v>
      </c>
      <c r="S226" s="33" t="n">
        <f aca="false">Q226-R226</f>
        <v>1.91894913560893</v>
      </c>
      <c r="T226" s="33" t="n">
        <f aca="false">T225+(2/10)*(S226-T225)</f>
        <v>1.30730786778616</v>
      </c>
      <c r="U226" s="33" t="n">
        <f aca="false">S226-T226</f>
        <v>0.611641267822769</v>
      </c>
      <c r="V226" s="32" t="str">
        <f aca="false">IF(M226="","",IF(M226&lt;Assumptions!$B$5,"BUY",IF(M226&gt;Assumptions!$B$4,"SELL","HOLD")))</f>
        <v>HOLD</v>
      </c>
      <c r="W226" s="32" t="str">
        <f aca="false">IF(O226="","",IF(E226&gt;O226,"BUY","SELL"))</f>
        <v>BUY</v>
      </c>
      <c r="X226" s="32" t="str">
        <f aca="false">IF(T226="","",IF(S226&gt;T226,"BUY","SELL"))</f>
        <v>BUY</v>
      </c>
      <c r="Y226" s="34" t="n">
        <f aca="false">IF(OR(V226="",W226="",X226=""),"",IFERROR(IF(V226="BUY",1,IF(V226="SELL",-1,0))+IF(W226="BUY",1,IF(W226="SELL",-1,0))+IF(X226="BUY",1,IF(X226="SELL",-1,0)),0))</f>
        <v>2</v>
      </c>
      <c r="Z226" s="32" t="str">
        <f aca="false">IF(Y226="","",IF(Y226&gt;=2,"STRONG BUY",IF(Y226=1,"BUY",IF(Y226=0,"HOLD",IF(Y226=-1,"SELL","STRONG SELL")))))</f>
        <v>STRONG BUY</v>
      </c>
    </row>
    <row r="227" customFormat="false" ht="15" hidden="false" customHeight="false" outlineLevel="0" collapsed="false">
      <c r="A227" s="24" t="n">
        <v>46085</v>
      </c>
      <c r="B227" s="25" t="n">
        <v>165.55</v>
      </c>
      <c r="C227" s="25" t="n">
        <v>166.54</v>
      </c>
      <c r="D227" s="25" t="n">
        <v>163.32</v>
      </c>
      <c r="E227" s="25" t="n">
        <v>164.93</v>
      </c>
      <c r="F227" s="26" t="n">
        <v>11003567</v>
      </c>
      <c r="G227" s="27" t="n">
        <f aca="false">E227-E226</f>
        <v>2.05000000000001</v>
      </c>
      <c r="H227" s="28" t="n">
        <f aca="false">G227/E226</f>
        <v>0.0125859528487231</v>
      </c>
      <c r="I227" s="29" t="n">
        <f aca="false">MAX(G227,0)</f>
        <v>2.05000000000001</v>
      </c>
      <c r="J227" s="29" t="n">
        <f aca="false">MAX(-G227,0)</f>
        <v>0</v>
      </c>
      <c r="K227" s="29" t="n">
        <f aca="false">(K226*13+I227)/14</f>
        <v>0.934509200798314</v>
      </c>
      <c r="L227" s="29" t="n">
        <f aca="false">(L226*13+J227)/14</f>
        <v>0.436634288578545</v>
      </c>
      <c r="M227" s="31" t="n">
        <f aca="false">IF(L227=0,100,100-100/(1+K227/MAX(L227,0.000001)))</f>
        <v>68.1554635265065</v>
      </c>
      <c r="N227" s="30" t="n">
        <f aca="false">AVERAGE(E208:E227)</f>
        <v>157.8765</v>
      </c>
      <c r="O227" s="30" t="n">
        <f aca="false">AVERAGE(E178:E227)</f>
        <v>156.7962</v>
      </c>
      <c r="P227" s="30" t="n">
        <f aca="false">AVERAGE(E28:E227)</f>
        <v>142.76895</v>
      </c>
      <c r="Q227" s="30" t="n">
        <f aca="false">Q226+(2/13)*(E227-Q226)</f>
        <v>160.753346232474</v>
      </c>
      <c r="R227" s="30" t="n">
        <f aca="false">R226+(2/27)*(E227-R226)</f>
        <v>158.582782872935</v>
      </c>
      <c r="S227" s="33" t="n">
        <f aca="false">Q227-R227</f>
        <v>2.17056335953933</v>
      </c>
      <c r="T227" s="33" t="n">
        <f aca="false">T226+(2/10)*(S227-T226)</f>
        <v>1.47995896613679</v>
      </c>
      <c r="U227" s="33" t="n">
        <f aca="false">S227-T227</f>
        <v>0.690604393402537</v>
      </c>
      <c r="V227" s="32" t="str">
        <f aca="false">IF(M227="","",IF(M227&lt;Assumptions!$B$5,"BUY",IF(M227&gt;Assumptions!$B$4,"SELL","HOLD")))</f>
        <v>HOLD</v>
      </c>
      <c r="W227" s="32" t="str">
        <f aca="false">IF(O227="","",IF(E227&gt;O227,"BUY","SELL"))</f>
        <v>BUY</v>
      </c>
      <c r="X227" s="32" t="str">
        <f aca="false">IF(T227="","",IF(S227&gt;T227,"BUY","SELL"))</f>
        <v>BUY</v>
      </c>
      <c r="Y227" s="34" t="n">
        <f aca="false">IF(OR(V227="",W227="",X227=""),"",IFERROR(IF(V227="BUY",1,IF(V227="SELL",-1,0))+IF(W227="BUY",1,IF(W227="SELL",-1,0))+IF(X227="BUY",1,IF(X227="SELL",-1,0)),0))</f>
        <v>2</v>
      </c>
      <c r="Z227" s="32" t="str">
        <f aca="false">IF(Y227="","",IF(Y227&gt;=2,"STRONG BUY",IF(Y227=1,"BUY",IF(Y227=0,"HOLD",IF(Y227=-1,"SELL","STRONG SELL")))))</f>
        <v>STRONG BUY</v>
      </c>
    </row>
    <row r="228" customFormat="false" ht="15" hidden="false" customHeight="false" outlineLevel="0" collapsed="false">
      <c r="A228" s="24" t="n">
        <v>46086</v>
      </c>
      <c r="B228" s="25" t="n">
        <v>168.73</v>
      </c>
      <c r="C228" s="25" t="n">
        <v>169.92</v>
      </c>
      <c r="D228" s="25" t="n">
        <v>168.02</v>
      </c>
      <c r="E228" s="25" t="n">
        <v>168.97</v>
      </c>
      <c r="F228" s="26" t="n">
        <v>14866352</v>
      </c>
      <c r="G228" s="27" t="n">
        <f aca="false">E228-E227</f>
        <v>4.03999999999999</v>
      </c>
      <c r="H228" s="28" t="n">
        <f aca="false">G228/E227</f>
        <v>0.0244952404050203</v>
      </c>
      <c r="I228" s="29" t="n">
        <f aca="false">MAX(G228,0)</f>
        <v>4.03999999999999</v>
      </c>
      <c r="J228" s="29" t="n">
        <f aca="false">MAX(-G228,0)</f>
        <v>0</v>
      </c>
      <c r="K228" s="29" t="n">
        <f aca="false">(K227*13+I228)/14</f>
        <v>1.15632997216986</v>
      </c>
      <c r="L228" s="29" t="n">
        <f aca="false">(L227*13+J228)/14</f>
        <v>0.405446125108649</v>
      </c>
      <c r="M228" s="31" t="n">
        <f aca="false">IF(L228=0,100,100-100/(1+K228/MAX(L228,0.000001)))</f>
        <v>74.0394205151966</v>
      </c>
      <c r="N228" s="30" t="n">
        <f aca="false">AVERAGE(E209:E228)</f>
        <v>158.5595</v>
      </c>
      <c r="O228" s="30" t="n">
        <f aca="false">AVERAGE(E179:E228)</f>
        <v>157.138</v>
      </c>
      <c r="P228" s="30" t="n">
        <f aca="false">AVERAGE(E29:E228)</f>
        <v>142.9659</v>
      </c>
      <c r="Q228" s="30" t="n">
        <f aca="false">Q227+(2/13)*(E228-Q227)</f>
        <v>162.017446812093</v>
      </c>
      <c r="R228" s="30" t="n">
        <f aca="false">R227+(2/27)*(E228-R227)</f>
        <v>159.352206363828</v>
      </c>
      <c r="S228" s="33" t="n">
        <f aca="false">Q228-R228</f>
        <v>2.665240448265</v>
      </c>
      <c r="T228" s="33" t="n">
        <f aca="false">T227+(2/10)*(S228-T227)</f>
        <v>1.71701526256243</v>
      </c>
      <c r="U228" s="33" t="n">
        <f aca="false">S228-T228</f>
        <v>0.948225185702563</v>
      </c>
      <c r="V228" s="32" t="str">
        <f aca="false">IF(M228="","",IF(M228&lt;Assumptions!$B$5,"BUY",IF(M228&gt;Assumptions!$B$4,"SELL","HOLD")))</f>
        <v>SELL</v>
      </c>
      <c r="W228" s="32" t="str">
        <f aca="false">IF(O228="","",IF(E228&gt;O228,"BUY","SELL"))</f>
        <v>BUY</v>
      </c>
      <c r="X228" s="32" t="str">
        <f aca="false">IF(T228="","",IF(S228&gt;T228,"BUY","SELL"))</f>
        <v>BUY</v>
      </c>
      <c r="Y228" s="34" t="n">
        <f aca="false">IF(OR(V228="",W228="",X228=""),"",IFERROR(IF(V228="BUY",1,IF(V228="SELL",-1,0))+IF(W228="BUY",1,IF(W228="SELL",-1,0))+IF(X228="BUY",1,IF(X228="SELL",-1,0)),0))</f>
        <v>1</v>
      </c>
      <c r="Z228" s="32" t="str">
        <f aca="false">IF(Y228="","",IF(Y228&gt;=2,"STRONG BUY",IF(Y228=1,"BUY",IF(Y228=0,"HOLD",IF(Y228=-1,"SELL","STRONG SELL")))))</f>
        <v>BUY</v>
      </c>
    </row>
    <row r="229" customFormat="false" ht="15" hidden="false" customHeight="false" outlineLevel="0" collapsed="false">
      <c r="A229" s="24" t="n">
        <v>46087</v>
      </c>
      <c r="B229" s="25" t="n">
        <v>171.66</v>
      </c>
      <c r="C229" s="25" t="n">
        <v>171.92</v>
      </c>
      <c r="D229" s="25" t="n">
        <v>170.88</v>
      </c>
      <c r="E229" s="25" t="n">
        <v>171.4</v>
      </c>
      <c r="F229" s="26" t="n">
        <v>13859251</v>
      </c>
      <c r="G229" s="27" t="n">
        <f aca="false">E229-E228</f>
        <v>2.43000000000001</v>
      </c>
      <c r="H229" s="28" t="n">
        <f aca="false">G229/E228</f>
        <v>0.0143812511096645</v>
      </c>
      <c r="I229" s="29" t="n">
        <f aca="false">MAX(G229,0)</f>
        <v>2.43000000000001</v>
      </c>
      <c r="J229" s="29" t="n">
        <f aca="false">MAX(-G229,0)</f>
        <v>0</v>
      </c>
      <c r="K229" s="29" t="n">
        <f aca="false">(K228*13+I229)/14</f>
        <v>1.24730640272916</v>
      </c>
      <c r="L229" s="29" t="n">
        <f aca="false">(L228*13+J229)/14</f>
        <v>0.376485687600889</v>
      </c>
      <c r="M229" s="31" t="n">
        <f aca="false">IF(L229=0,100,100-100/(1+K229/MAX(L229,0.000001)))</f>
        <v>76.8144154757913</v>
      </c>
      <c r="N229" s="30" t="n">
        <f aca="false">AVERAGE(E210:E229)</f>
        <v>159.4505</v>
      </c>
      <c r="O229" s="30" t="n">
        <f aca="false">AVERAGE(E180:E229)</f>
        <v>157.4358</v>
      </c>
      <c r="P229" s="30" t="n">
        <f aca="false">AVERAGE(E30:E229)</f>
        <v>143.1623</v>
      </c>
      <c r="Q229" s="30" t="n">
        <f aca="false">Q228+(2/13)*(E229-Q228)</f>
        <v>163.46091653331</v>
      </c>
      <c r="R229" s="30" t="n">
        <f aca="false">R228+(2/27)*(E229-R228)</f>
        <v>160.244635522063</v>
      </c>
      <c r="S229" s="33" t="n">
        <f aca="false">Q229-R229</f>
        <v>3.21628101124645</v>
      </c>
      <c r="T229" s="33" t="n">
        <f aca="false">T228+(2/10)*(S229-T228)</f>
        <v>2.01686841229924</v>
      </c>
      <c r="U229" s="33" t="n">
        <f aca="false">S229-T229</f>
        <v>1.19941259894721</v>
      </c>
      <c r="V229" s="32" t="str">
        <f aca="false">IF(M229="","",IF(M229&lt;Assumptions!$B$5,"BUY",IF(M229&gt;Assumptions!$B$4,"SELL","HOLD")))</f>
        <v>SELL</v>
      </c>
      <c r="W229" s="32" t="str">
        <f aca="false">IF(O229="","",IF(E229&gt;O229,"BUY","SELL"))</f>
        <v>BUY</v>
      </c>
      <c r="X229" s="32" t="str">
        <f aca="false">IF(T229="","",IF(S229&gt;T229,"BUY","SELL"))</f>
        <v>BUY</v>
      </c>
      <c r="Y229" s="34" t="n">
        <f aca="false">IF(OR(V229="",W229="",X229=""),"",IFERROR(IF(V229="BUY",1,IF(V229="SELL",-1,0))+IF(W229="BUY",1,IF(W229="SELL",-1,0))+IF(X229="BUY",1,IF(X229="SELL",-1,0)),0))</f>
        <v>1</v>
      </c>
      <c r="Z229" s="32" t="str">
        <f aca="false">IF(Y229="","",IF(Y229&gt;=2,"STRONG BUY",IF(Y229=1,"BUY",IF(Y229=0,"HOLD",IF(Y229=-1,"SELL","STRONG SELL")))))</f>
        <v>BUY</v>
      </c>
    </row>
    <row r="230" customFormat="false" ht="15" hidden="false" customHeight="false" outlineLevel="0" collapsed="false">
      <c r="A230" s="24" t="n">
        <v>46090</v>
      </c>
      <c r="B230" s="25" t="n">
        <v>176.2</v>
      </c>
      <c r="C230" s="25" t="n">
        <v>178.38</v>
      </c>
      <c r="D230" s="25" t="n">
        <v>174.82</v>
      </c>
      <c r="E230" s="25" t="n">
        <v>176.6</v>
      </c>
      <c r="F230" s="26" t="n">
        <v>17894331</v>
      </c>
      <c r="G230" s="27" t="n">
        <f aca="false">E230-E229</f>
        <v>5.19999999999999</v>
      </c>
      <c r="H230" s="28" t="n">
        <f aca="false">G230/E229</f>
        <v>0.0303383897316219</v>
      </c>
      <c r="I230" s="29" t="n">
        <f aca="false">MAX(G230,0)</f>
        <v>5.19999999999999</v>
      </c>
      <c r="J230" s="29" t="n">
        <f aca="false">MAX(-G230,0)</f>
        <v>0</v>
      </c>
      <c r="K230" s="29" t="n">
        <f aca="false">(K229*13+I230)/14</f>
        <v>1.52964165967708</v>
      </c>
      <c r="L230" s="29" t="n">
        <f aca="false">(L229*13+J230)/14</f>
        <v>0.349593852772254</v>
      </c>
      <c r="M230" s="31" t="n">
        <f aca="false">IF(L230=0,100,100-100/(1+K230/MAX(L230,0.000001)))</f>
        <v>81.3970175395097</v>
      </c>
      <c r="N230" s="30" t="n">
        <f aca="false">AVERAGE(E211:E230)</f>
        <v>160.5925</v>
      </c>
      <c r="O230" s="30" t="n">
        <f aca="false">AVERAGE(E181:E230)</f>
        <v>157.845</v>
      </c>
      <c r="P230" s="30" t="n">
        <f aca="false">AVERAGE(E31:E230)</f>
        <v>143.39845</v>
      </c>
      <c r="Q230" s="30" t="n">
        <f aca="false">Q229+(2/13)*(E230-Q229)</f>
        <v>165.482313989724</v>
      </c>
      <c r="R230" s="30" t="n">
        <f aca="false">R229+(2/27)*(E230-R229)</f>
        <v>161.456144001911</v>
      </c>
      <c r="S230" s="33" t="n">
        <f aca="false">Q230-R230</f>
        <v>4.02616998781315</v>
      </c>
      <c r="T230" s="33" t="n">
        <f aca="false">T229+(2/10)*(S230-T229)</f>
        <v>2.41872872740202</v>
      </c>
      <c r="U230" s="33" t="n">
        <f aca="false">S230-T230</f>
        <v>1.60744126041113</v>
      </c>
      <c r="V230" s="32" t="str">
        <f aca="false">IF(M230="","",IF(M230&lt;Assumptions!$B$5,"BUY",IF(M230&gt;Assumptions!$B$4,"SELL","HOLD")))</f>
        <v>SELL</v>
      </c>
      <c r="W230" s="32" t="str">
        <f aca="false">IF(O230="","",IF(E230&gt;O230,"BUY","SELL"))</f>
        <v>BUY</v>
      </c>
      <c r="X230" s="32" t="str">
        <f aca="false">IF(T230="","",IF(S230&gt;T230,"BUY","SELL"))</f>
        <v>BUY</v>
      </c>
      <c r="Y230" s="34" t="n">
        <f aca="false">IF(OR(V230="",W230="",X230=""),"",IFERROR(IF(V230="BUY",1,IF(V230="SELL",-1,0))+IF(W230="BUY",1,IF(W230="SELL",-1,0))+IF(X230="BUY",1,IF(X230="SELL",-1,0)),0))</f>
        <v>1</v>
      </c>
      <c r="Z230" s="32" t="str">
        <f aca="false">IF(Y230="","",IF(Y230&gt;=2,"STRONG BUY",IF(Y230=1,"BUY",IF(Y230=0,"HOLD",IF(Y230=-1,"SELL","STRONG SELL")))))</f>
        <v>BUY</v>
      </c>
    </row>
    <row r="231" customFormat="false" ht="15" hidden="false" customHeight="false" outlineLevel="0" collapsed="false">
      <c r="A231" s="24" t="n">
        <v>46091</v>
      </c>
      <c r="B231" s="25" t="n">
        <v>173.46</v>
      </c>
      <c r="C231" s="25" t="n">
        <v>173.46</v>
      </c>
      <c r="D231" s="25" t="n">
        <v>172.72</v>
      </c>
      <c r="E231" s="25" t="n">
        <v>173.09</v>
      </c>
      <c r="F231" s="26" t="n">
        <v>21826824</v>
      </c>
      <c r="G231" s="27" t="n">
        <f aca="false">E231-E230</f>
        <v>-3.50999999999999</v>
      </c>
      <c r="H231" s="28" t="n">
        <f aca="false">G231/E230</f>
        <v>-0.0198754246885617</v>
      </c>
      <c r="I231" s="29" t="n">
        <f aca="false">MAX(G231,0)</f>
        <v>0</v>
      </c>
      <c r="J231" s="29" t="n">
        <f aca="false">MAX(-G231,0)</f>
        <v>3.50999999999999</v>
      </c>
      <c r="K231" s="29" t="n">
        <f aca="false">(K230*13+I231)/14</f>
        <v>1.42038154112871</v>
      </c>
      <c r="L231" s="29" t="n">
        <f aca="false">(L230*13+J231)/14</f>
        <v>0.575337149002806</v>
      </c>
      <c r="M231" s="31" t="n">
        <f aca="false">IF(L231=0,100,100-100/(1+K231/MAX(L231,0.000001)))</f>
        <v>71.1714305303774</v>
      </c>
      <c r="N231" s="30" t="n">
        <f aca="false">AVERAGE(E212:E231)</f>
        <v>161.552</v>
      </c>
      <c r="O231" s="30" t="n">
        <f aca="false">AVERAGE(E182:E231)</f>
        <v>158.2306</v>
      </c>
      <c r="P231" s="30" t="n">
        <f aca="false">AVERAGE(E32:E231)</f>
        <v>143.6272</v>
      </c>
      <c r="Q231" s="30" t="n">
        <f aca="false">Q230+(2/13)*(E231-Q230)</f>
        <v>166.652727222074</v>
      </c>
      <c r="R231" s="30" t="n">
        <f aca="false">R230+(2/27)*(E231-R230)</f>
        <v>162.31791111288</v>
      </c>
      <c r="S231" s="33" t="n">
        <f aca="false">Q231-R231</f>
        <v>4.33481610919375</v>
      </c>
      <c r="T231" s="33" t="n">
        <f aca="false">T230+(2/10)*(S231-T230)</f>
        <v>2.80194620376037</v>
      </c>
      <c r="U231" s="33" t="n">
        <f aca="false">S231-T231</f>
        <v>1.53286990543339</v>
      </c>
      <c r="V231" s="32" t="str">
        <f aca="false">IF(M231="","",IF(M231&lt;Assumptions!$B$5,"BUY",IF(M231&gt;Assumptions!$B$4,"SELL","HOLD")))</f>
        <v>SELL</v>
      </c>
      <c r="W231" s="32" t="str">
        <f aca="false">IF(O231="","",IF(E231&gt;O231,"BUY","SELL"))</f>
        <v>BUY</v>
      </c>
      <c r="X231" s="32" t="str">
        <f aca="false">IF(T231="","",IF(S231&gt;T231,"BUY","SELL"))</f>
        <v>BUY</v>
      </c>
      <c r="Y231" s="34" t="n">
        <f aca="false">IF(OR(V231="",W231="",X231=""),"",IFERROR(IF(V231="BUY",1,IF(V231="SELL",-1,0))+IF(W231="BUY",1,IF(W231="SELL",-1,0))+IF(X231="BUY",1,IF(X231="SELL",-1,0)),0))</f>
        <v>1</v>
      </c>
      <c r="Z231" s="32" t="str">
        <f aca="false">IF(Y231="","",IF(Y231&gt;=2,"STRONG BUY",IF(Y231=1,"BUY",IF(Y231=0,"HOLD",IF(Y231=-1,"SELL","STRONG SELL")))))</f>
        <v>BUY</v>
      </c>
    </row>
    <row r="232" customFormat="false" ht="15" hidden="false" customHeight="false" outlineLevel="0" collapsed="false">
      <c r="A232" s="24" t="n">
        <v>46092</v>
      </c>
      <c r="B232" s="25" t="n">
        <v>171.06</v>
      </c>
      <c r="C232" s="25" t="n">
        <v>172.7</v>
      </c>
      <c r="D232" s="25" t="n">
        <v>171.06</v>
      </c>
      <c r="E232" s="25" t="n">
        <v>171.88</v>
      </c>
      <c r="F232" s="26" t="n">
        <v>12687648</v>
      </c>
      <c r="G232" s="27" t="n">
        <f aca="false">E232-E231</f>
        <v>-1.21000000000001</v>
      </c>
      <c r="H232" s="28" t="n">
        <f aca="false">G232/E231</f>
        <v>-0.00699058293373394</v>
      </c>
      <c r="I232" s="29" t="n">
        <f aca="false">MAX(G232,0)</f>
        <v>0</v>
      </c>
      <c r="J232" s="29" t="n">
        <f aca="false">MAX(-G232,0)</f>
        <v>1.21000000000001</v>
      </c>
      <c r="K232" s="29" t="n">
        <f aca="false">(K231*13+I232)/14</f>
        <v>1.31892571676238</v>
      </c>
      <c r="L232" s="29" t="n">
        <f aca="false">(L231*13+J232)/14</f>
        <v>0.620670209788321</v>
      </c>
      <c r="M232" s="31" t="n">
        <f aca="false">IF(L232=0,100,100-100/(1+K232/MAX(L232,0.000001)))</f>
        <v>68.0000250932628</v>
      </c>
      <c r="N232" s="30" t="n">
        <f aca="false">AVERAGE(E213:E232)</f>
        <v>162.484</v>
      </c>
      <c r="O232" s="30" t="n">
        <f aca="false">AVERAGE(E183:E232)</f>
        <v>158.5786</v>
      </c>
      <c r="P232" s="30" t="n">
        <f aca="false">AVERAGE(E33:E232)</f>
        <v>143.8445</v>
      </c>
      <c r="Q232" s="30" t="n">
        <f aca="false">Q231+(2/13)*(E232-Q231)</f>
        <v>167.456923034063</v>
      </c>
      <c r="R232" s="30" t="n">
        <f aca="false">R231+(2/27)*(E232-R231)</f>
        <v>163.026213993408</v>
      </c>
      <c r="S232" s="33" t="n">
        <f aca="false">Q232-R232</f>
        <v>4.43070904065499</v>
      </c>
      <c r="T232" s="33" t="n">
        <f aca="false">T231+(2/10)*(S232-T231)</f>
        <v>3.12769877113929</v>
      </c>
      <c r="U232" s="33" t="n">
        <f aca="false">S232-T232</f>
        <v>1.3030102695157</v>
      </c>
      <c r="V232" s="32" t="str">
        <f aca="false">IF(M232="","",IF(M232&lt;Assumptions!$B$5,"BUY",IF(M232&gt;Assumptions!$B$4,"SELL","HOLD")))</f>
        <v>HOLD</v>
      </c>
      <c r="W232" s="32" t="str">
        <f aca="false">IF(O232="","",IF(E232&gt;O232,"BUY","SELL"))</f>
        <v>BUY</v>
      </c>
      <c r="X232" s="32" t="str">
        <f aca="false">IF(T232="","",IF(S232&gt;T232,"BUY","SELL"))</f>
        <v>BUY</v>
      </c>
      <c r="Y232" s="34" t="n">
        <f aca="false">IF(OR(V232="",W232="",X232=""),"",IFERROR(IF(V232="BUY",1,IF(V232="SELL",-1,0))+IF(W232="BUY",1,IF(W232="SELL",-1,0))+IF(X232="BUY",1,IF(X232="SELL",-1,0)),0))</f>
        <v>2</v>
      </c>
      <c r="Z232" s="32" t="str">
        <f aca="false">IF(Y232="","",IF(Y232&gt;=2,"STRONG BUY",IF(Y232=1,"BUY",IF(Y232=0,"HOLD",IF(Y232=-1,"SELL","STRONG SELL")))))</f>
        <v>STRONG BUY</v>
      </c>
    </row>
    <row r="233" customFormat="false" ht="15" hidden="false" customHeight="false" outlineLevel="0" collapsed="false">
      <c r="A233" s="24" t="n">
        <v>46093</v>
      </c>
      <c r="B233" s="25" t="n">
        <v>170.94</v>
      </c>
      <c r="C233" s="25" t="n">
        <v>172.01</v>
      </c>
      <c r="D233" s="25" t="n">
        <v>170.59</v>
      </c>
      <c r="E233" s="25" t="n">
        <v>171.3</v>
      </c>
      <c r="F233" s="26" t="n">
        <v>10617093</v>
      </c>
      <c r="G233" s="27" t="n">
        <f aca="false">E233-E232</f>
        <v>-0.579999999999984</v>
      </c>
      <c r="H233" s="28" t="n">
        <f aca="false">G233/E232</f>
        <v>-0.00337444728880605</v>
      </c>
      <c r="I233" s="29" t="n">
        <f aca="false">MAX(G233,0)</f>
        <v>0</v>
      </c>
      <c r="J233" s="29" t="n">
        <f aca="false">MAX(-G233,0)</f>
        <v>0.579999999999984</v>
      </c>
      <c r="K233" s="29" t="n">
        <f aca="false">(K232*13+I233)/14</f>
        <v>1.22471673699363</v>
      </c>
      <c r="L233" s="29" t="n">
        <f aca="false">(L232*13+J233)/14</f>
        <v>0.61776519480344</v>
      </c>
      <c r="M233" s="31" t="n">
        <f aca="false">IF(L233=0,100,100-100/(1+K233/MAX(L233,0.000001)))</f>
        <v>66.4710310509857</v>
      </c>
      <c r="N233" s="30" t="n">
        <f aca="false">AVERAGE(E214:E233)</f>
        <v>163.298</v>
      </c>
      <c r="O233" s="30" t="n">
        <f aca="false">AVERAGE(E184:E233)</f>
        <v>158.9168</v>
      </c>
      <c r="P233" s="30" t="n">
        <f aca="false">AVERAGE(E34:E233)</f>
        <v>144.0456</v>
      </c>
      <c r="Q233" s="30" t="n">
        <f aca="false">Q232+(2/13)*(E233-Q232)</f>
        <v>168.048165644207</v>
      </c>
      <c r="R233" s="30" t="n">
        <f aca="false">R232+(2/27)*(E233-R232)</f>
        <v>163.639087030933</v>
      </c>
      <c r="S233" s="33" t="n">
        <f aca="false">Q233-R233</f>
        <v>4.40907861327386</v>
      </c>
      <c r="T233" s="33" t="n">
        <f aca="false">T232+(2/10)*(S233-T232)</f>
        <v>3.38397473956621</v>
      </c>
      <c r="U233" s="33" t="n">
        <f aca="false">S233-T233</f>
        <v>1.02510387370766</v>
      </c>
      <c r="V233" s="32" t="str">
        <f aca="false">IF(M233="","",IF(M233&lt;Assumptions!$B$5,"BUY",IF(M233&gt;Assumptions!$B$4,"SELL","HOLD")))</f>
        <v>HOLD</v>
      </c>
      <c r="W233" s="32" t="str">
        <f aca="false">IF(O233="","",IF(E233&gt;O233,"BUY","SELL"))</f>
        <v>BUY</v>
      </c>
      <c r="X233" s="32" t="str">
        <f aca="false">IF(T233="","",IF(S233&gt;T233,"BUY","SELL"))</f>
        <v>BUY</v>
      </c>
      <c r="Y233" s="34" t="n">
        <f aca="false">IF(OR(V233="",W233="",X233=""),"",IFERROR(IF(V233="BUY",1,IF(V233="SELL",-1,0))+IF(W233="BUY",1,IF(W233="SELL",-1,0))+IF(X233="BUY",1,IF(X233="SELL",-1,0)),0))</f>
        <v>2</v>
      </c>
      <c r="Z233" s="32" t="str">
        <f aca="false">IF(Y233="","",IF(Y233&gt;=2,"STRONG BUY",IF(Y233=1,"BUY",IF(Y233=0,"HOLD",IF(Y233=-1,"SELL","STRONG SELL")))))</f>
        <v>STRONG BUY</v>
      </c>
    </row>
    <row r="234" customFormat="false" ht="15" hidden="false" customHeight="false" outlineLevel="0" collapsed="false">
      <c r="A234" s="24" t="n">
        <v>46094</v>
      </c>
      <c r="B234" s="25" t="n">
        <v>170.98</v>
      </c>
      <c r="C234" s="25" t="n">
        <v>170.98</v>
      </c>
      <c r="D234" s="25" t="n">
        <v>169.88</v>
      </c>
      <c r="E234" s="25" t="n">
        <v>170.43</v>
      </c>
      <c r="F234" s="26" t="n">
        <v>16726646</v>
      </c>
      <c r="G234" s="27" t="n">
        <f aca="false">E234-E233</f>
        <v>-0.870000000000005</v>
      </c>
      <c r="H234" s="28" t="n">
        <f aca="false">G234/E233</f>
        <v>-0.00507880910683015</v>
      </c>
      <c r="I234" s="29" t="n">
        <f aca="false">MAX(G234,0)</f>
        <v>0</v>
      </c>
      <c r="J234" s="29" t="n">
        <f aca="false">MAX(-G234,0)</f>
        <v>0.870000000000005</v>
      </c>
      <c r="K234" s="29" t="n">
        <f aca="false">(K233*13+I234)/14</f>
        <v>1.13723697006552</v>
      </c>
      <c r="L234" s="29" t="n">
        <f aca="false">(L233*13+J234)/14</f>
        <v>0.635781966603194</v>
      </c>
      <c r="M234" s="31" t="n">
        <f aca="false">IF(L234=0,100,100-100/(1+K234/MAX(L234,0.000001)))</f>
        <v>64.1412760205623</v>
      </c>
      <c r="N234" s="30" t="n">
        <f aca="false">AVERAGE(E215:E234)</f>
        <v>164.0745</v>
      </c>
      <c r="O234" s="30" t="n">
        <f aca="false">AVERAGE(E185:E234)</f>
        <v>159.3072</v>
      </c>
      <c r="P234" s="30" t="n">
        <f aca="false">AVERAGE(E35:E234)</f>
        <v>144.24405</v>
      </c>
      <c r="Q234" s="30" t="n">
        <f aca="false">Q233+(2/13)*(E234-Q233)</f>
        <v>168.414601698944</v>
      </c>
      <c r="R234" s="30" t="n">
        <f aca="false">R233+(2/27)*(E234-R233)</f>
        <v>164.142117621234</v>
      </c>
      <c r="S234" s="33" t="n">
        <f aca="false">Q234-R234</f>
        <v>4.27248407771</v>
      </c>
      <c r="T234" s="33" t="n">
        <f aca="false">T233+(2/10)*(S234-T233)</f>
        <v>3.56167660719497</v>
      </c>
      <c r="U234" s="33" t="n">
        <f aca="false">S234-T234</f>
        <v>0.710807470515039</v>
      </c>
      <c r="V234" s="32" t="str">
        <f aca="false">IF(M234="","",IF(M234&lt;Assumptions!$B$5,"BUY",IF(M234&gt;Assumptions!$B$4,"SELL","HOLD")))</f>
        <v>HOLD</v>
      </c>
      <c r="W234" s="32" t="str">
        <f aca="false">IF(O234="","",IF(E234&gt;O234,"BUY","SELL"))</f>
        <v>BUY</v>
      </c>
      <c r="X234" s="32" t="str">
        <f aca="false">IF(T234="","",IF(S234&gt;T234,"BUY","SELL"))</f>
        <v>BUY</v>
      </c>
      <c r="Y234" s="34" t="n">
        <f aca="false">IF(OR(V234="",W234="",X234=""),"",IFERROR(IF(V234="BUY",1,IF(V234="SELL",-1,0))+IF(W234="BUY",1,IF(W234="SELL",-1,0))+IF(X234="BUY",1,IF(X234="SELL",-1,0)),0))</f>
        <v>2</v>
      </c>
      <c r="Z234" s="32" t="str">
        <f aca="false">IF(Y234="","",IF(Y234&gt;=2,"STRONG BUY",IF(Y234=1,"BUY",IF(Y234=0,"HOLD",IF(Y234=-1,"SELL","STRONG SELL")))))</f>
        <v>STRONG BUY</v>
      </c>
    </row>
    <row r="235" customFormat="false" ht="15" hidden="false" customHeight="false" outlineLevel="0" collapsed="false">
      <c r="A235" s="24" t="n">
        <v>46097</v>
      </c>
      <c r="B235" s="25" t="n">
        <v>172.46</v>
      </c>
      <c r="C235" s="25" t="n">
        <v>172.46</v>
      </c>
      <c r="D235" s="25" t="n">
        <v>170.08</v>
      </c>
      <c r="E235" s="25" t="n">
        <v>171.27</v>
      </c>
      <c r="F235" s="26" t="n">
        <v>8762759</v>
      </c>
      <c r="G235" s="27" t="n">
        <f aca="false">E235-E234</f>
        <v>0.840000000000003</v>
      </c>
      <c r="H235" s="28" t="n">
        <f aca="false">G235/E234</f>
        <v>0.00492870973420175</v>
      </c>
      <c r="I235" s="29" t="n">
        <f aca="false">MAX(G235,0)</f>
        <v>0.840000000000003</v>
      </c>
      <c r="J235" s="29" t="n">
        <f aca="false">MAX(-G235,0)</f>
        <v>0</v>
      </c>
      <c r="K235" s="29" t="n">
        <f aca="false">(K234*13+I235)/14</f>
        <v>1.11600575791798</v>
      </c>
      <c r="L235" s="29" t="n">
        <f aca="false">(L234*13+J235)/14</f>
        <v>0.59036896898868</v>
      </c>
      <c r="M235" s="31" t="n">
        <f aca="false">IF(L235=0,100,100-100/(1+K235/MAX(L235,0.000001)))</f>
        <v>65.4021499686116</v>
      </c>
      <c r="N235" s="30" t="n">
        <f aca="false">AVERAGE(E216:E235)</f>
        <v>164.839</v>
      </c>
      <c r="O235" s="30" t="n">
        <f aca="false">AVERAGE(E186:E235)</f>
        <v>159.685</v>
      </c>
      <c r="P235" s="30" t="n">
        <f aca="false">AVERAGE(E36:E235)</f>
        <v>144.4573</v>
      </c>
      <c r="Q235" s="30" t="n">
        <f aca="false">Q234+(2/13)*(E235-Q234)</f>
        <v>168.85389374526</v>
      </c>
      <c r="R235" s="30" t="n">
        <f aca="false">R234+(2/27)*(E235-R234)</f>
        <v>164.67010890855</v>
      </c>
      <c r="S235" s="33" t="n">
        <f aca="false">Q235-R235</f>
        <v>4.18378483671032</v>
      </c>
      <c r="T235" s="33" t="n">
        <f aca="false">T234+(2/10)*(S235-T234)</f>
        <v>3.68609825309804</v>
      </c>
      <c r="U235" s="33" t="n">
        <f aca="false">S235-T235</f>
        <v>0.497686583612281</v>
      </c>
      <c r="V235" s="32" t="str">
        <f aca="false">IF(M235="","",IF(M235&lt;Assumptions!$B$5,"BUY",IF(M235&gt;Assumptions!$B$4,"SELL","HOLD")))</f>
        <v>HOLD</v>
      </c>
      <c r="W235" s="32" t="str">
        <f aca="false">IF(O235="","",IF(E235&gt;O235,"BUY","SELL"))</f>
        <v>BUY</v>
      </c>
      <c r="X235" s="32" t="str">
        <f aca="false">IF(T235="","",IF(S235&gt;T235,"BUY","SELL"))</f>
        <v>BUY</v>
      </c>
      <c r="Y235" s="34" t="n">
        <f aca="false">IF(OR(V235="",W235="",X235=""),"",IFERROR(IF(V235="BUY",1,IF(V235="SELL",-1,0))+IF(W235="BUY",1,IF(W235="SELL",-1,0))+IF(X235="BUY",1,IF(X235="SELL",-1,0)),0))</f>
        <v>2</v>
      </c>
      <c r="Z235" s="32" t="str">
        <f aca="false">IF(Y235="","",IF(Y235&gt;=2,"STRONG BUY",IF(Y235=1,"BUY",IF(Y235=0,"HOLD",IF(Y235=-1,"SELL","STRONG SELL")))))</f>
        <v>STRONG BUY</v>
      </c>
    </row>
    <row r="236" customFormat="false" ht="15" hidden="false" customHeight="false" outlineLevel="0" collapsed="false">
      <c r="A236" s="24" t="n">
        <v>46098</v>
      </c>
      <c r="B236" s="25" t="n">
        <v>171.86</v>
      </c>
      <c r="C236" s="25" t="n">
        <v>173.02</v>
      </c>
      <c r="D236" s="25" t="n">
        <v>167.92</v>
      </c>
      <c r="E236" s="25" t="n">
        <v>170.47</v>
      </c>
      <c r="F236" s="26" t="n">
        <v>13051986</v>
      </c>
      <c r="G236" s="27" t="n">
        <f aca="false">E236-E235</f>
        <v>-0.800000000000011</v>
      </c>
      <c r="H236" s="28" t="n">
        <f aca="false">G236/E235</f>
        <v>-0.00467098732994693</v>
      </c>
      <c r="I236" s="29" t="n">
        <f aca="false">MAX(G236,0)</f>
        <v>0</v>
      </c>
      <c r="J236" s="29" t="n">
        <f aca="false">MAX(-G236,0)</f>
        <v>0.800000000000011</v>
      </c>
      <c r="K236" s="29" t="n">
        <f aca="false">(K235*13+I236)/14</f>
        <v>1.03629106092384</v>
      </c>
      <c r="L236" s="29" t="n">
        <f aca="false">(L235*13+J236)/14</f>
        <v>0.605342614060918</v>
      </c>
      <c r="M236" s="31" t="n">
        <f aca="false">IF(L236=0,100,100-100/(1+K236/MAX(L236,0.000001)))</f>
        <v>63.1255971849786</v>
      </c>
      <c r="N236" s="30" t="n">
        <f aca="false">AVERAGE(E217:E236)</f>
        <v>165.52</v>
      </c>
      <c r="O236" s="30" t="n">
        <f aca="false">AVERAGE(E187:E236)</f>
        <v>160.0828</v>
      </c>
      <c r="P236" s="30" t="n">
        <f aca="false">AVERAGE(E37:E236)</f>
        <v>144.683</v>
      </c>
      <c r="Q236" s="30" t="n">
        <f aca="false">Q235+(2/13)*(E236-Q235)</f>
        <v>169.102525476759</v>
      </c>
      <c r="R236" s="30" t="n">
        <f aca="false">R235+(2/27)*(E236-R235)</f>
        <v>165.09973047088</v>
      </c>
      <c r="S236" s="33" t="n">
        <f aca="false">Q236-R236</f>
        <v>4.00279500587908</v>
      </c>
      <c r="T236" s="33" t="n">
        <f aca="false">T235+(2/10)*(S236-T235)</f>
        <v>3.74943760365424</v>
      </c>
      <c r="U236" s="33" t="n">
        <f aca="false">S236-T236</f>
        <v>0.253357402224835</v>
      </c>
      <c r="V236" s="32" t="str">
        <f aca="false">IF(M236="","",IF(M236&lt;Assumptions!$B$5,"BUY",IF(M236&gt;Assumptions!$B$4,"SELL","HOLD")))</f>
        <v>HOLD</v>
      </c>
      <c r="W236" s="32" t="str">
        <f aca="false">IF(O236="","",IF(E236&gt;O236,"BUY","SELL"))</f>
        <v>BUY</v>
      </c>
      <c r="X236" s="32" t="str">
        <f aca="false">IF(T236="","",IF(S236&gt;T236,"BUY","SELL"))</f>
        <v>BUY</v>
      </c>
      <c r="Y236" s="34" t="n">
        <f aca="false">IF(OR(V236="",W236="",X236=""),"",IFERROR(IF(V236="BUY",1,IF(V236="SELL",-1,0))+IF(W236="BUY",1,IF(W236="SELL",-1,0))+IF(X236="BUY",1,IF(X236="SELL",-1,0)),0))</f>
        <v>2</v>
      </c>
      <c r="Z236" s="32" t="str">
        <f aca="false">IF(Y236="","",IF(Y236&gt;=2,"STRONG BUY",IF(Y236=1,"BUY",IF(Y236=0,"HOLD",IF(Y236=-1,"SELL","STRONG SELL")))))</f>
        <v>STRONG BUY</v>
      </c>
    </row>
    <row r="237" customFormat="false" ht="15" hidden="false" customHeight="false" outlineLevel="0" collapsed="false">
      <c r="A237" s="24" t="n">
        <v>46099</v>
      </c>
      <c r="B237" s="25" t="n">
        <v>172.9</v>
      </c>
      <c r="C237" s="25" t="n">
        <v>173.02</v>
      </c>
      <c r="D237" s="25" t="n">
        <v>172.9</v>
      </c>
      <c r="E237" s="25" t="n">
        <v>172.96</v>
      </c>
      <c r="F237" s="26" t="n">
        <v>6322878</v>
      </c>
      <c r="G237" s="27" t="n">
        <f aca="false">E237-E236</f>
        <v>2.49000000000001</v>
      </c>
      <c r="H237" s="28" t="n">
        <f aca="false">G237/E236</f>
        <v>0.0146066756614068</v>
      </c>
      <c r="I237" s="29" t="n">
        <f aca="false">MAX(G237,0)</f>
        <v>2.49000000000001</v>
      </c>
      <c r="J237" s="29" t="n">
        <f aca="false">MAX(-G237,0)</f>
        <v>0</v>
      </c>
      <c r="K237" s="29" t="n">
        <f aca="false">(K236*13+I237)/14</f>
        <v>1.14012741371499</v>
      </c>
      <c r="L237" s="29" t="n">
        <f aca="false">(L236*13+J237)/14</f>
        <v>0.56210385591371</v>
      </c>
      <c r="M237" s="31" t="n">
        <f aca="false">IF(L237=0,100,100-100/(1+K237/MAX(L237,0.000001)))</f>
        <v>66.9784085192891</v>
      </c>
      <c r="N237" s="30" t="n">
        <f aca="false">AVERAGE(E218:E237)</f>
        <v>166.221</v>
      </c>
      <c r="O237" s="30" t="n">
        <f aca="false">AVERAGE(E188:E237)</f>
        <v>160.4732</v>
      </c>
      <c r="P237" s="30" t="n">
        <f aca="false">AVERAGE(E38:E237)</f>
        <v>144.91895</v>
      </c>
      <c r="Q237" s="30" t="n">
        <f aca="false">Q236+(2/13)*(E237-Q236)</f>
        <v>169.695983095719</v>
      </c>
      <c r="R237" s="30" t="n">
        <f aca="false">R236+(2/27)*(E237-R236)</f>
        <v>165.681972658222</v>
      </c>
      <c r="S237" s="33" t="n">
        <f aca="false">Q237-R237</f>
        <v>4.01401043749701</v>
      </c>
      <c r="T237" s="33" t="n">
        <f aca="false">T236+(2/10)*(S237-T236)</f>
        <v>3.8023521704228</v>
      </c>
      <c r="U237" s="33" t="n">
        <f aca="false">S237-T237</f>
        <v>0.21165826707421</v>
      </c>
      <c r="V237" s="32" t="str">
        <f aca="false">IF(M237="","",IF(M237&lt;Assumptions!$B$5,"BUY",IF(M237&gt;Assumptions!$B$4,"SELL","HOLD")))</f>
        <v>HOLD</v>
      </c>
      <c r="W237" s="32" t="str">
        <f aca="false">IF(O237="","",IF(E237&gt;O237,"BUY","SELL"))</f>
        <v>BUY</v>
      </c>
      <c r="X237" s="32" t="str">
        <f aca="false">IF(T237="","",IF(S237&gt;T237,"BUY","SELL"))</f>
        <v>BUY</v>
      </c>
      <c r="Y237" s="34" t="n">
        <f aca="false">IF(OR(V237="",W237="",X237=""),"",IFERROR(IF(V237="BUY",1,IF(V237="SELL",-1,0))+IF(W237="BUY",1,IF(W237="SELL",-1,0))+IF(X237="BUY",1,IF(X237="SELL",-1,0)),0))</f>
        <v>2</v>
      </c>
      <c r="Z237" s="32" t="str">
        <f aca="false">IF(Y237="","",IF(Y237&gt;=2,"STRONG BUY",IF(Y237=1,"BUY",IF(Y237=0,"HOLD",IF(Y237=-1,"SELL","STRONG SELL")))))</f>
        <v>STRONG BUY</v>
      </c>
    </row>
    <row r="238" customFormat="false" ht="15" hidden="false" customHeight="false" outlineLevel="0" collapsed="false">
      <c r="A238" s="24" t="n">
        <v>46100</v>
      </c>
      <c r="B238" s="25" t="n">
        <v>175.11</v>
      </c>
      <c r="C238" s="25" t="n">
        <v>175.94</v>
      </c>
      <c r="D238" s="25" t="n">
        <v>174.48</v>
      </c>
      <c r="E238" s="25" t="n">
        <v>175.21</v>
      </c>
      <c r="F238" s="26" t="n">
        <v>2957944</v>
      </c>
      <c r="G238" s="27" t="n">
        <f aca="false">E238-E237</f>
        <v>2.25</v>
      </c>
      <c r="H238" s="28" t="n">
        <f aca="false">G238/E237</f>
        <v>0.0130087881591119</v>
      </c>
      <c r="I238" s="29" t="n">
        <f aca="false">MAX(G238,0)</f>
        <v>2.25</v>
      </c>
      <c r="J238" s="29" t="n">
        <f aca="false">MAX(-G238,0)</f>
        <v>0</v>
      </c>
      <c r="K238" s="29" t="n">
        <f aca="false">(K237*13+I238)/14</f>
        <v>1.21940402702107</v>
      </c>
      <c r="L238" s="29" t="n">
        <f aca="false">(L237*13+J238)/14</f>
        <v>0.521953580491302</v>
      </c>
      <c r="M238" s="31" t="n">
        <f aca="false">IF(L238=0,100,100-100/(1+K238/MAX(L238,0.000001)))</f>
        <v>70.026054485331</v>
      </c>
      <c r="N238" s="30" t="n">
        <f aca="false">AVERAGE(E219:E238)</f>
        <v>167.1325</v>
      </c>
      <c r="O238" s="30" t="n">
        <f aca="false">AVERAGE(E189:E238)</f>
        <v>160.8696</v>
      </c>
      <c r="P238" s="30" t="n">
        <f aca="false">AVERAGE(E39:E238)</f>
        <v>145.1762</v>
      </c>
      <c r="Q238" s="30" t="n">
        <f aca="false">Q237+(2/13)*(E238-Q237)</f>
        <v>170.544293388685</v>
      </c>
      <c r="R238" s="30" t="n">
        <f aca="false">R237+(2/27)*(E238-R237)</f>
        <v>166.387752461317</v>
      </c>
      <c r="S238" s="33" t="n">
        <f aca="false">Q238-R238</f>
        <v>4.15654092736867</v>
      </c>
      <c r="T238" s="33" t="n">
        <f aca="false">T237+(2/10)*(S238-T237)</f>
        <v>3.87318992181197</v>
      </c>
      <c r="U238" s="33" t="n">
        <f aca="false">S238-T238</f>
        <v>0.283351005556696</v>
      </c>
      <c r="V238" s="32" t="str">
        <f aca="false">IF(M238="","",IF(M238&lt;Assumptions!$B$5,"BUY",IF(M238&gt;Assumptions!$B$4,"SELL","HOLD")))</f>
        <v>SELL</v>
      </c>
      <c r="W238" s="32" t="str">
        <f aca="false">IF(O238="","",IF(E238&gt;O238,"BUY","SELL"))</f>
        <v>BUY</v>
      </c>
      <c r="X238" s="32" t="str">
        <f aca="false">IF(T238="","",IF(S238&gt;T238,"BUY","SELL"))</f>
        <v>BUY</v>
      </c>
      <c r="Y238" s="34" t="n">
        <f aca="false">IF(OR(V238="",W238="",X238=""),"",IFERROR(IF(V238="BUY",1,IF(V238="SELL",-1,0))+IF(W238="BUY",1,IF(W238="SELL",-1,0))+IF(X238="BUY",1,IF(X238="SELL",-1,0)),0))</f>
        <v>1</v>
      </c>
      <c r="Z238" s="32" t="str">
        <f aca="false">IF(Y238="","",IF(Y238&gt;=2,"STRONG BUY",IF(Y238=1,"BUY",IF(Y238=0,"HOLD",IF(Y238=-1,"SELL","STRONG SELL")))))</f>
        <v>BUY</v>
      </c>
    </row>
    <row r="239" customFormat="false" ht="15" hidden="false" customHeight="false" outlineLevel="0" collapsed="false">
      <c r="A239" s="24" t="n">
        <v>46101</v>
      </c>
      <c r="B239" s="25" t="n">
        <v>176.91</v>
      </c>
      <c r="C239" s="25" t="n">
        <v>177.16</v>
      </c>
      <c r="D239" s="25" t="n">
        <v>175.18</v>
      </c>
      <c r="E239" s="25" t="n">
        <v>176.17</v>
      </c>
      <c r="F239" s="26" t="n">
        <v>17370420</v>
      </c>
      <c r="G239" s="27" t="n">
        <f aca="false">E239-E238</f>
        <v>0.95999999999998</v>
      </c>
      <c r="H239" s="28" t="n">
        <f aca="false">G239/E238</f>
        <v>0.00547913931853193</v>
      </c>
      <c r="I239" s="29" t="n">
        <f aca="false">MAX(G239,0)</f>
        <v>0.95999999999998</v>
      </c>
      <c r="J239" s="29" t="n">
        <f aca="false">MAX(-G239,0)</f>
        <v>0</v>
      </c>
      <c r="K239" s="29" t="n">
        <f aca="false">(K238*13+I239)/14</f>
        <v>1.20087516794813</v>
      </c>
      <c r="L239" s="29" t="n">
        <f aca="false">(L238*13+J239)/14</f>
        <v>0.48467118188478</v>
      </c>
      <c r="M239" s="31" t="n">
        <f aca="false">IF(L239=0,100,100-100/(1+K239/MAX(L239,0.000001)))</f>
        <v>71.2454551052348</v>
      </c>
      <c r="N239" s="30" t="n">
        <f aca="false">AVERAGE(E220:E239)</f>
        <v>168.1265</v>
      </c>
      <c r="O239" s="30" t="n">
        <f aca="false">AVERAGE(E190:E239)</f>
        <v>161.2962</v>
      </c>
      <c r="P239" s="30" t="n">
        <f aca="false">AVERAGE(E40:E239)</f>
        <v>145.42045</v>
      </c>
      <c r="Q239" s="30" t="n">
        <f aca="false">Q238+(2/13)*(E239-Q238)</f>
        <v>171.409786713503</v>
      </c>
      <c r="R239" s="30" t="n">
        <f aca="false">R238+(2/27)*(E239-R238)</f>
        <v>167.112363390108</v>
      </c>
      <c r="S239" s="33" t="n">
        <f aca="false">Q239-R239</f>
        <v>4.29742332339495</v>
      </c>
      <c r="T239" s="33" t="n">
        <f aca="false">T238+(2/10)*(S239-T238)</f>
        <v>3.95803660212857</v>
      </c>
      <c r="U239" s="33" t="n">
        <f aca="false">S239-T239</f>
        <v>0.339386721266385</v>
      </c>
      <c r="V239" s="32" t="str">
        <f aca="false">IF(M239="","",IF(M239&lt;Assumptions!$B$5,"BUY",IF(M239&gt;Assumptions!$B$4,"SELL","HOLD")))</f>
        <v>SELL</v>
      </c>
      <c r="W239" s="32" t="str">
        <f aca="false">IF(O239="","",IF(E239&gt;O239,"BUY","SELL"))</f>
        <v>BUY</v>
      </c>
      <c r="X239" s="32" t="str">
        <f aca="false">IF(T239="","",IF(S239&gt;T239,"BUY","SELL"))</f>
        <v>BUY</v>
      </c>
      <c r="Y239" s="34" t="n">
        <f aca="false">IF(OR(V239="",W239="",X239=""),"",IFERROR(IF(V239="BUY",1,IF(V239="SELL",-1,0))+IF(W239="BUY",1,IF(W239="SELL",-1,0))+IF(X239="BUY",1,IF(X239="SELL",-1,0)),0))</f>
        <v>1</v>
      </c>
      <c r="Z239" s="32" t="str">
        <f aca="false">IF(Y239="","",IF(Y239&gt;=2,"STRONG BUY",IF(Y239=1,"BUY",IF(Y239=0,"HOLD",IF(Y239=-1,"SELL","STRONG SELL")))))</f>
        <v>BUY</v>
      </c>
    </row>
    <row r="240" customFormat="false" ht="15" hidden="false" customHeight="false" outlineLevel="0" collapsed="false">
      <c r="A240" s="24" t="n">
        <v>46104</v>
      </c>
      <c r="B240" s="25" t="n">
        <v>174.1</v>
      </c>
      <c r="C240" s="25" t="n">
        <v>174.1</v>
      </c>
      <c r="D240" s="25" t="n">
        <v>173.66</v>
      </c>
      <c r="E240" s="25" t="n">
        <v>173.88</v>
      </c>
      <c r="F240" s="26" t="n">
        <v>16312244</v>
      </c>
      <c r="G240" s="27" t="n">
        <f aca="false">E240-E239</f>
        <v>-2.28999999999999</v>
      </c>
      <c r="H240" s="28" t="n">
        <f aca="false">G240/E239</f>
        <v>-0.0129988079695748</v>
      </c>
      <c r="I240" s="29" t="n">
        <f aca="false">MAX(G240,0)</f>
        <v>0</v>
      </c>
      <c r="J240" s="29" t="n">
        <f aca="false">MAX(-G240,0)</f>
        <v>2.28999999999999</v>
      </c>
      <c r="K240" s="29" t="n">
        <f aca="false">(K239*13+I240)/14</f>
        <v>1.11509837023755</v>
      </c>
      <c r="L240" s="29" t="n">
        <f aca="false">(L239*13+J240)/14</f>
        <v>0.613623240321581</v>
      </c>
      <c r="M240" s="31" t="n">
        <f aca="false">IF(L240=0,100,100-100/(1+K240/MAX(L240,0.000001)))</f>
        <v>64.5042188069187</v>
      </c>
      <c r="N240" s="30" t="n">
        <f aca="false">AVERAGE(E221:E240)</f>
        <v>168.911</v>
      </c>
      <c r="O240" s="30" t="n">
        <f aca="false">AVERAGE(E191:E240)</f>
        <v>161.6752</v>
      </c>
      <c r="P240" s="30" t="n">
        <f aca="false">AVERAGE(E41:E240)</f>
        <v>145.6335</v>
      </c>
      <c r="Q240" s="30" t="n">
        <f aca="false">Q239+(2/13)*(E240-Q239)</f>
        <v>171.78981952681</v>
      </c>
      <c r="R240" s="30" t="n">
        <f aca="false">R239+(2/27)*(E240-R239)</f>
        <v>167.613669805656</v>
      </c>
      <c r="S240" s="33" t="n">
        <f aca="false">Q240-R240</f>
        <v>4.17614972115462</v>
      </c>
      <c r="T240" s="33" t="n">
        <f aca="false">T239+(2/10)*(S240-T239)</f>
        <v>4.00165922593378</v>
      </c>
      <c r="U240" s="33" t="n">
        <f aca="false">S240-T240</f>
        <v>0.174490495220839</v>
      </c>
      <c r="V240" s="32" t="str">
        <f aca="false">IF(M240="","",IF(M240&lt;Assumptions!$B$5,"BUY",IF(M240&gt;Assumptions!$B$4,"SELL","HOLD")))</f>
        <v>HOLD</v>
      </c>
      <c r="W240" s="32" t="str">
        <f aca="false">IF(O240="","",IF(E240&gt;O240,"BUY","SELL"))</f>
        <v>BUY</v>
      </c>
      <c r="X240" s="32" t="str">
        <f aca="false">IF(T240="","",IF(S240&gt;T240,"BUY","SELL"))</f>
        <v>BUY</v>
      </c>
      <c r="Y240" s="34" t="n">
        <f aca="false">IF(OR(V240="",W240="",X240=""),"",IFERROR(IF(V240="BUY",1,IF(V240="SELL",-1,0))+IF(W240="BUY",1,IF(W240="SELL",-1,0))+IF(X240="BUY",1,IF(X240="SELL",-1,0)),0))</f>
        <v>2</v>
      </c>
      <c r="Z240" s="32" t="str">
        <f aca="false">IF(Y240="","",IF(Y240&gt;=2,"STRONG BUY",IF(Y240=1,"BUY",IF(Y240=0,"HOLD",IF(Y240=-1,"SELL","STRONG SELL")))))</f>
        <v>STRONG BUY</v>
      </c>
    </row>
    <row r="241" customFormat="false" ht="15" hidden="false" customHeight="false" outlineLevel="0" collapsed="false">
      <c r="A241" s="24" t="n">
        <v>46105</v>
      </c>
      <c r="B241" s="25" t="n">
        <v>176.08</v>
      </c>
      <c r="C241" s="25" t="n">
        <v>177.04</v>
      </c>
      <c r="D241" s="25" t="n">
        <v>173.24</v>
      </c>
      <c r="E241" s="25" t="n">
        <v>175.14</v>
      </c>
      <c r="F241" s="26" t="n">
        <v>15491200</v>
      </c>
      <c r="G241" s="27" t="n">
        <f aca="false">E241-E240</f>
        <v>1.25999999999999</v>
      </c>
      <c r="H241" s="28" t="n">
        <f aca="false">G241/E240</f>
        <v>0.00724637681159415</v>
      </c>
      <c r="I241" s="29" t="n">
        <f aca="false">MAX(G241,0)</f>
        <v>1.25999999999999</v>
      </c>
      <c r="J241" s="29" t="n">
        <f aca="false">MAX(-G241,0)</f>
        <v>0</v>
      </c>
      <c r="K241" s="29" t="n">
        <f aca="false">(K240*13+I241)/14</f>
        <v>1.12544848664915</v>
      </c>
      <c r="L241" s="29" t="n">
        <f aca="false">(L240*13+J241)/14</f>
        <v>0.56979300887004</v>
      </c>
      <c r="M241" s="31" t="n">
        <f aca="false">IF(L241=0,100,100-100/(1+K241/MAX(L241,0.000001)))</f>
        <v>66.3886820623435</v>
      </c>
      <c r="N241" s="30" t="n">
        <f aca="false">AVERAGE(E222:E241)</f>
        <v>169.742</v>
      </c>
      <c r="O241" s="30" t="n">
        <f aca="false">AVERAGE(E192:E241)</f>
        <v>162.0888</v>
      </c>
      <c r="P241" s="30" t="n">
        <f aca="false">AVERAGE(E42:E241)</f>
        <v>145.85085</v>
      </c>
      <c r="Q241" s="30" t="n">
        <f aca="false">Q240+(2/13)*(E241-Q240)</f>
        <v>172.305231907301</v>
      </c>
      <c r="R241" s="30" t="n">
        <f aca="false">R240+(2/27)*(E241-R240)</f>
        <v>168.171175745977</v>
      </c>
      <c r="S241" s="33" t="n">
        <f aca="false">Q241-R241</f>
        <v>4.13405616132354</v>
      </c>
      <c r="T241" s="33" t="n">
        <f aca="false">T240+(2/10)*(S241-T240)</f>
        <v>4.02813861301173</v>
      </c>
      <c r="U241" s="33" t="n">
        <f aca="false">S241-T241</f>
        <v>0.105917548311813</v>
      </c>
      <c r="V241" s="32" t="str">
        <f aca="false">IF(M241="","",IF(M241&lt;Assumptions!$B$5,"BUY",IF(M241&gt;Assumptions!$B$4,"SELL","HOLD")))</f>
        <v>HOLD</v>
      </c>
      <c r="W241" s="32" t="str">
        <f aca="false">IF(O241="","",IF(E241&gt;O241,"BUY","SELL"))</f>
        <v>BUY</v>
      </c>
      <c r="X241" s="32" t="str">
        <f aca="false">IF(T241="","",IF(S241&gt;T241,"BUY","SELL"))</f>
        <v>BUY</v>
      </c>
      <c r="Y241" s="34" t="n">
        <f aca="false">IF(OR(V241="",W241="",X241=""),"",IFERROR(IF(V241="BUY",1,IF(V241="SELL",-1,0))+IF(W241="BUY",1,IF(W241="SELL",-1,0))+IF(X241="BUY",1,IF(X241="SELL",-1,0)),0))</f>
        <v>2</v>
      </c>
      <c r="Z241" s="32" t="str">
        <f aca="false">IF(Y241="","",IF(Y241&gt;=2,"STRONG BUY",IF(Y241=1,"BUY",IF(Y241=0,"HOLD",IF(Y241=-1,"SELL","STRONG SELL")))))</f>
        <v>STRONG BUY</v>
      </c>
    </row>
    <row r="242" customFormat="false" ht="15" hidden="false" customHeight="false" outlineLevel="0" collapsed="false">
      <c r="A242" s="24" t="n">
        <v>46106</v>
      </c>
      <c r="B242" s="25" t="n">
        <v>175.57</v>
      </c>
      <c r="C242" s="25" t="n">
        <v>178.12</v>
      </c>
      <c r="D242" s="25" t="n">
        <v>175.28</v>
      </c>
      <c r="E242" s="25" t="n">
        <v>176.7</v>
      </c>
      <c r="F242" s="26" t="n">
        <v>8886331</v>
      </c>
      <c r="G242" s="27" t="n">
        <f aca="false">E242-E241</f>
        <v>1.56</v>
      </c>
      <c r="H242" s="28" t="n">
        <f aca="false">G242/E241</f>
        <v>0.00890715998629669</v>
      </c>
      <c r="I242" s="29" t="n">
        <f aca="false">MAX(G242,0)</f>
        <v>1.56</v>
      </c>
      <c r="J242" s="29" t="n">
        <f aca="false">MAX(-G242,0)</f>
        <v>0</v>
      </c>
      <c r="K242" s="29" t="n">
        <f aca="false">(K241*13+I242)/14</f>
        <v>1.15648788045993</v>
      </c>
      <c r="L242" s="29" t="n">
        <f aca="false">(L241*13+J242)/14</f>
        <v>0.529093508236465</v>
      </c>
      <c r="M242" s="31" t="n">
        <f aca="false">IF(L242=0,100,100-100/(1+K242/MAX(L242,0.000001)))</f>
        <v>68.6106223179375</v>
      </c>
      <c r="N242" s="30" t="n">
        <f aca="false">AVERAGE(E223:E242)</f>
        <v>170.5335</v>
      </c>
      <c r="O242" s="30" t="n">
        <f aca="false">AVERAGE(E193:E242)</f>
        <v>162.5516</v>
      </c>
      <c r="P242" s="30" t="n">
        <f aca="false">AVERAGE(E43:E242)</f>
        <v>146.07175</v>
      </c>
      <c r="Q242" s="30" t="n">
        <f aca="false">Q241+(2/13)*(E242-Q241)</f>
        <v>172.981350075408</v>
      </c>
      <c r="R242" s="30" t="n">
        <f aca="false">R241+(2/27)*(E242-R241)</f>
        <v>168.802940505535</v>
      </c>
      <c r="S242" s="33" t="n">
        <f aca="false">Q242-R242</f>
        <v>4.17840956987385</v>
      </c>
      <c r="T242" s="33" t="n">
        <f aca="false">T241+(2/10)*(S242-T241)</f>
        <v>4.05819280438415</v>
      </c>
      <c r="U242" s="33" t="n">
        <f aca="false">S242-T242</f>
        <v>0.120216765489696</v>
      </c>
      <c r="V242" s="32" t="str">
        <f aca="false">IF(M242="","",IF(M242&lt;Assumptions!$B$5,"BUY",IF(M242&gt;Assumptions!$B$4,"SELL","HOLD")))</f>
        <v>HOLD</v>
      </c>
      <c r="W242" s="32" t="str">
        <f aca="false">IF(O242="","",IF(E242&gt;O242,"BUY","SELL"))</f>
        <v>BUY</v>
      </c>
      <c r="X242" s="32" t="str">
        <f aca="false">IF(T242="","",IF(S242&gt;T242,"BUY","SELL"))</f>
        <v>BUY</v>
      </c>
      <c r="Y242" s="34" t="n">
        <f aca="false">IF(OR(V242="",W242="",X242=""),"",IFERROR(IF(V242="BUY",1,IF(V242="SELL",-1,0))+IF(W242="BUY",1,IF(W242="SELL",-1,0))+IF(X242="BUY",1,IF(X242="SELL",-1,0)),0))</f>
        <v>2</v>
      </c>
      <c r="Z242" s="32" t="str">
        <f aca="false">IF(Y242="","",IF(Y242&gt;=2,"STRONG BUY",IF(Y242=1,"BUY",IF(Y242=0,"HOLD",IF(Y242=-1,"SELL","STRONG SELL")))))</f>
        <v>STRONG BUY</v>
      </c>
    </row>
    <row r="243" customFormat="false" ht="15" hidden="false" customHeight="false" outlineLevel="0" collapsed="false">
      <c r="A243" s="24" t="n">
        <v>46107</v>
      </c>
      <c r="B243" s="25" t="n">
        <v>177.53</v>
      </c>
      <c r="C243" s="25" t="n">
        <v>177.81</v>
      </c>
      <c r="D243" s="25" t="n">
        <v>177.25</v>
      </c>
      <c r="E243" s="25" t="n">
        <v>177.53</v>
      </c>
      <c r="F243" s="26" t="n">
        <v>13573758</v>
      </c>
      <c r="G243" s="27" t="n">
        <f aca="false">E243-E242</f>
        <v>0.830000000000013</v>
      </c>
      <c r="H243" s="28" t="n">
        <f aca="false">G243/E242</f>
        <v>0.0046972269383136</v>
      </c>
      <c r="I243" s="29" t="n">
        <f aca="false">MAX(G243,0)</f>
        <v>0.830000000000013</v>
      </c>
      <c r="J243" s="29" t="n">
        <f aca="false">MAX(-G243,0)</f>
        <v>0</v>
      </c>
      <c r="K243" s="29" t="n">
        <f aca="false">(K242*13+I243)/14</f>
        <v>1.13316731756993</v>
      </c>
      <c r="L243" s="29" t="n">
        <f aca="false">(L242*13+J243)/14</f>
        <v>0.491301114791003</v>
      </c>
      <c r="M243" s="31" t="n">
        <f aca="false">IF(L243=0,100,100-100/(1+K243/MAX(L243,0.000001)))</f>
        <v>69.7561919330765</v>
      </c>
      <c r="N243" s="30" t="n">
        <f aca="false">AVERAGE(E224:E243)</f>
        <v>171.2875</v>
      </c>
      <c r="O243" s="30" t="n">
        <f aca="false">AVERAGE(E194:E243)</f>
        <v>162.9044</v>
      </c>
      <c r="P243" s="30" t="n">
        <f aca="false">AVERAGE(E44:E243)</f>
        <v>146.29775</v>
      </c>
      <c r="Q243" s="30" t="n">
        <f aca="false">Q242+(2/13)*(E243-Q242)</f>
        <v>173.681142371499</v>
      </c>
      <c r="R243" s="30" t="n">
        <f aca="false">R242+(2/27)*(E243-R242)</f>
        <v>169.449389356977</v>
      </c>
      <c r="S243" s="33" t="n">
        <f aca="false">Q243-R243</f>
        <v>4.23175301452298</v>
      </c>
      <c r="T243" s="33" t="n">
        <f aca="false">T242+(2/10)*(S243-T242)</f>
        <v>4.09290484641192</v>
      </c>
      <c r="U243" s="33" t="n">
        <f aca="false">S243-T243</f>
        <v>0.138848168111061</v>
      </c>
      <c r="V243" s="32" t="str">
        <f aca="false">IF(M243="","",IF(M243&lt;Assumptions!$B$5,"BUY",IF(M243&gt;Assumptions!$B$4,"SELL","HOLD")))</f>
        <v>HOLD</v>
      </c>
      <c r="W243" s="32" t="str">
        <f aca="false">IF(O243="","",IF(E243&gt;O243,"BUY","SELL"))</f>
        <v>BUY</v>
      </c>
      <c r="X243" s="32" t="str">
        <f aca="false">IF(T243="","",IF(S243&gt;T243,"BUY","SELL"))</f>
        <v>BUY</v>
      </c>
      <c r="Y243" s="34" t="n">
        <f aca="false">IF(OR(V243="",W243="",X243=""),"",IFERROR(IF(V243="BUY",1,IF(V243="SELL",-1,0))+IF(W243="BUY",1,IF(W243="SELL",-1,0))+IF(X243="BUY",1,IF(X243="SELL",-1,0)),0))</f>
        <v>2</v>
      </c>
      <c r="Z243" s="32" t="str">
        <f aca="false">IF(Y243="","",IF(Y243&gt;=2,"STRONG BUY",IF(Y243=1,"BUY",IF(Y243=0,"HOLD",IF(Y243=-1,"SELL","STRONG SELL")))))</f>
        <v>STRONG BUY</v>
      </c>
    </row>
    <row r="244" customFormat="false" ht="15" hidden="false" customHeight="false" outlineLevel="0" collapsed="false">
      <c r="A244" s="24" t="n">
        <v>46108</v>
      </c>
      <c r="B244" s="25" t="n">
        <v>177.64</v>
      </c>
      <c r="C244" s="25" t="n">
        <v>177.64</v>
      </c>
      <c r="D244" s="25" t="n">
        <v>177.6</v>
      </c>
      <c r="E244" s="25" t="n">
        <v>177.62</v>
      </c>
      <c r="F244" s="26" t="n">
        <v>16147704</v>
      </c>
      <c r="G244" s="27" t="n">
        <f aca="false">E244-E243</f>
        <v>0.0900000000000034</v>
      </c>
      <c r="H244" s="28" t="n">
        <f aca="false">G244/E243</f>
        <v>0.000506956570720461</v>
      </c>
      <c r="I244" s="29" t="n">
        <f aca="false">MAX(G244,0)</f>
        <v>0.0900000000000034</v>
      </c>
      <c r="J244" s="29" t="n">
        <f aca="false">MAX(-G244,0)</f>
        <v>0</v>
      </c>
      <c r="K244" s="29" t="n">
        <f aca="false">(K243*13+I244)/14</f>
        <v>1.05865536631494</v>
      </c>
      <c r="L244" s="29" t="n">
        <f aca="false">(L243*13+J244)/14</f>
        <v>0.456208178020218</v>
      </c>
      <c r="M244" s="31" t="n">
        <f aca="false">IF(L244=0,100,100-100/(1+K244/MAX(L244,0.000001)))</f>
        <v>69.8845364834205</v>
      </c>
      <c r="N244" s="30" t="n">
        <f aca="false">AVERAGE(E225:E244)</f>
        <v>172.092</v>
      </c>
      <c r="O244" s="30" t="n">
        <f aca="false">AVERAGE(E195:E244)</f>
        <v>163.2974</v>
      </c>
      <c r="P244" s="30" t="n">
        <f aca="false">AVERAGE(E45:E244)</f>
        <v>146.51425</v>
      </c>
      <c r="Q244" s="30" t="n">
        <f aca="false">Q243+(2/13)*(E244-Q243)</f>
        <v>174.287120468192</v>
      </c>
      <c r="R244" s="30" t="n">
        <f aca="false">R243+(2/27)*(E244-R243)</f>
        <v>170.054619774978</v>
      </c>
      <c r="S244" s="33" t="n">
        <f aca="false">Q244-R244</f>
        <v>4.23250069321361</v>
      </c>
      <c r="T244" s="33" t="n">
        <f aca="false">T243+(2/10)*(S244-T243)</f>
        <v>4.12082401577226</v>
      </c>
      <c r="U244" s="33" t="n">
        <f aca="false">S244-T244</f>
        <v>0.111676677441352</v>
      </c>
      <c r="V244" s="32" t="str">
        <f aca="false">IF(M244="","",IF(M244&lt;Assumptions!$B$5,"BUY",IF(M244&gt;Assumptions!$B$4,"SELL","HOLD")))</f>
        <v>HOLD</v>
      </c>
      <c r="W244" s="32" t="str">
        <f aca="false">IF(O244="","",IF(E244&gt;O244,"BUY","SELL"))</f>
        <v>BUY</v>
      </c>
      <c r="X244" s="32" t="str">
        <f aca="false">IF(T244="","",IF(S244&gt;T244,"BUY","SELL"))</f>
        <v>BUY</v>
      </c>
      <c r="Y244" s="34" t="n">
        <f aca="false">IF(OR(V244="",W244="",X244=""),"",IFERROR(IF(V244="BUY",1,IF(V244="SELL",-1,0))+IF(W244="BUY",1,IF(W244="SELL",-1,0))+IF(X244="BUY",1,IF(X244="SELL",-1,0)),0))</f>
        <v>2</v>
      </c>
      <c r="Z244" s="32" t="str">
        <f aca="false">IF(Y244="","",IF(Y244&gt;=2,"STRONG BUY",IF(Y244=1,"BUY",IF(Y244=0,"HOLD",IF(Y244=-1,"SELL","STRONG SELL")))))</f>
        <v>STRONG BUY</v>
      </c>
    </row>
    <row r="245" customFormat="false" ht="15" hidden="false" customHeight="false" outlineLevel="0" collapsed="false">
      <c r="A245" s="24" t="n">
        <v>46111</v>
      </c>
      <c r="B245" s="25" t="n">
        <v>180.89</v>
      </c>
      <c r="C245" s="25" t="n">
        <v>180.91</v>
      </c>
      <c r="D245" s="25" t="n">
        <v>180.89</v>
      </c>
      <c r="E245" s="25" t="n">
        <v>180.9</v>
      </c>
      <c r="F245" s="26" t="n">
        <v>990566</v>
      </c>
      <c r="G245" s="27" t="n">
        <f aca="false">E245-E244</f>
        <v>3.28</v>
      </c>
      <c r="H245" s="28" t="n">
        <f aca="false">G245/E244</f>
        <v>0.0184663889201667</v>
      </c>
      <c r="I245" s="29" t="n">
        <f aca="false">MAX(G245,0)</f>
        <v>3.28</v>
      </c>
      <c r="J245" s="29" t="n">
        <f aca="false">MAX(-G245,0)</f>
        <v>0</v>
      </c>
      <c r="K245" s="29" t="n">
        <f aca="false">(K244*13+I245)/14</f>
        <v>1.21732284014959</v>
      </c>
      <c r="L245" s="29" t="n">
        <f aca="false">(L244*13+J245)/14</f>
        <v>0.423621879590202</v>
      </c>
      <c r="M245" s="31" t="n">
        <f aca="false">IF(L245=0,100,100-100/(1+K245/MAX(L245,0.000001)))</f>
        <v>74.1842687023986</v>
      </c>
      <c r="N245" s="30" t="n">
        <f aca="false">AVERAGE(E226:E245)</f>
        <v>172.9665</v>
      </c>
      <c r="O245" s="30" t="n">
        <f aca="false">AVERAGE(E196:E245)</f>
        <v>163.7534</v>
      </c>
      <c r="P245" s="30" t="n">
        <f aca="false">AVERAGE(E46:E245)</f>
        <v>146.7471</v>
      </c>
      <c r="Q245" s="30" t="n">
        <f aca="false">Q244+(2/13)*(E245-Q244)</f>
        <v>175.304486550009</v>
      </c>
      <c r="R245" s="30" t="n">
        <f aca="false">R244+(2/27)*(E245-R244)</f>
        <v>170.857981273128</v>
      </c>
      <c r="S245" s="33" t="n">
        <f aca="false">Q245-R245</f>
        <v>4.44650527688049</v>
      </c>
      <c r="T245" s="33" t="n">
        <f aca="false">T244+(2/10)*(S245-T244)</f>
        <v>4.1859602679939</v>
      </c>
      <c r="U245" s="33" t="n">
        <f aca="false">S245-T245</f>
        <v>0.260545008886584</v>
      </c>
      <c r="V245" s="32" t="str">
        <f aca="false">IF(M245="","",IF(M245&lt;Assumptions!$B$5,"BUY",IF(M245&gt;Assumptions!$B$4,"SELL","HOLD")))</f>
        <v>SELL</v>
      </c>
      <c r="W245" s="32" t="str">
        <f aca="false">IF(O245="","",IF(E245&gt;O245,"BUY","SELL"))</f>
        <v>BUY</v>
      </c>
      <c r="X245" s="32" t="str">
        <f aca="false">IF(T245="","",IF(S245&gt;T245,"BUY","SELL"))</f>
        <v>BUY</v>
      </c>
      <c r="Y245" s="34" t="n">
        <f aca="false">IF(OR(V245="",W245="",X245=""),"",IFERROR(IF(V245="BUY",1,IF(V245="SELL",-1,0))+IF(W245="BUY",1,IF(W245="SELL",-1,0))+IF(X245="BUY",1,IF(X245="SELL",-1,0)),0))</f>
        <v>1</v>
      </c>
      <c r="Z245" s="32" t="str">
        <f aca="false">IF(Y245="","",IF(Y245&gt;=2,"STRONG BUY",IF(Y245=1,"BUY",IF(Y245=0,"HOLD",IF(Y245=-1,"SELL","STRONG SELL")))))</f>
        <v>BUY</v>
      </c>
    </row>
    <row r="246" customFormat="false" ht="15" hidden="false" customHeight="false" outlineLevel="0" collapsed="false">
      <c r="A246" s="24" t="n">
        <v>46112</v>
      </c>
      <c r="B246" s="25" t="n">
        <v>179.08</v>
      </c>
      <c r="C246" s="25" t="n">
        <v>180.57</v>
      </c>
      <c r="D246" s="25" t="n">
        <v>178.69</v>
      </c>
      <c r="E246" s="25" t="n">
        <v>179.63</v>
      </c>
      <c r="F246" s="26" t="n">
        <v>8181600</v>
      </c>
      <c r="G246" s="27" t="n">
        <f aca="false">E246-E245</f>
        <v>-1.27000000000001</v>
      </c>
      <c r="H246" s="28" t="n">
        <f aca="false">G246/E245</f>
        <v>-0.00702045328911006</v>
      </c>
      <c r="I246" s="29" t="n">
        <f aca="false">MAX(G246,0)</f>
        <v>0</v>
      </c>
      <c r="J246" s="29" t="n">
        <f aca="false">MAX(-G246,0)</f>
        <v>1.27000000000001</v>
      </c>
      <c r="K246" s="29" t="n">
        <f aca="false">(K245*13+I246)/14</f>
        <v>1.13037120871033</v>
      </c>
      <c r="L246" s="29" t="n">
        <f aca="false">(L245*13+J246)/14</f>
        <v>0.484077459619474</v>
      </c>
      <c r="M246" s="31" t="n">
        <f aca="false">IF(L246=0,100,100-100/(1+K246/MAX(L246,0.000001)))</f>
        <v>70.0159274732304</v>
      </c>
      <c r="N246" s="30" t="n">
        <f aca="false">AVERAGE(E227:E246)</f>
        <v>173.804</v>
      </c>
      <c r="O246" s="30" t="n">
        <f aca="false">AVERAGE(E197:E246)</f>
        <v>164.1426</v>
      </c>
      <c r="P246" s="30" t="n">
        <f aca="false">AVERAGE(E47:E246)</f>
        <v>146.973</v>
      </c>
      <c r="Q246" s="30" t="n">
        <f aca="false">Q245+(2/13)*(E246-Q245)</f>
        <v>175.9699501577</v>
      </c>
      <c r="R246" s="30" t="n">
        <f aca="false">R245+(2/27)*(E246-R245)</f>
        <v>171.507760438082</v>
      </c>
      <c r="S246" s="33" t="n">
        <f aca="false">Q246-R246</f>
        <v>4.46218971961801</v>
      </c>
      <c r="T246" s="33" t="n">
        <f aca="false">T245+(2/10)*(S246-T245)</f>
        <v>4.24120615831872</v>
      </c>
      <c r="U246" s="33" t="n">
        <f aca="false">S246-T246</f>
        <v>0.220983561299286</v>
      </c>
      <c r="V246" s="32" t="str">
        <f aca="false">IF(M246="","",IF(M246&lt;Assumptions!$B$5,"BUY",IF(M246&gt;Assumptions!$B$4,"SELL","HOLD")))</f>
        <v>SELL</v>
      </c>
      <c r="W246" s="32" t="str">
        <f aca="false">IF(O246="","",IF(E246&gt;O246,"BUY","SELL"))</f>
        <v>BUY</v>
      </c>
      <c r="X246" s="32" t="str">
        <f aca="false">IF(T246="","",IF(S246&gt;T246,"BUY","SELL"))</f>
        <v>BUY</v>
      </c>
      <c r="Y246" s="34" t="n">
        <f aca="false">IF(OR(V246="",W246="",X246=""),"",IFERROR(IF(V246="BUY",1,IF(V246="SELL",-1,0))+IF(W246="BUY",1,IF(W246="SELL",-1,0))+IF(X246="BUY",1,IF(X246="SELL",-1,0)),0))</f>
        <v>1</v>
      </c>
      <c r="Z246" s="32" t="str">
        <f aca="false">IF(Y246="","",IF(Y246&gt;=2,"STRONG BUY",IF(Y246=1,"BUY",IF(Y246=0,"HOLD",IF(Y246=-1,"SELL","STRONG SELL")))))</f>
        <v>BUY</v>
      </c>
    </row>
    <row r="247" customFormat="false" ht="15" hidden="false" customHeight="false" outlineLevel="0" collapsed="false">
      <c r="A247" s="24" t="n">
        <v>46113</v>
      </c>
      <c r="B247" s="25" t="n">
        <v>179.45</v>
      </c>
      <c r="C247" s="25" t="n">
        <v>179.72</v>
      </c>
      <c r="D247" s="25" t="n">
        <v>177.86</v>
      </c>
      <c r="E247" s="25" t="n">
        <v>178.79</v>
      </c>
      <c r="F247" s="26" t="n">
        <v>14855856</v>
      </c>
      <c r="G247" s="27" t="n">
        <f aca="false">E247-E246</f>
        <v>-0.840000000000003</v>
      </c>
      <c r="H247" s="28" t="n">
        <f aca="false">G247/E246</f>
        <v>-0.00467627901798143</v>
      </c>
      <c r="I247" s="29" t="n">
        <f aca="false">MAX(G247,0)</f>
        <v>0</v>
      </c>
      <c r="J247" s="29" t="n">
        <f aca="false">MAX(-G247,0)</f>
        <v>0.840000000000003</v>
      </c>
      <c r="K247" s="29" t="n">
        <f aca="false">(K246*13+I247)/14</f>
        <v>1.04963040808816</v>
      </c>
      <c r="L247" s="29" t="n">
        <f aca="false">(L246*13+J247)/14</f>
        <v>0.509500498218083</v>
      </c>
      <c r="M247" s="31" t="n">
        <f aca="false">IF(L247=0,100,100-100/(1+K247/MAX(L247,0.000001)))</f>
        <v>67.3215060930871</v>
      </c>
      <c r="N247" s="30" t="n">
        <f aca="false">AVERAGE(E228:E247)</f>
        <v>174.497</v>
      </c>
      <c r="O247" s="30" t="n">
        <f aca="false">AVERAGE(E198:E247)</f>
        <v>164.5306</v>
      </c>
      <c r="P247" s="30" t="n">
        <f aca="false">AVERAGE(E48:E247)</f>
        <v>147.18265</v>
      </c>
      <c r="Q247" s="30" t="n">
        <f aca="false">Q246+(2/13)*(E247-Q246)</f>
        <v>176.403803979592</v>
      </c>
      <c r="R247" s="30" t="n">
        <f aca="false">R246+(2/27)*(E247-R246)</f>
        <v>172.047185590816</v>
      </c>
      <c r="S247" s="33" t="n">
        <f aca="false">Q247-R247</f>
        <v>4.35661838877567</v>
      </c>
      <c r="T247" s="33" t="n">
        <f aca="false">T246+(2/10)*(S247-T246)</f>
        <v>4.26428860441011</v>
      </c>
      <c r="U247" s="33" t="n">
        <f aca="false">S247-T247</f>
        <v>0.0923297843655586</v>
      </c>
      <c r="V247" s="32" t="str">
        <f aca="false">IF(M247="","",IF(M247&lt;Assumptions!$B$5,"BUY",IF(M247&gt;Assumptions!$B$4,"SELL","HOLD")))</f>
        <v>HOLD</v>
      </c>
      <c r="W247" s="32" t="str">
        <f aca="false">IF(O247="","",IF(E247&gt;O247,"BUY","SELL"))</f>
        <v>BUY</v>
      </c>
      <c r="X247" s="32" t="str">
        <f aca="false">IF(T247="","",IF(S247&gt;T247,"BUY","SELL"))</f>
        <v>BUY</v>
      </c>
      <c r="Y247" s="34" t="n">
        <f aca="false">IF(OR(V247="",W247="",X247=""),"",IFERROR(IF(V247="BUY",1,IF(V247="SELL",-1,0))+IF(W247="BUY",1,IF(W247="SELL",-1,0))+IF(X247="BUY",1,IF(X247="SELL",-1,0)),0))</f>
        <v>2</v>
      </c>
      <c r="Z247" s="32" t="str">
        <f aca="false">IF(Y247="","",IF(Y247&gt;=2,"STRONG BUY",IF(Y247=1,"BUY",IF(Y247=0,"HOLD",IF(Y247=-1,"SELL","STRONG SELL")))))</f>
        <v>STRONG BUY</v>
      </c>
    </row>
    <row r="248" customFormat="false" ht="15" hidden="false" customHeight="false" outlineLevel="0" collapsed="false">
      <c r="A248" s="24" t="n">
        <v>46114</v>
      </c>
      <c r="B248" s="25" t="n">
        <v>179.58</v>
      </c>
      <c r="C248" s="25" t="n">
        <v>181.4</v>
      </c>
      <c r="D248" s="25" t="n">
        <v>179.34</v>
      </c>
      <c r="E248" s="25" t="n">
        <v>180.37</v>
      </c>
      <c r="F248" s="26" t="n">
        <v>11037370</v>
      </c>
      <c r="G248" s="27" t="n">
        <f aca="false">E248-E247</f>
        <v>1.58000000000001</v>
      </c>
      <c r="H248" s="28" t="n">
        <f aca="false">G248/E247</f>
        <v>0.00883718328765598</v>
      </c>
      <c r="I248" s="29" t="n">
        <f aca="false">MAX(G248,0)</f>
        <v>1.58000000000001</v>
      </c>
      <c r="J248" s="29" t="n">
        <f aca="false">MAX(-G248,0)</f>
        <v>0</v>
      </c>
      <c r="K248" s="29" t="n">
        <f aca="false">(K247*13+I248)/14</f>
        <v>1.08751395036758</v>
      </c>
      <c r="L248" s="29" t="n">
        <f aca="false">(L247*13+J248)/14</f>
        <v>0.47310760548822</v>
      </c>
      <c r="M248" s="31" t="n">
        <f aca="false">IF(L248=0,100,100-100/(1+K248/MAX(L248,0.000001)))</f>
        <v>69.6846680277474</v>
      </c>
      <c r="N248" s="30" t="n">
        <f aca="false">AVERAGE(E229:E248)</f>
        <v>175.067</v>
      </c>
      <c r="O248" s="30" t="n">
        <f aca="false">AVERAGE(E199:E248)</f>
        <v>164.9758</v>
      </c>
      <c r="P248" s="30" t="n">
        <f aca="false">AVERAGE(E49:E248)</f>
        <v>147.39455</v>
      </c>
      <c r="Q248" s="30" t="n">
        <f aca="false">Q247+(2/13)*(E248-Q247)</f>
        <v>177.013987982732</v>
      </c>
      <c r="R248" s="30" t="n">
        <f aca="false">R247+(2/27)*(E248-R247)</f>
        <v>172.663690361867</v>
      </c>
      <c r="S248" s="33" t="n">
        <f aca="false">Q248-R248</f>
        <v>4.35029762086475</v>
      </c>
      <c r="T248" s="33" t="n">
        <f aca="false">T247+(2/10)*(S248-T247)</f>
        <v>4.28149040770104</v>
      </c>
      <c r="U248" s="33" t="n">
        <f aca="false">S248-T248</f>
        <v>0.0688072131637103</v>
      </c>
      <c r="V248" s="32" t="str">
        <f aca="false">IF(M248="","",IF(M248&lt;Assumptions!$B$5,"BUY",IF(M248&gt;Assumptions!$B$4,"SELL","HOLD")))</f>
        <v>HOLD</v>
      </c>
      <c r="W248" s="32" t="str">
        <f aca="false">IF(O248="","",IF(E248&gt;O248,"BUY","SELL"))</f>
        <v>BUY</v>
      </c>
      <c r="X248" s="32" t="str">
        <f aca="false">IF(T248="","",IF(S248&gt;T248,"BUY","SELL"))</f>
        <v>BUY</v>
      </c>
      <c r="Y248" s="34" t="n">
        <f aca="false">IF(OR(V248="",W248="",X248=""),"",IFERROR(IF(V248="BUY",1,IF(V248="SELL",-1,0))+IF(W248="BUY",1,IF(W248="SELL",-1,0))+IF(X248="BUY",1,IF(X248="SELL",-1,0)),0))</f>
        <v>2</v>
      </c>
      <c r="Z248" s="32" t="str">
        <f aca="false">IF(Y248="","",IF(Y248&gt;=2,"STRONG BUY",IF(Y248=1,"BUY",IF(Y248=0,"HOLD",IF(Y248=-1,"SELL","STRONG SELL")))))</f>
        <v>STRONG BUY</v>
      </c>
    </row>
    <row r="249" customFormat="false" ht="15" hidden="false" customHeight="false" outlineLevel="0" collapsed="false">
      <c r="A249" s="24" t="n">
        <v>46115</v>
      </c>
      <c r="B249" s="25" t="n">
        <v>182.24</v>
      </c>
      <c r="C249" s="25" t="n">
        <v>182.24</v>
      </c>
      <c r="D249" s="25" t="n">
        <v>181.04</v>
      </c>
      <c r="E249" s="25" t="n">
        <v>181.64</v>
      </c>
      <c r="F249" s="26" t="n">
        <v>15627974</v>
      </c>
      <c r="G249" s="27" t="n">
        <f aca="false">E249-E248</f>
        <v>1.26999999999998</v>
      </c>
      <c r="H249" s="28" t="n">
        <f aca="false">G249/E248</f>
        <v>0.00704108221988125</v>
      </c>
      <c r="I249" s="29" t="n">
        <f aca="false">MAX(G249,0)</f>
        <v>1.26999999999998</v>
      </c>
      <c r="J249" s="29" t="n">
        <f aca="false">MAX(-G249,0)</f>
        <v>0</v>
      </c>
      <c r="K249" s="29" t="n">
        <f aca="false">(K248*13+I249)/14</f>
        <v>1.10054866819847</v>
      </c>
      <c r="L249" s="29" t="n">
        <f aca="false">(L248*13+J249)/14</f>
        <v>0.439314205096204</v>
      </c>
      <c r="M249" s="31" t="n">
        <f aca="false">IF(L249=0,100,100-100/(1+K249/MAX(L249,0.000001)))</f>
        <v>71.4705632095504</v>
      </c>
      <c r="N249" s="30" t="n">
        <f aca="false">AVERAGE(E230:E249)</f>
        <v>175.579</v>
      </c>
      <c r="O249" s="30" t="n">
        <f aca="false">AVERAGE(E200:E249)</f>
        <v>165.5002</v>
      </c>
      <c r="P249" s="30" t="n">
        <f aca="false">AVERAGE(E50:E249)</f>
        <v>147.59335</v>
      </c>
      <c r="Q249" s="30" t="n">
        <f aca="false">Q248+(2/13)*(E249-Q248)</f>
        <v>177.725682139234</v>
      </c>
      <c r="R249" s="30" t="n">
        <f aca="false">R248+(2/27)*(E249-R248)</f>
        <v>173.328602186914</v>
      </c>
      <c r="S249" s="33" t="n">
        <f aca="false">Q249-R249</f>
        <v>4.3970799523207</v>
      </c>
      <c r="T249" s="33" t="n">
        <f aca="false">T248+(2/10)*(S249-T248)</f>
        <v>4.30460831662497</v>
      </c>
      <c r="U249" s="33" t="n">
        <f aca="false">S249-T249</f>
        <v>0.0924716356957234</v>
      </c>
      <c r="V249" s="32" t="str">
        <f aca="false">IF(M249="","",IF(M249&lt;Assumptions!$B$5,"BUY",IF(M249&gt;Assumptions!$B$4,"SELL","HOLD")))</f>
        <v>SELL</v>
      </c>
      <c r="W249" s="32" t="str">
        <f aca="false">IF(O249="","",IF(E249&gt;O249,"BUY","SELL"))</f>
        <v>BUY</v>
      </c>
      <c r="X249" s="32" t="str">
        <f aca="false">IF(T249="","",IF(S249&gt;T249,"BUY","SELL"))</f>
        <v>BUY</v>
      </c>
      <c r="Y249" s="34" t="n">
        <f aca="false">IF(OR(V249="",W249="",X249=""),"",IFERROR(IF(V249="BUY",1,IF(V249="SELL",-1,0))+IF(W249="BUY",1,IF(W249="SELL",-1,0))+IF(X249="BUY",1,IF(X249="SELL",-1,0)),0))</f>
        <v>1</v>
      </c>
      <c r="Z249" s="32" t="str">
        <f aca="false">IF(Y249="","",IF(Y249&gt;=2,"STRONG BUY",IF(Y249=1,"BUY",IF(Y249=0,"HOLD",IF(Y249=-1,"SELL","STRONG SELL")))))</f>
        <v>BUY</v>
      </c>
    </row>
    <row r="250" customFormat="false" ht="15" hidden="false" customHeight="false" outlineLevel="0" collapsed="false">
      <c r="A250" s="24" t="n">
        <v>46118</v>
      </c>
      <c r="B250" s="25" t="n">
        <v>183.95</v>
      </c>
      <c r="C250" s="25" t="n">
        <v>183.95</v>
      </c>
      <c r="D250" s="25" t="n">
        <v>183.41</v>
      </c>
      <c r="E250" s="25" t="n">
        <v>183.68</v>
      </c>
      <c r="F250" s="26" t="n">
        <v>13573759</v>
      </c>
      <c r="G250" s="27" t="n">
        <f aca="false">E250-E249</f>
        <v>2.04000000000002</v>
      </c>
      <c r="H250" s="28" t="n">
        <f aca="false">G250/E249</f>
        <v>0.0112310063862586</v>
      </c>
      <c r="I250" s="29" t="n">
        <f aca="false">MAX(G250,0)</f>
        <v>2.04000000000002</v>
      </c>
      <c r="J250" s="29" t="n">
        <f aca="false">MAX(-G250,0)</f>
        <v>0</v>
      </c>
      <c r="K250" s="29" t="n">
        <f aca="false">(K249*13+I250)/14</f>
        <v>1.16765233475572</v>
      </c>
      <c r="L250" s="29" t="n">
        <f aca="false">(L249*13+J250)/14</f>
        <v>0.407934619017904</v>
      </c>
      <c r="M250" s="31" t="n">
        <f aca="false">IF(L250=0,100,100-100/(1+K250/MAX(L250,0.000001)))</f>
        <v>74.1090380292325</v>
      </c>
      <c r="N250" s="30" t="n">
        <f aca="false">AVERAGE(E231:E250)</f>
        <v>175.933</v>
      </c>
      <c r="O250" s="30" t="n">
        <f aca="false">AVERAGE(E201:E250)</f>
        <v>166.0166</v>
      </c>
      <c r="P250" s="30" t="n">
        <f aca="false">AVERAGE(E51:E250)</f>
        <v>147.8172</v>
      </c>
      <c r="Q250" s="30" t="n">
        <f aca="false">Q249+(2/13)*(E250-Q249)</f>
        <v>178.641731040891</v>
      </c>
      <c r="R250" s="30" t="n">
        <f aca="false">R249+(2/27)*(E250-R249)</f>
        <v>174.095372395291</v>
      </c>
      <c r="S250" s="33" t="n">
        <f aca="false">Q250-R250</f>
        <v>4.54635864560018</v>
      </c>
      <c r="T250" s="33" t="n">
        <f aca="false">T249+(2/10)*(S250-T249)</f>
        <v>4.35295838242001</v>
      </c>
      <c r="U250" s="33" t="n">
        <f aca="false">S250-T250</f>
        <v>0.193400263180166</v>
      </c>
      <c r="V250" s="32" t="str">
        <f aca="false">IF(M250="","",IF(M250&lt;Assumptions!$B$5,"BUY",IF(M250&gt;Assumptions!$B$4,"SELL","HOLD")))</f>
        <v>SELL</v>
      </c>
      <c r="W250" s="32" t="str">
        <f aca="false">IF(O250="","",IF(E250&gt;O250,"BUY","SELL"))</f>
        <v>BUY</v>
      </c>
      <c r="X250" s="32" t="str">
        <f aca="false">IF(T250="","",IF(S250&gt;T250,"BUY","SELL"))</f>
        <v>BUY</v>
      </c>
      <c r="Y250" s="34" t="n">
        <f aca="false">IF(OR(V250="",W250="",X250=""),"",IFERROR(IF(V250="BUY",1,IF(V250="SELL",-1,0))+IF(W250="BUY",1,IF(W250="SELL",-1,0))+IF(X250="BUY",1,IF(X250="SELL",-1,0)),0))</f>
        <v>1</v>
      </c>
      <c r="Z250" s="32" t="str">
        <f aca="false">IF(Y250="","",IF(Y250&gt;=2,"STRONG BUY",IF(Y250=1,"BUY",IF(Y250=0,"HOLD",IF(Y250=-1,"SELL","STRONG SELL")))))</f>
        <v>BUY</v>
      </c>
    </row>
    <row r="251" customFormat="false" ht="15" hidden="false" customHeight="false" outlineLevel="0" collapsed="false">
      <c r="A251" s="24" t="n">
        <v>46119</v>
      </c>
      <c r="B251" s="25" t="n">
        <v>183.15</v>
      </c>
      <c r="C251" s="25" t="n">
        <v>183.15</v>
      </c>
      <c r="D251" s="25" t="n">
        <v>182.89</v>
      </c>
      <c r="E251" s="25" t="n">
        <v>183.02</v>
      </c>
      <c r="F251" s="26" t="n">
        <v>15572457</v>
      </c>
      <c r="G251" s="27" t="n">
        <f aca="false">E251-E250</f>
        <v>-0.659999999999997</v>
      </c>
      <c r="H251" s="28" t="n">
        <f aca="false">G251/E250</f>
        <v>-0.00359320557491287</v>
      </c>
      <c r="I251" s="29" t="n">
        <f aca="false">MAX(G251,0)</f>
        <v>0</v>
      </c>
      <c r="J251" s="29" t="n">
        <f aca="false">MAX(-G251,0)</f>
        <v>0.659999999999997</v>
      </c>
      <c r="K251" s="29" t="n">
        <f aca="false">(K250*13+I251)/14</f>
        <v>1.08424859655888</v>
      </c>
      <c r="L251" s="29" t="n">
        <f aca="false">(L250*13+J251)/14</f>
        <v>0.425939289088054</v>
      </c>
      <c r="M251" s="31" t="n">
        <f aca="false">IF(L251=0,100,100-100/(1+K251/MAX(L251,0.000001)))</f>
        <v>71.7956094644748</v>
      </c>
      <c r="N251" s="30" t="n">
        <f aca="false">AVERAGE(E232:E251)</f>
        <v>176.4295</v>
      </c>
      <c r="O251" s="30" t="n">
        <f aca="false">AVERAGE(E202:E251)</f>
        <v>166.4902</v>
      </c>
      <c r="P251" s="30" t="n">
        <f aca="false">AVERAGE(E52:E251)</f>
        <v>148.0427</v>
      </c>
      <c r="Q251" s="30" t="n">
        <f aca="false">Q250+(2/13)*(E251-Q250)</f>
        <v>179.315310880754</v>
      </c>
      <c r="R251" s="30" t="n">
        <f aca="false">R250+(2/27)*(E251-R250)</f>
        <v>174.756455921565</v>
      </c>
      <c r="S251" s="33" t="n">
        <f aca="false">Q251-R251</f>
        <v>4.55885495918838</v>
      </c>
      <c r="T251" s="33" t="n">
        <f aca="false">T250+(2/10)*(S251-T250)</f>
        <v>4.39413769777369</v>
      </c>
      <c r="U251" s="33" t="n">
        <f aca="false">S251-T251</f>
        <v>0.164717261414694</v>
      </c>
      <c r="V251" s="32" t="str">
        <f aca="false">IF(M251="","",IF(M251&lt;Assumptions!$B$5,"BUY",IF(M251&gt;Assumptions!$B$4,"SELL","HOLD")))</f>
        <v>SELL</v>
      </c>
      <c r="W251" s="32" t="str">
        <f aca="false">IF(O251="","",IF(E251&gt;O251,"BUY","SELL"))</f>
        <v>BUY</v>
      </c>
      <c r="X251" s="32" t="str">
        <f aca="false">IF(T251="","",IF(S251&gt;T251,"BUY","SELL"))</f>
        <v>BUY</v>
      </c>
      <c r="Y251" s="34" t="n">
        <f aca="false">IF(OR(V251="",W251="",X251=""),"",IFERROR(IF(V251="BUY",1,IF(V251="SELL",-1,0))+IF(W251="BUY",1,IF(W251="SELL",-1,0))+IF(X251="BUY",1,IF(X251="SELL",-1,0)),0))</f>
        <v>1</v>
      </c>
      <c r="Z251" s="32" t="str">
        <f aca="false">IF(Y251="","",IF(Y251&gt;=2,"STRONG BUY",IF(Y251=1,"BUY",IF(Y251=0,"HOLD",IF(Y251=-1,"SELL","STRONG SELL")))))</f>
        <v>BUY</v>
      </c>
    </row>
    <row r="252" customFormat="false" ht="15" hidden="false" customHeight="false" outlineLevel="0" collapsed="false">
      <c r="A252" s="24" t="n">
        <v>46120</v>
      </c>
      <c r="B252" s="25" t="n">
        <v>179.79</v>
      </c>
      <c r="C252" s="25" t="n">
        <v>180.09</v>
      </c>
      <c r="D252" s="25" t="n">
        <v>179.79</v>
      </c>
      <c r="E252" s="25" t="n">
        <v>179.94</v>
      </c>
      <c r="F252" s="26" t="n">
        <v>13489246</v>
      </c>
      <c r="G252" s="27" t="n">
        <f aca="false">E252-E251</f>
        <v>-3.08000000000001</v>
      </c>
      <c r="H252" s="28" t="n">
        <f aca="false">G252/E251</f>
        <v>-0.0168287618839472</v>
      </c>
      <c r="I252" s="29" t="n">
        <f aca="false">MAX(G252,0)</f>
        <v>0</v>
      </c>
      <c r="J252" s="29" t="n">
        <f aca="false">MAX(-G252,0)</f>
        <v>3.08000000000001</v>
      </c>
      <c r="K252" s="29" t="n">
        <f aca="false">(K251*13+I252)/14</f>
        <v>1.00680226823325</v>
      </c>
      <c r="L252" s="29" t="n">
        <f aca="false">(L251*13+J252)/14</f>
        <v>0.615515054153193</v>
      </c>
      <c r="M252" s="31" t="n">
        <f aca="false">IF(L252=0,100,100-100/(1+K252/MAX(L252,0.000001)))</f>
        <v>62.0595153821223</v>
      </c>
      <c r="N252" s="30" t="n">
        <f aca="false">AVERAGE(E233:E252)</f>
        <v>176.8325</v>
      </c>
      <c r="O252" s="30" t="n">
        <f aca="false">AVERAGE(E203:E252)</f>
        <v>166.8824</v>
      </c>
      <c r="P252" s="30" t="n">
        <f aca="false">AVERAGE(E53:E252)</f>
        <v>148.2608</v>
      </c>
      <c r="Q252" s="30" t="n">
        <f aca="false">Q251+(2/13)*(E252-Q251)</f>
        <v>179.411416899099</v>
      </c>
      <c r="R252" s="30" t="n">
        <f aca="false">R251+(2/27)*(E252-R251)</f>
        <v>175.140422149597</v>
      </c>
      <c r="S252" s="33" t="n">
        <f aca="false">Q252-R252</f>
        <v>4.27099474950177</v>
      </c>
      <c r="T252" s="33" t="n">
        <f aca="false">T251+(2/10)*(S252-T251)</f>
        <v>4.3695091081193</v>
      </c>
      <c r="U252" s="33" t="n">
        <f aca="false">S252-T252</f>
        <v>-0.0985143586175354</v>
      </c>
      <c r="V252" s="32" t="str">
        <f aca="false">IF(M252="","",IF(M252&lt;Assumptions!$B$5,"BUY",IF(M252&gt;Assumptions!$B$4,"SELL","HOLD")))</f>
        <v>HOLD</v>
      </c>
      <c r="W252" s="32" t="str">
        <f aca="false">IF(O252="","",IF(E252&gt;O252,"BUY","SELL"))</f>
        <v>BUY</v>
      </c>
      <c r="X252" s="32" t="str">
        <f aca="false">IF(T252="","",IF(S252&gt;T252,"BUY","SELL"))</f>
        <v>SELL</v>
      </c>
      <c r="Y252" s="34" t="n">
        <f aca="false">IF(OR(V252="",W252="",X252=""),"",IFERROR(IF(V252="BUY",1,IF(V252="SELL",-1,0))+IF(W252="BUY",1,IF(W252="SELL",-1,0))+IF(X252="BUY",1,IF(X252="SELL",-1,0)),0))</f>
        <v>0</v>
      </c>
      <c r="Z252" s="32" t="str">
        <f aca="false">IF(Y252="","",IF(Y252&gt;=2,"STRONG BUY",IF(Y252=1,"BUY",IF(Y252=0,"HOLD",IF(Y252=-1,"SELL","STRONG SELL")))))</f>
        <v>HOLD</v>
      </c>
    </row>
    <row r="253" customFormat="false" ht="15" hidden="false" customHeight="false" outlineLevel="0" collapsed="false">
      <c r="A253" s="24" t="n">
        <v>46121</v>
      </c>
      <c r="B253" s="25" t="n">
        <v>176.81</v>
      </c>
      <c r="C253" s="25" t="n">
        <v>177.37</v>
      </c>
      <c r="D253" s="25" t="n">
        <v>176.81</v>
      </c>
      <c r="E253" s="25" t="n">
        <v>177.09</v>
      </c>
      <c r="F253" s="26" t="n">
        <v>8773463</v>
      </c>
      <c r="G253" s="27" t="n">
        <f aca="false">E253-E252</f>
        <v>-2.84999999999999</v>
      </c>
      <c r="H253" s="28" t="n">
        <f aca="false">G253/E252</f>
        <v>-0.015838612870957</v>
      </c>
      <c r="I253" s="29" t="n">
        <f aca="false">MAX(G253,0)</f>
        <v>0</v>
      </c>
      <c r="J253" s="29" t="n">
        <f aca="false">MAX(-G253,0)</f>
        <v>2.84999999999999</v>
      </c>
      <c r="K253" s="29" t="n">
        <f aca="false">(K252*13+I253)/14</f>
        <v>0.934887820502303</v>
      </c>
      <c r="L253" s="29" t="n">
        <f aca="false">(L252*13+J253)/14</f>
        <v>0.775121121713679</v>
      </c>
      <c r="M253" s="31" t="n">
        <f aca="false">IF(L253=0,100,100-100/(1+K253/MAX(L253,0.000001)))</f>
        <v>54.6715164711824</v>
      </c>
      <c r="N253" s="30" t="n">
        <f aca="false">AVERAGE(E234:E253)</f>
        <v>177.122</v>
      </c>
      <c r="O253" s="30" t="n">
        <f aca="false">AVERAGE(E204:E253)</f>
        <v>167.2796</v>
      </c>
      <c r="P253" s="30" t="n">
        <f aca="false">AVERAGE(E54:E253)</f>
        <v>148.4571</v>
      </c>
      <c r="Q253" s="30" t="n">
        <f aca="false">Q252+(2/13)*(E253-Q252)</f>
        <v>179.054275837699</v>
      </c>
      <c r="R253" s="30" t="n">
        <f aca="false">R252+(2/27)*(E253-R252)</f>
        <v>175.284835323701</v>
      </c>
      <c r="S253" s="33" t="n">
        <f aca="false">Q253-R253</f>
        <v>3.76944051399798</v>
      </c>
      <c r="T253" s="33" t="n">
        <f aca="false">T252+(2/10)*(S253-T252)</f>
        <v>4.24949538929504</v>
      </c>
      <c r="U253" s="33" t="n">
        <f aca="false">S253-T253</f>
        <v>-0.48005487529706</v>
      </c>
      <c r="V253" s="32" t="str">
        <f aca="false">IF(M253="","",IF(M253&lt;Assumptions!$B$5,"BUY",IF(M253&gt;Assumptions!$B$4,"SELL","HOLD")))</f>
        <v>HOLD</v>
      </c>
      <c r="W253" s="32" t="str">
        <f aca="false">IF(O253="","",IF(E253&gt;O253,"BUY","SELL"))</f>
        <v>BUY</v>
      </c>
      <c r="X253" s="32" t="str">
        <f aca="false">IF(T253="","",IF(S253&gt;T253,"BUY","SELL"))</f>
        <v>SELL</v>
      </c>
      <c r="Y253" s="34" t="n">
        <f aca="false">IF(OR(V253="",W253="",X253=""),"",IFERROR(IF(V253="BUY",1,IF(V253="SELL",-1,0))+IF(W253="BUY",1,IF(W253="SELL",-1,0))+IF(X253="BUY",1,IF(X253="SELL",-1,0)),0))</f>
        <v>0</v>
      </c>
      <c r="Z253" s="32" t="str">
        <f aca="false">IF(Y253="","",IF(Y253&gt;=2,"STRONG BUY",IF(Y253=1,"BUY",IF(Y253=0,"HOLD",IF(Y253=-1,"SELL","STRONG SELL")))))</f>
        <v>HOLD</v>
      </c>
    </row>
    <row r="254" customFormat="false" ht="15" hidden="false" customHeight="false" outlineLevel="0" collapsed="false">
      <c r="A254" s="24" t="n">
        <v>46122</v>
      </c>
      <c r="B254" s="25" t="n">
        <v>176.13</v>
      </c>
      <c r="C254" s="25" t="n">
        <v>176.37</v>
      </c>
      <c r="D254" s="25" t="n">
        <v>175.85</v>
      </c>
      <c r="E254" s="25" t="n">
        <v>176.11</v>
      </c>
      <c r="F254" s="26" t="n">
        <v>14359091</v>
      </c>
      <c r="G254" s="27" t="n">
        <f aca="false">E254-E253</f>
        <v>-0.97999999999999</v>
      </c>
      <c r="H254" s="28" t="n">
        <f aca="false">G254/E253</f>
        <v>-0.00553390931164939</v>
      </c>
      <c r="I254" s="29" t="n">
        <f aca="false">MAX(G254,0)</f>
        <v>0</v>
      </c>
      <c r="J254" s="29" t="n">
        <f aca="false">MAX(-G254,0)</f>
        <v>0.97999999999999</v>
      </c>
      <c r="K254" s="29" t="n">
        <f aca="false">(K253*13+I254)/14</f>
        <v>0.868110119037853</v>
      </c>
      <c r="L254" s="29" t="n">
        <f aca="false">(L253*13+J254)/14</f>
        <v>0.789755327305559</v>
      </c>
      <c r="M254" s="31" t="n">
        <f aca="false">IF(L254=0,100,100-100/(1+K254/MAX(L254,0.000001)))</f>
        <v>52.3631227704611</v>
      </c>
      <c r="N254" s="30" t="n">
        <f aca="false">AVERAGE(E235:E254)</f>
        <v>177.406</v>
      </c>
      <c r="O254" s="30" t="n">
        <f aca="false">AVERAGE(E205:E254)</f>
        <v>167.6362</v>
      </c>
      <c r="P254" s="30" t="n">
        <f aca="false">AVERAGE(E55:E254)</f>
        <v>148.65285</v>
      </c>
      <c r="Q254" s="30" t="n">
        <f aca="false">Q253+(2/13)*(E254-Q253)</f>
        <v>178.601310324207</v>
      </c>
      <c r="R254" s="30" t="n">
        <f aca="false">R253+(2/27)*(E254-R253)</f>
        <v>175.345958633057</v>
      </c>
      <c r="S254" s="33" t="n">
        <f aca="false">Q254-R254</f>
        <v>3.25535169115031</v>
      </c>
      <c r="T254" s="33" t="n">
        <f aca="false">T253+(2/10)*(S254-T253)</f>
        <v>4.05066664966609</v>
      </c>
      <c r="U254" s="33" t="n">
        <f aca="false">S254-T254</f>
        <v>-0.795314958515783</v>
      </c>
      <c r="V254" s="32" t="str">
        <f aca="false">IF(M254="","",IF(M254&lt;Assumptions!$B$5,"BUY",IF(M254&gt;Assumptions!$B$4,"SELL","HOLD")))</f>
        <v>HOLD</v>
      </c>
      <c r="W254" s="32" t="str">
        <f aca="false">IF(O254="","",IF(E254&gt;O254,"BUY","SELL"))</f>
        <v>BUY</v>
      </c>
      <c r="X254" s="32" t="str">
        <f aca="false">IF(T254="","",IF(S254&gt;T254,"BUY","SELL"))</f>
        <v>SELL</v>
      </c>
      <c r="Y254" s="34" t="n">
        <f aca="false">IF(OR(V254="",W254="",X254=""),"",IFERROR(IF(V254="BUY",1,IF(V254="SELL",-1,0))+IF(W254="BUY",1,IF(W254="SELL",-1,0))+IF(X254="BUY",1,IF(X254="SELL",-1,0)),0))</f>
        <v>0</v>
      </c>
      <c r="Z254" s="32" t="str">
        <f aca="false">IF(Y254="","",IF(Y254&gt;=2,"STRONG BUY",IF(Y254=1,"BUY",IF(Y254=0,"HOLD",IF(Y254=-1,"SELL","STRONG SELL")))))</f>
        <v>HOLD</v>
      </c>
    </row>
  </sheetData>
  <mergeCells count="1">
    <mergeCell ref="A1:Z1"/>
  </mergeCells>
  <conditionalFormatting sqref="V3:V254">
    <cfRule type="cellIs" priority="2" operator="equal" aboveAverage="0" equalAverage="0" bottom="0" percent="0" rank="0" text="" dxfId="5">
      <formula>"BUY"</formula>
    </cfRule>
    <cfRule type="cellIs" priority="3" operator="equal" aboveAverage="0" equalAverage="0" bottom="0" percent="0" rank="0" text="" dxfId="6">
      <formula>"SELL"</formula>
    </cfRule>
    <cfRule type="cellIs" priority="4" operator="equal" aboveAverage="0" equalAverage="0" bottom="0" percent="0" rank="0" text="" dxfId="7">
      <formula>"HOLD"</formula>
    </cfRule>
  </conditionalFormatting>
  <conditionalFormatting sqref="W3:W254">
    <cfRule type="cellIs" priority="5" operator="equal" aboveAverage="0" equalAverage="0" bottom="0" percent="0" rank="0" text="" dxfId="5">
      <formula>"BUY"</formula>
    </cfRule>
    <cfRule type="cellIs" priority="6" operator="equal" aboveAverage="0" equalAverage="0" bottom="0" percent="0" rank="0" text="" dxfId="6">
      <formula>"SELL"</formula>
    </cfRule>
    <cfRule type="cellIs" priority="7" operator="equal" aboveAverage="0" equalAverage="0" bottom="0" percent="0" rank="0" text="" dxfId="7">
      <formula>"HOLD"</formula>
    </cfRule>
  </conditionalFormatting>
  <conditionalFormatting sqref="X3:X254">
    <cfRule type="cellIs" priority="8" operator="equal" aboveAverage="0" equalAverage="0" bottom="0" percent="0" rank="0" text="" dxfId="5">
      <formula>"BUY"</formula>
    </cfRule>
    <cfRule type="cellIs" priority="9" operator="equal" aboveAverage="0" equalAverage="0" bottom="0" percent="0" rank="0" text="" dxfId="6">
      <formula>"SELL"</formula>
    </cfRule>
    <cfRule type="cellIs" priority="10" operator="equal" aboveAverage="0" equalAverage="0" bottom="0" percent="0" rank="0" text="" dxfId="7">
      <formula>"HOLD"</formula>
    </cfRule>
  </conditionalFormatting>
  <conditionalFormatting sqref="Z3:Z254">
    <cfRule type="cellIs" priority="11" operator="equal" aboveAverage="0" equalAverage="0" bottom="0" percent="0" rank="0" text="" dxfId="8">
      <formula>"STRONG BUY"</formula>
    </cfRule>
    <cfRule type="cellIs" priority="12" operator="equal" aboveAverage="0" equalAverage="0" bottom="0" percent="0" rank="0" text="" dxfId="5">
      <formula>"BUY"</formula>
    </cfRule>
    <cfRule type="cellIs" priority="13" operator="equal" aboveAverage="0" equalAverage="0" bottom="0" percent="0" rank="0" text="" dxfId="7">
      <formula>"HOLD"</formula>
    </cfRule>
    <cfRule type="cellIs" priority="14" operator="equal" aboveAverage="0" equalAverage="0" bottom="0" percent="0" rank="0" text="" dxfId="6">
      <formula>"SELL"</formula>
    </cfRule>
    <cfRule type="cellIs" priority="15" operator="equal" aboveAverage="0" equalAverage="0" bottom="0" percent="0" rank="0" text="" dxfId="9">
      <formula>"STRONG SELL"</formula>
    </cfRule>
  </conditionalFormatting>
  <conditionalFormatting sqref="M3:M254">
    <cfRule type="cellIs" priority="16" operator="greaterThan" aboveAverage="0" equalAverage="0" bottom="0" percent="0" rank="0" text="" dxfId="10">
      <formula>70</formula>
    </cfRule>
    <cfRule type="cellIs" priority="17" operator="lessThan" aboveAverage="0" equalAverage="0" bottom="0" percent="0" rank="0" text="" dxfId="11">
      <formula>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4" min="2" style="0" width="10"/>
    <col collapsed="false" customWidth="true" hidden="false" outlineLevel="0" max="5" min="5" style="0" width="12"/>
    <col collapsed="false" customWidth="true" hidden="false" outlineLevel="0" max="6" min="6" style="0" width="14"/>
    <col collapsed="false" customWidth="true" hidden="false" outlineLevel="0" max="8" min="7" style="0" width="10"/>
    <col collapsed="false" customWidth="true" hidden="true" outlineLevel="0" max="10" min="9" style="0" width="8"/>
    <col collapsed="false" customWidth="true" hidden="true" outlineLevel="0" max="12" min="11" style="0" width="10"/>
    <col collapsed="false" customWidth="true" hidden="false" outlineLevel="0" max="18" min="13" style="0" width="10"/>
    <col collapsed="false" customWidth="true" hidden="false" outlineLevel="0" max="23" min="19" style="0" width="11"/>
    <col collapsed="false" customWidth="true" hidden="false" outlineLevel="0" max="24" min="24" style="0" width="12"/>
    <col collapsed="false" customWidth="true" hidden="false" outlineLevel="0" max="25" min="25" style="0" width="8"/>
    <col collapsed="false" customWidth="true" hidden="false" outlineLevel="0" max="26" min="26" style="0" width="13"/>
  </cols>
  <sheetData>
    <row r="1" customFormat="false" ht="30" hidden="false" customHeight="true" outlineLevel="0" collapsed="false">
      <c r="A1" s="17" t="s">
        <v>91</v>
      </c>
      <c r="B1" s="17"/>
      <c r="C1" s="17"/>
      <c r="D1" s="17"/>
      <c r="E1" s="17"/>
      <c r="F1" s="17"/>
      <c r="G1" s="17"/>
      <c r="H1" s="17"/>
      <c r="I1" s="17"/>
      <c r="J1" s="17"/>
      <c r="K1" s="17"/>
      <c r="L1" s="17"/>
      <c r="M1" s="17"/>
      <c r="N1" s="17"/>
      <c r="O1" s="17"/>
      <c r="P1" s="17"/>
      <c r="Q1" s="17"/>
      <c r="R1" s="17"/>
      <c r="S1" s="17"/>
      <c r="T1" s="17"/>
      <c r="U1" s="17"/>
      <c r="V1" s="17"/>
      <c r="W1" s="17"/>
      <c r="X1" s="17"/>
      <c r="Y1" s="17"/>
      <c r="Z1" s="17"/>
    </row>
    <row r="2" customFormat="false" ht="36" hidden="false" customHeight="true" outlineLevel="0" collapsed="false">
      <c r="A2" s="18" t="s">
        <v>27</v>
      </c>
      <c r="B2" s="18" t="s">
        <v>28</v>
      </c>
      <c r="C2" s="18" t="s">
        <v>29</v>
      </c>
      <c r="D2" s="18" t="s">
        <v>30</v>
      </c>
      <c r="E2" s="18" t="s">
        <v>89</v>
      </c>
      <c r="F2" s="18" t="s">
        <v>32</v>
      </c>
      <c r="G2" s="19" t="s">
        <v>33</v>
      </c>
      <c r="H2" s="19" t="s">
        <v>34</v>
      </c>
      <c r="I2" s="20" t="s">
        <v>35</v>
      </c>
      <c r="J2" s="20" t="s">
        <v>36</v>
      </c>
      <c r="K2" s="20" t="s">
        <v>37</v>
      </c>
      <c r="L2" s="20" t="s">
        <v>38</v>
      </c>
      <c r="M2" s="21" t="s">
        <v>5</v>
      </c>
      <c r="N2" s="21" t="s">
        <v>6</v>
      </c>
      <c r="O2" s="21" t="s">
        <v>7</v>
      </c>
      <c r="P2" s="21" t="s">
        <v>8</v>
      </c>
      <c r="Q2" s="21" t="s">
        <v>39</v>
      </c>
      <c r="R2" s="21" t="s">
        <v>40</v>
      </c>
      <c r="S2" s="21" t="s">
        <v>41</v>
      </c>
      <c r="T2" s="21" t="s">
        <v>42</v>
      </c>
      <c r="U2" s="21" t="s">
        <v>43</v>
      </c>
      <c r="V2" s="22" t="s">
        <v>9</v>
      </c>
      <c r="W2" s="22" t="s">
        <v>10</v>
      </c>
      <c r="X2" s="22" t="s">
        <v>11</v>
      </c>
      <c r="Y2" s="22" t="s">
        <v>12</v>
      </c>
      <c r="Z2" s="23" t="s">
        <v>44</v>
      </c>
    </row>
    <row r="3" customFormat="false" ht="15" hidden="false" customHeight="false" outlineLevel="0" collapsed="false">
      <c r="A3" s="24" t="n">
        <v>45771</v>
      </c>
      <c r="B3" s="25" t="n">
        <v>68.65</v>
      </c>
      <c r="C3" s="25" t="n">
        <v>68.72</v>
      </c>
      <c r="D3" s="25" t="n">
        <v>68.28</v>
      </c>
      <c r="E3" s="25" t="n">
        <v>68.5</v>
      </c>
      <c r="F3" s="26" t="n">
        <v>30321209</v>
      </c>
    </row>
    <row r="4" customFormat="false" ht="15" hidden="false" customHeight="false" outlineLevel="0" collapsed="false">
      <c r="A4" s="24" t="n">
        <v>45772</v>
      </c>
      <c r="B4" s="25" t="n">
        <v>68.46</v>
      </c>
      <c r="C4" s="25" t="n">
        <v>68.94</v>
      </c>
      <c r="D4" s="25" t="n">
        <v>67.64</v>
      </c>
      <c r="E4" s="25" t="n">
        <v>68.29</v>
      </c>
      <c r="F4" s="26" t="n">
        <v>37053243</v>
      </c>
      <c r="G4" s="27" t="n">
        <f aca="false">E4-E3</f>
        <v>-0.209999999999994</v>
      </c>
      <c r="H4" s="28" t="n">
        <f aca="false">G4/E3</f>
        <v>-0.00306569343065684</v>
      </c>
      <c r="I4" s="29" t="n">
        <f aca="false">MAX(G4,0)</f>
        <v>0</v>
      </c>
      <c r="J4" s="29" t="n">
        <f aca="false">MAX(-G4,0)</f>
        <v>0.209999999999994</v>
      </c>
    </row>
    <row r="5" customFormat="false" ht="15" hidden="false" customHeight="false" outlineLevel="0" collapsed="false">
      <c r="A5" s="24" t="n">
        <v>45775</v>
      </c>
      <c r="B5" s="25" t="n">
        <v>68.85</v>
      </c>
      <c r="C5" s="25" t="n">
        <v>68.85</v>
      </c>
      <c r="D5" s="25" t="n">
        <v>68.67</v>
      </c>
      <c r="E5" s="25" t="n">
        <v>68.76</v>
      </c>
      <c r="F5" s="26" t="n">
        <v>16123859</v>
      </c>
      <c r="G5" s="27" t="n">
        <f aca="false">E5-E4</f>
        <v>0.469999999999999</v>
      </c>
      <c r="H5" s="28" t="n">
        <f aca="false">G5/E4</f>
        <v>0.00688241323766289</v>
      </c>
      <c r="I5" s="29" t="n">
        <f aca="false">MAX(G5,0)</f>
        <v>0.469999999999999</v>
      </c>
      <c r="J5" s="29" t="n">
        <f aca="false">MAX(-G5,0)</f>
        <v>0</v>
      </c>
    </row>
    <row r="6" customFormat="false" ht="15" hidden="false" customHeight="false" outlineLevel="0" collapsed="false">
      <c r="A6" s="24" t="n">
        <v>45776</v>
      </c>
      <c r="B6" s="25" t="n">
        <v>68.21</v>
      </c>
      <c r="C6" s="25" t="n">
        <v>68.91</v>
      </c>
      <c r="D6" s="25" t="n">
        <v>67.85</v>
      </c>
      <c r="E6" s="25" t="n">
        <v>68.38</v>
      </c>
      <c r="F6" s="26" t="n">
        <v>39432982</v>
      </c>
      <c r="G6" s="27" t="n">
        <f aca="false">E6-E5</f>
        <v>-0.38000000000001</v>
      </c>
      <c r="H6" s="28" t="n">
        <f aca="false">G6/E5</f>
        <v>-0.00552646887725436</v>
      </c>
      <c r="I6" s="29" t="n">
        <f aca="false">MAX(G6,0)</f>
        <v>0</v>
      </c>
      <c r="J6" s="29" t="n">
        <f aca="false">MAX(-G6,0)</f>
        <v>0.38000000000001</v>
      </c>
    </row>
    <row r="7" customFormat="false" ht="15" hidden="false" customHeight="false" outlineLevel="0" collapsed="false">
      <c r="A7" s="24" t="n">
        <v>45777</v>
      </c>
      <c r="B7" s="25" t="n">
        <v>69.11</v>
      </c>
      <c r="C7" s="25" t="n">
        <v>69.11</v>
      </c>
      <c r="D7" s="25" t="n">
        <v>68.79</v>
      </c>
      <c r="E7" s="25" t="n">
        <v>68.95</v>
      </c>
      <c r="F7" s="26" t="n">
        <v>20332588</v>
      </c>
      <c r="G7" s="27" t="n">
        <f aca="false">E7-E6</f>
        <v>0.570000000000007</v>
      </c>
      <c r="H7" s="28" t="n">
        <f aca="false">G7/E6</f>
        <v>0.00833577069318525</v>
      </c>
      <c r="I7" s="29" t="n">
        <f aca="false">MAX(G7,0)</f>
        <v>0.570000000000007</v>
      </c>
      <c r="J7" s="29" t="n">
        <f aca="false">MAX(-G7,0)</f>
        <v>0</v>
      </c>
    </row>
    <row r="8" customFormat="false" ht="15" hidden="false" customHeight="false" outlineLevel="0" collapsed="false">
      <c r="A8" s="24" t="n">
        <v>45778</v>
      </c>
      <c r="B8" s="25" t="n">
        <v>68.83</v>
      </c>
      <c r="C8" s="25" t="n">
        <v>70.16</v>
      </c>
      <c r="D8" s="25" t="n">
        <v>68.6</v>
      </c>
      <c r="E8" s="25" t="n">
        <v>69.38</v>
      </c>
      <c r="F8" s="26" t="n">
        <v>28231536</v>
      </c>
      <c r="G8" s="27" t="n">
        <f aca="false">E8-E7</f>
        <v>0.429999999999993</v>
      </c>
      <c r="H8" s="28" t="n">
        <f aca="false">G8/E7</f>
        <v>0.0062364031907178</v>
      </c>
      <c r="I8" s="29" t="n">
        <f aca="false">MAX(G8,0)</f>
        <v>0.429999999999993</v>
      </c>
      <c r="J8" s="29" t="n">
        <f aca="false">MAX(-G8,0)</f>
        <v>0</v>
      </c>
    </row>
    <row r="9" customFormat="false" ht="15" hidden="false" customHeight="false" outlineLevel="0" collapsed="false">
      <c r="A9" s="24" t="n">
        <v>45779</v>
      </c>
      <c r="B9" s="25" t="n">
        <v>69.64</v>
      </c>
      <c r="C9" s="25" t="n">
        <v>70.85</v>
      </c>
      <c r="D9" s="25" t="n">
        <v>69.11</v>
      </c>
      <c r="E9" s="25" t="n">
        <v>69.98</v>
      </c>
      <c r="F9" s="26" t="n">
        <v>41554942</v>
      </c>
      <c r="G9" s="27" t="n">
        <f aca="false">E9-E8</f>
        <v>0.600000000000009</v>
      </c>
      <c r="H9" s="28" t="n">
        <f aca="false">G9/E8</f>
        <v>0.0086480253675412</v>
      </c>
      <c r="I9" s="29" t="n">
        <f aca="false">MAX(G9,0)</f>
        <v>0.600000000000009</v>
      </c>
      <c r="J9" s="29" t="n">
        <f aca="false">MAX(-G9,0)</f>
        <v>0</v>
      </c>
    </row>
    <row r="10" customFormat="false" ht="15" hidden="false" customHeight="false" outlineLevel="0" collapsed="false">
      <c r="A10" s="24" t="n">
        <v>45782</v>
      </c>
      <c r="B10" s="25" t="n">
        <v>71.12</v>
      </c>
      <c r="C10" s="25" t="n">
        <v>71.9</v>
      </c>
      <c r="D10" s="25" t="n">
        <v>71.12</v>
      </c>
      <c r="E10" s="25" t="n">
        <v>71.51</v>
      </c>
      <c r="F10" s="26" t="n">
        <v>24947233</v>
      </c>
      <c r="G10" s="27" t="n">
        <f aca="false">E10-E9</f>
        <v>1.53</v>
      </c>
      <c r="H10" s="28" t="n">
        <f aca="false">G10/E9</f>
        <v>0.0218633895398686</v>
      </c>
      <c r="I10" s="29" t="n">
        <f aca="false">MAX(G10,0)</f>
        <v>1.53</v>
      </c>
      <c r="J10" s="29" t="n">
        <f aca="false">MAX(-G10,0)</f>
        <v>0</v>
      </c>
    </row>
    <row r="11" customFormat="false" ht="15" hidden="false" customHeight="false" outlineLevel="0" collapsed="false">
      <c r="A11" s="24" t="n">
        <v>45783</v>
      </c>
      <c r="B11" s="25" t="n">
        <v>71.37</v>
      </c>
      <c r="C11" s="25" t="n">
        <v>71.47</v>
      </c>
      <c r="D11" s="25" t="n">
        <v>70.95</v>
      </c>
      <c r="E11" s="25" t="n">
        <v>71.21</v>
      </c>
      <c r="F11" s="26" t="n">
        <v>41191063</v>
      </c>
      <c r="G11" s="27" t="n">
        <f aca="false">E11-E10</f>
        <v>-0.300000000000011</v>
      </c>
      <c r="H11" s="28" t="n">
        <f aca="false">G11/E10</f>
        <v>-0.00419521745210476</v>
      </c>
      <c r="I11" s="29" t="n">
        <f aca="false">MAX(G11,0)</f>
        <v>0</v>
      </c>
      <c r="J11" s="29" t="n">
        <f aca="false">MAX(-G11,0)</f>
        <v>0.300000000000011</v>
      </c>
    </row>
    <row r="12" customFormat="false" ht="15" hidden="false" customHeight="false" outlineLevel="0" collapsed="false">
      <c r="A12" s="24" t="n">
        <v>45784</v>
      </c>
      <c r="B12" s="25" t="n">
        <v>69.66</v>
      </c>
      <c r="C12" s="25" t="n">
        <v>69.81</v>
      </c>
      <c r="D12" s="25" t="n">
        <v>69.27</v>
      </c>
      <c r="E12" s="25" t="n">
        <v>69.54</v>
      </c>
      <c r="F12" s="26" t="n">
        <v>29445360</v>
      </c>
      <c r="G12" s="27" t="n">
        <f aca="false">E12-E11</f>
        <v>-1.66999999999999</v>
      </c>
      <c r="H12" s="28" t="n">
        <f aca="false">G12/E11</f>
        <v>-0.0234517623929222</v>
      </c>
      <c r="I12" s="29" t="n">
        <f aca="false">MAX(G12,0)</f>
        <v>0</v>
      </c>
      <c r="J12" s="29" t="n">
        <f aca="false">MAX(-G12,0)</f>
        <v>1.66999999999999</v>
      </c>
    </row>
    <row r="13" customFormat="false" ht="15" hidden="false" customHeight="false" outlineLevel="0" collapsed="false">
      <c r="A13" s="24" t="n">
        <v>45785</v>
      </c>
      <c r="B13" s="25" t="n">
        <v>69.67</v>
      </c>
      <c r="C13" s="25" t="n">
        <v>69.93</v>
      </c>
      <c r="D13" s="25" t="n">
        <v>69.01</v>
      </c>
      <c r="E13" s="25" t="n">
        <v>69.47</v>
      </c>
      <c r="F13" s="26" t="n">
        <v>33059588</v>
      </c>
      <c r="G13" s="27" t="n">
        <f aca="false">E13-E12</f>
        <v>-0.0700000000000074</v>
      </c>
      <c r="H13" s="28" t="n">
        <f aca="false">G13/E12</f>
        <v>-0.0010066148979006</v>
      </c>
      <c r="I13" s="29" t="n">
        <f aca="false">MAX(G13,0)</f>
        <v>0</v>
      </c>
      <c r="J13" s="29" t="n">
        <f aca="false">MAX(-G13,0)</f>
        <v>0.0700000000000074</v>
      </c>
    </row>
    <row r="14" customFormat="false" ht="15" hidden="false" customHeight="false" outlineLevel="0" collapsed="false">
      <c r="A14" s="24" t="n">
        <v>45786</v>
      </c>
      <c r="B14" s="25" t="n">
        <v>70.15</v>
      </c>
      <c r="C14" s="25" t="n">
        <v>70.59</v>
      </c>
      <c r="D14" s="25" t="n">
        <v>70.07</v>
      </c>
      <c r="E14" s="25" t="n">
        <v>70.33</v>
      </c>
      <c r="F14" s="26" t="n">
        <v>37687328</v>
      </c>
      <c r="G14" s="27" t="n">
        <f aca="false">E14-E13</f>
        <v>0.859999999999999</v>
      </c>
      <c r="H14" s="28" t="n">
        <f aca="false">G14/E13</f>
        <v>0.0123794443644739</v>
      </c>
      <c r="I14" s="29" t="n">
        <f aca="false">MAX(G14,0)</f>
        <v>0.859999999999999</v>
      </c>
      <c r="J14" s="29" t="n">
        <f aca="false">MAX(-G14,0)</f>
        <v>0</v>
      </c>
      <c r="Q14" s="30" t="n">
        <f aca="false">AVERAGE(E3:E14)</f>
        <v>69.525</v>
      </c>
    </row>
    <row r="15" customFormat="false" ht="15" hidden="false" customHeight="false" outlineLevel="0" collapsed="false">
      <c r="A15" s="24" t="n">
        <v>45789</v>
      </c>
      <c r="B15" s="25" t="n">
        <v>70.27</v>
      </c>
      <c r="C15" s="25" t="n">
        <v>70.45</v>
      </c>
      <c r="D15" s="25" t="n">
        <v>70.27</v>
      </c>
      <c r="E15" s="25" t="n">
        <v>70.36</v>
      </c>
      <c r="F15" s="26" t="n">
        <v>21289255</v>
      </c>
      <c r="G15" s="27" t="n">
        <f aca="false">E15-E14</f>
        <v>0.0300000000000011</v>
      </c>
      <c r="H15" s="28" t="n">
        <f aca="false">G15/E14</f>
        <v>0.00042656050049767</v>
      </c>
      <c r="I15" s="29" t="n">
        <f aca="false">MAX(G15,0)</f>
        <v>0.0300000000000011</v>
      </c>
      <c r="J15" s="29" t="n">
        <f aca="false">MAX(-G15,0)</f>
        <v>0</v>
      </c>
      <c r="Q15" s="30" t="n">
        <f aca="false">Q14+(2/13)*(E15-Q14)</f>
        <v>69.6534615384615</v>
      </c>
    </row>
    <row r="16" customFormat="false" ht="15" hidden="false" customHeight="false" outlineLevel="0" collapsed="false">
      <c r="A16" s="24" t="n">
        <v>45790</v>
      </c>
      <c r="B16" s="25" t="n">
        <v>70.68</v>
      </c>
      <c r="C16" s="25" t="n">
        <v>70.89</v>
      </c>
      <c r="D16" s="25" t="n">
        <v>70.51</v>
      </c>
      <c r="E16" s="25" t="n">
        <v>70.7</v>
      </c>
      <c r="F16" s="26" t="n">
        <v>24363755</v>
      </c>
      <c r="G16" s="27" t="n">
        <f aca="false">E16-E15</f>
        <v>0.340000000000003</v>
      </c>
      <c r="H16" s="28" t="n">
        <f aca="false">G16/E15</f>
        <v>0.00483229107447418</v>
      </c>
      <c r="I16" s="29" t="n">
        <f aca="false">MAX(G16,0)</f>
        <v>0.340000000000003</v>
      </c>
      <c r="J16" s="29" t="n">
        <f aca="false">MAX(-G16,0)</f>
        <v>0</v>
      </c>
      <c r="Q16" s="30" t="n">
        <f aca="false">Q15+(2/13)*(E16-Q15)</f>
        <v>69.8144674556213</v>
      </c>
    </row>
    <row r="17" customFormat="false" ht="15" hidden="false" customHeight="false" outlineLevel="0" collapsed="false">
      <c r="A17" s="24" t="n">
        <v>45791</v>
      </c>
      <c r="B17" s="25" t="n">
        <v>69</v>
      </c>
      <c r="C17" s="25" t="n">
        <v>69</v>
      </c>
      <c r="D17" s="25" t="n">
        <v>68.8</v>
      </c>
      <c r="E17" s="25" t="n">
        <v>68.9</v>
      </c>
      <c r="F17" s="26" t="n">
        <v>32282456</v>
      </c>
      <c r="G17" s="27" t="n">
        <f aca="false">E17-E16</f>
        <v>-1.8</v>
      </c>
      <c r="H17" s="28" t="n">
        <f aca="false">G17/E16</f>
        <v>-0.0254596888260254</v>
      </c>
      <c r="I17" s="29" t="n">
        <f aca="false">MAX(G17,0)</f>
        <v>0</v>
      </c>
      <c r="J17" s="29" t="n">
        <f aca="false">MAX(-G17,0)</f>
        <v>1.8</v>
      </c>
      <c r="K17" s="29" t="n">
        <f aca="false">AVERAGE(I4:I17)</f>
        <v>0.345000000000001</v>
      </c>
      <c r="L17" s="29" t="n">
        <f aca="false">AVERAGE(J4:J17)</f>
        <v>0.316428571428572</v>
      </c>
      <c r="M17" s="31" t="n">
        <f aca="false">IF(L17=0,100,100-100/(1+K17/MAX(L17,0.000001)))</f>
        <v>52.1598272138229</v>
      </c>
      <c r="Q17" s="30" t="n">
        <f aca="false">Q16+(2/13)*(E17-Q16)</f>
        <v>69.6737801547565</v>
      </c>
      <c r="V17" s="32" t="str">
        <f aca="false">IF(M17="","",IF(M17&lt;Assumptions!$B$5,"BUY",IF(M17&gt;Assumptions!$B$4,"SELL","HOLD")))</f>
        <v>HOLD</v>
      </c>
    </row>
    <row r="18" customFormat="false" ht="15" hidden="false" customHeight="false" outlineLevel="0" collapsed="false">
      <c r="A18" s="24" t="n">
        <v>45792</v>
      </c>
      <c r="B18" s="25" t="n">
        <v>67.59</v>
      </c>
      <c r="C18" s="25" t="n">
        <v>68.66</v>
      </c>
      <c r="D18" s="25" t="n">
        <v>67.44</v>
      </c>
      <c r="E18" s="25" t="n">
        <v>68.05</v>
      </c>
      <c r="F18" s="26" t="n">
        <v>25972476</v>
      </c>
      <c r="G18" s="27" t="n">
        <f aca="false">E18-E17</f>
        <v>-0.850000000000009</v>
      </c>
      <c r="H18" s="28" t="n">
        <f aca="false">G18/E17</f>
        <v>-0.0123367198838898</v>
      </c>
      <c r="I18" s="29" t="n">
        <f aca="false">MAX(G18,0)</f>
        <v>0</v>
      </c>
      <c r="J18" s="29" t="n">
        <f aca="false">MAX(-G18,0)</f>
        <v>0.850000000000009</v>
      </c>
      <c r="K18" s="29" t="n">
        <f aca="false">(K17*13+I18)/14</f>
        <v>0.320357142857144</v>
      </c>
      <c r="L18" s="29" t="n">
        <f aca="false">(L17*13+J18)/14</f>
        <v>0.354540816326532</v>
      </c>
      <c r="M18" s="31" t="n">
        <f aca="false">IF(L18=0,100,100-100/(1+K18/MAX(L18,0.000001)))</f>
        <v>47.4674931962504</v>
      </c>
      <c r="Q18" s="30" t="n">
        <f aca="false">Q17+(2/13)*(E18-Q17)</f>
        <v>69.4239678232555</v>
      </c>
      <c r="V18" s="32" t="str">
        <f aca="false">IF(M18="","",IF(M18&lt;Assumptions!$B$5,"BUY",IF(M18&gt;Assumptions!$B$4,"SELL","HOLD")))</f>
        <v>HOLD</v>
      </c>
    </row>
    <row r="19" customFormat="false" ht="15" hidden="false" customHeight="false" outlineLevel="0" collapsed="false">
      <c r="A19" s="24" t="n">
        <v>45793</v>
      </c>
      <c r="B19" s="25" t="n">
        <v>68.81</v>
      </c>
      <c r="C19" s="25" t="n">
        <v>69.09</v>
      </c>
      <c r="D19" s="25" t="n">
        <v>68.13</v>
      </c>
      <c r="E19" s="25" t="n">
        <v>68.61</v>
      </c>
      <c r="F19" s="26" t="n">
        <v>19055706</v>
      </c>
      <c r="G19" s="27" t="n">
        <f aca="false">E19-E18</f>
        <v>0.560000000000002</v>
      </c>
      <c r="H19" s="28" t="n">
        <f aca="false">G19/E18</f>
        <v>0.00822924320352685</v>
      </c>
      <c r="I19" s="29" t="n">
        <f aca="false">MAX(G19,0)</f>
        <v>0.560000000000002</v>
      </c>
      <c r="J19" s="29" t="n">
        <f aca="false">MAX(-G19,0)</f>
        <v>0</v>
      </c>
      <c r="K19" s="29" t="n">
        <f aca="false">(K18*13+I19)/14</f>
        <v>0.337474489795919</v>
      </c>
      <c r="L19" s="29" t="n">
        <f aca="false">(L18*13+J19)/14</f>
        <v>0.329216472303208</v>
      </c>
      <c r="M19" s="31" t="n">
        <f aca="false">IF(L19=0,100,100-100/(1+K19/MAX(L19,0.000001)))</f>
        <v>50.6193287416639</v>
      </c>
      <c r="Q19" s="30" t="n">
        <f aca="false">Q18+(2/13)*(E19-Q18)</f>
        <v>69.2987420042931</v>
      </c>
      <c r="V19" s="32" t="str">
        <f aca="false">IF(M19="","",IF(M19&lt;Assumptions!$B$5,"BUY",IF(M19&gt;Assumptions!$B$4,"SELL","HOLD")))</f>
        <v>HOLD</v>
      </c>
    </row>
    <row r="20" customFormat="false" ht="15" hidden="false" customHeight="false" outlineLevel="0" collapsed="false">
      <c r="A20" s="24" t="n">
        <v>45796</v>
      </c>
      <c r="B20" s="25" t="n">
        <v>69.69</v>
      </c>
      <c r="C20" s="25" t="n">
        <v>69.73</v>
      </c>
      <c r="D20" s="25" t="n">
        <v>69.11</v>
      </c>
      <c r="E20" s="25" t="n">
        <v>69.42</v>
      </c>
      <c r="F20" s="26" t="n">
        <v>23140500</v>
      </c>
      <c r="G20" s="27" t="n">
        <f aca="false">E20-E19</f>
        <v>0.810000000000002</v>
      </c>
      <c r="H20" s="28" t="n">
        <f aca="false">G20/E19</f>
        <v>0.0118058592041977</v>
      </c>
      <c r="I20" s="29" t="n">
        <f aca="false">MAX(G20,0)</f>
        <v>0.810000000000002</v>
      </c>
      <c r="J20" s="29" t="n">
        <f aca="false">MAX(-G20,0)</f>
        <v>0</v>
      </c>
      <c r="K20" s="29" t="n">
        <f aca="false">(K19*13+I20)/14</f>
        <v>0.371226311953354</v>
      </c>
      <c r="L20" s="29" t="n">
        <f aca="false">(L19*13+J20)/14</f>
        <v>0.305701009995836</v>
      </c>
      <c r="M20" s="31" t="n">
        <f aca="false">IF(L20=0,100,100-100/(1+K20/MAX(L20,0.000001)))</f>
        <v>54.8399067250558</v>
      </c>
      <c r="Q20" s="30" t="n">
        <f aca="false">Q19+(2/13)*(E20-Q19)</f>
        <v>69.3173970805557</v>
      </c>
      <c r="V20" s="32" t="str">
        <f aca="false">IF(M20="","",IF(M20&lt;Assumptions!$B$5,"BUY",IF(M20&gt;Assumptions!$B$4,"SELL","HOLD")))</f>
        <v>HOLD</v>
      </c>
    </row>
    <row r="21" customFormat="false" ht="15" hidden="false" customHeight="false" outlineLevel="0" collapsed="false">
      <c r="A21" s="24" t="n">
        <v>45797</v>
      </c>
      <c r="B21" s="25" t="n">
        <v>68.69</v>
      </c>
      <c r="C21" s="25" t="n">
        <v>68.92</v>
      </c>
      <c r="D21" s="25" t="n">
        <v>68.38</v>
      </c>
      <c r="E21" s="25" t="n">
        <v>68.65</v>
      </c>
      <c r="F21" s="26" t="n">
        <v>23970658</v>
      </c>
      <c r="G21" s="27" t="n">
        <f aca="false">E21-E20</f>
        <v>-0.769999999999996</v>
      </c>
      <c r="H21" s="28" t="n">
        <f aca="false">G21/E20</f>
        <v>-0.0110919043503313</v>
      </c>
      <c r="I21" s="29" t="n">
        <f aca="false">MAX(G21,0)</f>
        <v>0</v>
      </c>
      <c r="J21" s="29" t="n">
        <f aca="false">MAX(-G21,0)</f>
        <v>0.769999999999996</v>
      </c>
      <c r="K21" s="29" t="n">
        <f aca="false">(K20*13+I21)/14</f>
        <v>0.344710146813829</v>
      </c>
      <c r="L21" s="29" t="n">
        <f aca="false">(L20*13+J21)/14</f>
        <v>0.338865223567562</v>
      </c>
      <c r="M21" s="31" t="n">
        <f aca="false">IF(L21=0,100,100-100/(1+K21/MAX(L21,0.000001)))</f>
        <v>50.4275258807969</v>
      </c>
      <c r="Q21" s="30" t="n">
        <f aca="false">Q20+(2/13)*(E21-Q20)</f>
        <v>69.2147206066241</v>
      </c>
      <c r="V21" s="32" t="str">
        <f aca="false">IF(M21="","",IF(M21&lt;Assumptions!$B$5,"BUY",IF(M21&gt;Assumptions!$B$4,"SELL","HOLD")))</f>
        <v>HOLD</v>
      </c>
    </row>
    <row r="22" customFormat="false" ht="15" hidden="false" customHeight="false" outlineLevel="0" collapsed="false">
      <c r="A22" s="24" t="n">
        <v>45798</v>
      </c>
      <c r="B22" s="25" t="n">
        <v>68.99</v>
      </c>
      <c r="C22" s="25" t="n">
        <v>69.09</v>
      </c>
      <c r="D22" s="25" t="n">
        <v>68.99</v>
      </c>
      <c r="E22" s="25" t="n">
        <v>69.04</v>
      </c>
      <c r="F22" s="26" t="n">
        <v>39885351</v>
      </c>
      <c r="G22" s="27" t="n">
        <f aca="false">E22-E21</f>
        <v>0.390000000000001</v>
      </c>
      <c r="H22" s="28" t="n">
        <f aca="false">G22/E21</f>
        <v>0.00568099053168246</v>
      </c>
      <c r="I22" s="29" t="n">
        <f aca="false">MAX(G22,0)</f>
        <v>0.390000000000001</v>
      </c>
      <c r="J22" s="29" t="n">
        <f aca="false">MAX(-G22,0)</f>
        <v>0</v>
      </c>
      <c r="K22" s="29" t="n">
        <f aca="false">(K21*13+I22)/14</f>
        <v>0.347945136327127</v>
      </c>
      <c r="L22" s="29" t="n">
        <f aca="false">(L21*13+J22)/14</f>
        <v>0.314660564741307</v>
      </c>
      <c r="M22" s="31" t="n">
        <f aca="false">IF(L22=0,100,100-100/(1+K22/MAX(L22,0.000001)))</f>
        <v>52.5116424090639</v>
      </c>
      <c r="N22" s="30" t="n">
        <f aca="false">AVERAGE(E3:E22)</f>
        <v>69.4015</v>
      </c>
      <c r="Q22" s="30" t="n">
        <f aca="false">Q21+(2/13)*(E22-Q21)</f>
        <v>69.1878405132973</v>
      </c>
      <c r="V22" s="32" t="str">
        <f aca="false">IF(M22="","",IF(M22&lt;Assumptions!$B$5,"BUY",IF(M22&gt;Assumptions!$B$4,"SELL","HOLD")))</f>
        <v>HOLD</v>
      </c>
    </row>
    <row r="23" customFormat="false" ht="15" hidden="false" customHeight="false" outlineLevel="0" collapsed="false">
      <c r="A23" s="24" t="n">
        <v>45799</v>
      </c>
      <c r="B23" s="25" t="n">
        <v>68.53</v>
      </c>
      <c r="C23" s="25" t="n">
        <v>68.53</v>
      </c>
      <c r="D23" s="25" t="n">
        <v>68.09</v>
      </c>
      <c r="E23" s="25" t="n">
        <v>68.31</v>
      </c>
      <c r="F23" s="26" t="n">
        <v>20369526</v>
      </c>
      <c r="G23" s="27" t="n">
        <f aca="false">E23-E22</f>
        <v>-0.730000000000004</v>
      </c>
      <c r="H23" s="28" t="n">
        <f aca="false">G23/E22</f>
        <v>-0.0105735805330244</v>
      </c>
      <c r="I23" s="29" t="n">
        <f aca="false">MAX(G23,0)</f>
        <v>0</v>
      </c>
      <c r="J23" s="29" t="n">
        <f aca="false">MAX(-G23,0)</f>
        <v>0.730000000000004</v>
      </c>
      <c r="K23" s="29" t="n">
        <f aca="false">(K22*13+I23)/14</f>
        <v>0.32309191230376</v>
      </c>
      <c r="L23" s="29" t="n">
        <f aca="false">(L22*13+J23)/14</f>
        <v>0.344327667259786</v>
      </c>
      <c r="M23" s="31" t="n">
        <f aca="false">IF(L23=0,100,100-100/(1+K23/MAX(L23,0.000001)))</f>
        <v>48.4091150749644</v>
      </c>
      <c r="N23" s="30" t="n">
        <f aca="false">AVERAGE(E4:E23)</f>
        <v>69.392</v>
      </c>
      <c r="Q23" s="30" t="n">
        <f aca="false">Q22+(2/13)*(E23-Q22)</f>
        <v>69.0527881266362</v>
      </c>
      <c r="V23" s="32" t="str">
        <f aca="false">IF(M23="","",IF(M23&lt;Assumptions!$B$5,"BUY",IF(M23&gt;Assumptions!$B$4,"SELL","HOLD")))</f>
        <v>HOLD</v>
      </c>
    </row>
    <row r="24" customFormat="false" ht="15" hidden="false" customHeight="false" outlineLevel="0" collapsed="false">
      <c r="A24" s="24" t="n">
        <v>45800</v>
      </c>
      <c r="B24" s="25" t="n">
        <v>67.06</v>
      </c>
      <c r="C24" s="25" t="n">
        <v>67.37</v>
      </c>
      <c r="D24" s="25" t="n">
        <v>66.93</v>
      </c>
      <c r="E24" s="25" t="n">
        <v>67.15</v>
      </c>
      <c r="F24" s="26" t="n">
        <v>17461078</v>
      </c>
      <c r="G24" s="27" t="n">
        <f aca="false">E24-E23</f>
        <v>-1.16</v>
      </c>
      <c r="H24" s="28" t="n">
        <f aca="false">G24/E23</f>
        <v>-0.0169814082857561</v>
      </c>
      <c r="I24" s="29" t="n">
        <f aca="false">MAX(G24,0)</f>
        <v>0</v>
      </c>
      <c r="J24" s="29" t="n">
        <f aca="false">MAX(-G24,0)</f>
        <v>1.16</v>
      </c>
      <c r="K24" s="29" t="n">
        <f aca="false">(K23*13+I24)/14</f>
        <v>0.300013918567778</v>
      </c>
      <c r="L24" s="29" t="n">
        <f aca="false">(L23*13+J24)/14</f>
        <v>0.402589976741229</v>
      </c>
      <c r="M24" s="31" t="n">
        <f aca="false">IF(L24=0,100,100-100/(1+K24/MAX(L24,0.000001)))</f>
        <v>42.7002925219808</v>
      </c>
      <c r="N24" s="30" t="n">
        <f aca="false">AVERAGE(E5:E24)</f>
        <v>69.335</v>
      </c>
      <c r="Q24" s="30" t="n">
        <f aca="false">Q23+(2/13)*(E24-Q23)</f>
        <v>68.7600514917691</v>
      </c>
      <c r="V24" s="32" t="str">
        <f aca="false">IF(M24="","",IF(M24&lt;Assumptions!$B$5,"BUY",IF(M24&gt;Assumptions!$B$4,"SELL","HOLD")))</f>
        <v>HOLD</v>
      </c>
    </row>
    <row r="25" customFormat="false" ht="15" hidden="false" customHeight="false" outlineLevel="0" collapsed="false">
      <c r="A25" s="24" t="n">
        <v>45803</v>
      </c>
      <c r="B25" s="25" t="n">
        <v>67.42</v>
      </c>
      <c r="C25" s="25" t="n">
        <v>67.5</v>
      </c>
      <c r="D25" s="25" t="n">
        <v>66.96</v>
      </c>
      <c r="E25" s="25" t="n">
        <v>67.23</v>
      </c>
      <c r="F25" s="26" t="n">
        <v>20510077</v>
      </c>
      <c r="G25" s="27" t="n">
        <f aca="false">E25-E24</f>
        <v>0.0799999999999983</v>
      </c>
      <c r="H25" s="28" t="n">
        <f aca="false">G25/E24</f>
        <v>0.00119136262099774</v>
      </c>
      <c r="I25" s="29" t="n">
        <f aca="false">MAX(G25,0)</f>
        <v>0.0799999999999983</v>
      </c>
      <c r="J25" s="29" t="n">
        <f aca="false">MAX(-G25,0)</f>
        <v>0</v>
      </c>
      <c r="K25" s="29" t="n">
        <f aca="false">(K24*13+I25)/14</f>
        <v>0.284298638670079</v>
      </c>
      <c r="L25" s="29" t="n">
        <f aca="false">(L24*13+J25)/14</f>
        <v>0.373833549831141</v>
      </c>
      <c r="M25" s="31" t="n">
        <f aca="false">IF(L25=0,100,100-100/(1+K25/MAX(L25,0.000001)))</f>
        <v>43.1978018454801</v>
      </c>
      <c r="N25" s="30" t="n">
        <f aca="false">AVERAGE(E6:E25)</f>
        <v>69.2585</v>
      </c>
      <c r="Q25" s="30" t="n">
        <f aca="false">Q24+(2/13)*(E25-Q24)</f>
        <v>68.5246589545738</v>
      </c>
      <c r="V25" s="32" t="str">
        <f aca="false">IF(M25="","",IF(M25&lt;Assumptions!$B$5,"BUY",IF(M25&gt;Assumptions!$B$4,"SELL","HOLD")))</f>
        <v>HOLD</v>
      </c>
    </row>
    <row r="26" customFormat="false" ht="15" hidden="false" customHeight="false" outlineLevel="0" collapsed="false">
      <c r="A26" s="24" t="n">
        <v>45804</v>
      </c>
      <c r="B26" s="25" t="n">
        <v>67.56</v>
      </c>
      <c r="C26" s="25" t="n">
        <v>67.59</v>
      </c>
      <c r="D26" s="25" t="n">
        <v>67.33</v>
      </c>
      <c r="E26" s="25" t="n">
        <v>67.46</v>
      </c>
      <c r="F26" s="26" t="n">
        <v>18414842</v>
      </c>
      <c r="G26" s="27" t="n">
        <f aca="false">E26-E25</f>
        <v>0.22999999999999</v>
      </c>
      <c r="H26" s="28" t="n">
        <f aca="false">G26/E25</f>
        <v>0.00342109177450528</v>
      </c>
      <c r="I26" s="29" t="n">
        <f aca="false">MAX(G26,0)</f>
        <v>0.22999999999999</v>
      </c>
      <c r="J26" s="29" t="n">
        <f aca="false">MAX(-G26,0)</f>
        <v>0</v>
      </c>
      <c r="K26" s="29" t="n">
        <f aca="false">(K25*13+I26)/14</f>
        <v>0.280420164479358</v>
      </c>
      <c r="L26" s="29" t="n">
        <f aca="false">(L25*13+J26)/14</f>
        <v>0.347131153414631</v>
      </c>
      <c r="M26" s="31" t="n">
        <f aca="false">IF(L26=0,100,100-100/(1+K26/MAX(L26,0.000001)))</f>
        <v>44.6848180353481</v>
      </c>
      <c r="N26" s="30" t="n">
        <f aca="false">AVERAGE(E7:E26)</f>
        <v>69.2125</v>
      </c>
      <c r="Q26" s="30" t="n">
        <f aca="false">Q25+(2/13)*(E26-Q25)</f>
        <v>68.3608652692548</v>
      </c>
      <c r="V26" s="32" t="str">
        <f aca="false">IF(M26="","",IF(M26&lt;Assumptions!$B$5,"BUY",IF(M26&gt;Assumptions!$B$4,"SELL","HOLD")))</f>
        <v>HOLD</v>
      </c>
    </row>
    <row r="27" customFormat="false" ht="15" hidden="false" customHeight="false" outlineLevel="0" collapsed="false">
      <c r="A27" s="24" t="n">
        <v>45805</v>
      </c>
      <c r="B27" s="25" t="n">
        <v>68.04</v>
      </c>
      <c r="C27" s="25" t="n">
        <v>68.04</v>
      </c>
      <c r="D27" s="25" t="n">
        <v>67.7</v>
      </c>
      <c r="E27" s="25" t="n">
        <v>67.87</v>
      </c>
      <c r="F27" s="26" t="n">
        <v>18467457</v>
      </c>
      <c r="G27" s="27" t="n">
        <f aca="false">E27-E26</f>
        <v>0.410000000000011</v>
      </c>
      <c r="H27" s="28" t="n">
        <f aca="false">G27/E26</f>
        <v>0.00607767565965032</v>
      </c>
      <c r="I27" s="29" t="n">
        <f aca="false">MAX(G27,0)</f>
        <v>0.410000000000011</v>
      </c>
      <c r="J27" s="29" t="n">
        <f aca="false">MAX(-G27,0)</f>
        <v>0</v>
      </c>
      <c r="K27" s="29" t="n">
        <f aca="false">(K26*13+I27)/14</f>
        <v>0.289675867016548</v>
      </c>
      <c r="L27" s="29" t="n">
        <f aca="false">(L26*13+J27)/14</f>
        <v>0.322336071027872</v>
      </c>
      <c r="M27" s="31" t="n">
        <f aca="false">IF(L27=0,100,100-100/(1+K27/MAX(L27,0.000001)))</f>
        <v>47.3317347276195</v>
      </c>
      <c r="N27" s="30" t="n">
        <f aca="false">AVERAGE(E8:E27)</f>
        <v>69.1585</v>
      </c>
      <c r="Q27" s="30" t="n">
        <f aca="false">Q26+(2/13)*(E27-Q26)</f>
        <v>68.2853475355233</v>
      </c>
      <c r="V27" s="32" t="str">
        <f aca="false">IF(M27="","",IF(M27&lt;Assumptions!$B$5,"BUY",IF(M27&gt;Assumptions!$B$4,"SELL","HOLD")))</f>
        <v>HOLD</v>
      </c>
    </row>
    <row r="28" customFormat="false" ht="15" hidden="false" customHeight="false" outlineLevel="0" collapsed="false">
      <c r="A28" s="24" t="n">
        <v>45806</v>
      </c>
      <c r="B28" s="25" t="n">
        <v>68.83</v>
      </c>
      <c r="C28" s="25" t="n">
        <v>68.83</v>
      </c>
      <c r="D28" s="25" t="n">
        <v>68.41</v>
      </c>
      <c r="E28" s="25" t="n">
        <v>68.62</v>
      </c>
      <c r="F28" s="26" t="n">
        <v>6394245</v>
      </c>
      <c r="G28" s="27" t="n">
        <f aca="false">E28-E27</f>
        <v>0.75</v>
      </c>
      <c r="H28" s="28" t="n">
        <f aca="false">G28/E27</f>
        <v>0.0110505377928393</v>
      </c>
      <c r="I28" s="29" t="n">
        <f aca="false">MAX(G28,0)</f>
        <v>0.75</v>
      </c>
      <c r="J28" s="29" t="n">
        <f aca="false">MAX(-G28,0)</f>
        <v>0</v>
      </c>
      <c r="K28" s="29" t="n">
        <f aca="false">(K27*13+I28)/14</f>
        <v>0.322556162229652</v>
      </c>
      <c r="L28" s="29" t="n">
        <f aca="false">(L27*13+J28)/14</f>
        <v>0.299312065954453</v>
      </c>
      <c r="M28" s="31" t="n">
        <f aca="false">IF(L28=0,100,100-100/(1+K28/MAX(L28,0.000001)))</f>
        <v>51.8688924133553</v>
      </c>
      <c r="N28" s="30" t="n">
        <f aca="false">AVERAGE(E9:E28)</f>
        <v>69.1205</v>
      </c>
      <c r="Q28" s="30" t="n">
        <f aca="false">Q27+(2/13)*(E28-Q27)</f>
        <v>68.3368325300582</v>
      </c>
      <c r="R28" s="30" t="n">
        <f aca="false">AVERAGE(E3:E28)</f>
        <v>69.0257692307692</v>
      </c>
      <c r="S28" s="33" t="n">
        <f aca="false">Q28-R28</f>
        <v>-0.688936700711068</v>
      </c>
      <c r="V28" s="32" t="str">
        <f aca="false">IF(M28="","",IF(M28&lt;Assumptions!$B$5,"BUY",IF(M28&gt;Assumptions!$B$4,"SELL","HOLD")))</f>
        <v>HOLD</v>
      </c>
    </row>
    <row r="29" customFormat="false" ht="15" hidden="false" customHeight="false" outlineLevel="0" collapsed="false">
      <c r="A29" s="24" t="n">
        <v>45807</v>
      </c>
      <c r="B29" s="25" t="n">
        <v>70.88</v>
      </c>
      <c r="C29" s="25" t="n">
        <v>70.88</v>
      </c>
      <c r="D29" s="25" t="n">
        <v>69.88</v>
      </c>
      <c r="E29" s="25" t="n">
        <v>70.38</v>
      </c>
      <c r="F29" s="26" t="n">
        <v>21416455</v>
      </c>
      <c r="G29" s="27" t="n">
        <f aca="false">E29-E28</f>
        <v>1.75999999999999</v>
      </c>
      <c r="H29" s="28" t="n">
        <f aca="false">G29/E28</f>
        <v>0.0256484989798891</v>
      </c>
      <c r="I29" s="29" t="n">
        <f aca="false">MAX(G29,0)</f>
        <v>1.75999999999999</v>
      </c>
      <c r="J29" s="29" t="n">
        <f aca="false">MAX(-G29,0)</f>
        <v>0</v>
      </c>
      <c r="K29" s="29" t="n">
        <f aca="false">(K28*13+I29)/14</f>
        <v>0.42523072207039</v>
      </c>
      <c r="L29" s="29" t="n">
        <f aca="false">(L28*13+J29)/14</f>
        <v>0.277932632671992</v>
      </c>
      <c r="M29" s="31" t="n">
        <f aca="false">IF(L29=0,100,100-100/(1+K29/MAX(L29,0.000001)))</f>
        <v>60.4739594579957</v>
      </c>
      <c r="N29" s="30" t="n">
        <f aca="false">AVERAGE(E10:E29)</f>
        <v>69.1405</v>
      </c>
      <c r="Q29" s="30" t="n">
        <f aca="false">Q28+(2/13)*(E29-Q28)</f>
        <v>68.6511659869723</v>
      </c>
      <c r="R29" s="30" t="n">
        <f aca="false">R28+(2/27)*(E29-R28)</f>
        <v>69.1260826210826</v>
      </c>
      <c r="S29" s="33" t="n">
        <f aca="false">Q29-R29</f>
        <v>-0.474916634110329</v>
      </c>
      <c r="V29" s="32" t="str">
        <f aca="false">IF(M29="","",IF(M29&lt;Assumptions!$B$5,"BUY",IF(M29&gt;Assumptions!$B$4,"SELL","HOLD")))</f>
        <v>HOLD</v>
      </c>
    </row>
    <row r="30" customFormat="false" ht="15" hidden="false" customHeight="false" outlineLevel="0" collapsed="false">
      <c r="A30" s="24" t="n">
        <v>45810</v>
      </c>
      <c r="B30" s="25" t="n">
        <v>71.61</v>
      </c>
      <c r="C30" s="25" t="n">
        <v>71.61</v>
      </c>
      <c r="D30" s="25" t="n">
        <v>71.19</v>
      </c>
      <c r="E30" s="25" t="n">
        <v>71.4</v>
      </c>
      <c r="F30" s="26" t="n">
        <v>18725927</v>
      </c>
      <c r="G30" s="27" t="n">
        <f aca="false">E30-E29</f>
        <v>1.02000000000001</v>
      </c>
      <c r="H30" s="28" t="n">
        <f aca="false">G30/E29</f>
        <v>0.0144927536231886</v>
      </c>
      <c r="I30" s="29" t="n">
        <f aca="false">MAX(G30,0)</f>
        <v>1.02000000000001</v>
      </c>
      <c r="J30" s="29" t="n">
        <f aca="false">MAX(-G30,0)</f>
        <v>0</v>
      </c>
      <c r="K30" s="29" t="n">
        <f aca="false">(K29*13+I30)/14</f>
        <v>0.467714241922506</v>
      </c>
      <c r="L30" s="29" t="n">
        <f aca="false">(L29*13+J30)/14</f>
        <v>0.258080301766849</v>
      </c>
      <c r="M30" s="31" t="n">
        <f aca="false">IF(L30=0,100,100-100/(1+K30/MAX(L30,0.000001)))</f>
        <v>64.4416861478488</v>
      </c>
      <c r="N30" s="30" t="n">
        <f aca="false">AVERAGE(E11:E30)</f>
        <v>69.135</v>
      </c>
      <c r="Q30" s="30" t="n">
        <f aca="false">Q29+(2/13)*(E30-Q29)</f>
        <v>69.0740635274381</v>
      </c>
      <c r="R30" s="30" t="n">
        <f aca="false">R29+(2/27)*(E30-R29)</f>
        <v>69.2945209454469</v>
      </c>
      <c r="S30" s="33" t="n">
        <f aca="false">Q30-R30</f>
        <v>-0.220457418008778</v>
      </c>
      <c r="V30" s="32" t="str">
        <f aca="false">IF(M30="","",IF(M30&lt;Assumptions!$B$5,"BUY",IF(M30&gt;Assumptions!$B$4,"SELL","HOLD")))</f>
        <v>HOLD</v>
      </c>
    </row>
    <row r="31" customFormat="false" ht="15" hidden="false" customHeight="false" outlineLevel="0" collapsed="false">
      <c r="A31" s="24" t="n">
        <v>45811</v>
      </c>
      <c r="B31" s="25" t="n">
        <v>71.14</v>
      </c>
      <c r="C31" s="25" t="n">
        <v>71.27</v>
      </c>
      <c r="D31" s="25" t="n">
        <v>70.77</v>
      </c>
      <c r="E31" s="25" t="n">
        <v>71.02</v>
      </c>
      <c r="F31" s="26" t="n">
        <v>24336548</v>
      </c>
      <c r="G31" s="27" t="n">
        <f aca="false">E31-E30</f>
        <v>-0.38000000000001</v>
      </c>
      <c r="H31" s="28" t="n">
        <f aca="false">G31/E30</f>
        <v>-0.00532212885154075</v>
      </c>
      <c r="I31" s="29" t="n">
        <f aca="false">MAX(G31,0)</f>
        <v>0</v>
      </c>
      <c r="J31" s="29" t="n">
        <f aca="false">MAX(-G31,0)</f>
        <v>0.38000000000001</v>
      </c>
      <c r="K31" s="29" t="n">
        <f aca="false">(K30*13+I31)/14</f>
        <v>0.434306081785184</v>
      </c>
      <c r="L31" s="29" t="n">
        <f aca="false">(L30*13+J31)/14</f>
        <v>0.266788851640647</v>
      </c>
      <c r="M31" s="31" t="n">
        <f aca="false">IF(L31=0,100,100-100/(1+K31/MAX(L31,0.000001)))</f>
        <v>61.9468293206728</v>
      </c>
      <c r="N31" s="30" t="n">
        <f aca="false">AVERAGE(E12:E31)</f>
        <v>69.1255</v>
      </c>
      <c r="Q31" s="30" t="n">
        <f aca="false">Q30+(2/13)*(E31-Q30)</f>
        <v>69.3734383693707</v>
      </c>
      <c r="R31" s="30" t="n">
        <f aca="false">R30+(2/27)*(E31-R30)</f>
        <v>69.4223342087471</v>
      </c>
      <c r="S31" s="33" t="n">
        <f aca="false">Q31-R31</f>
        <v>-0.0488958393763994</v>
      </c>
      <c r="V31" s="32" t="str">
        <f aca="false">IF(M31="","",IF(M31&lt;Assumptions!$B$5,"BUY",IF(M31&gt;Assumptions!$B$4,"SELL","HOLD")))</f>
        <v>HOLD</v>
      </c>
    </row>
    <row r="32" customFormat="false" ht="15" hidden="false" customHeight="false" outlineLevel="0" collapsed="false">
      <c r="A32" s="24" t="n">
        <v>45812</v>
      </c>
      <c r="B32" s="25" t="n">
        <v>72</v>
      </c>
      <c r="C32" s="25" t="n">
        <v>72.27</v>
      </c>
      <c r="D32" s="25" t="n">
        <v>71.81</v>
      </c>
      <c r="E32" s="25" t="n">
        <v>72.04</v>
      </c>
      <c r="F32" s="26" t="n">
        <v>13378882</v>
      </c>
      <c r="G32" s="27" t="n">
        <f aca="false">E32-E31</f>
        <v>1.02000000000001</v>
      </c>
      <c r="H32" s="28" t="n">
        <f aca="false">G32/E31</f>
        <v>0.014362151506618</v>
      </c>
      <c r="I32" s="29" t="n">
        <f aca="false">MAX(G32,0)</f>
        <v>1.02000000000001</v>
      </c>
      <c r="J32" s="29" t="n">
        <f aca="false">MAX(-G32,0)</f>
        <v>0</v>
      </c>
      <c r="K32" s="29" t="n">
        <f aca="false">(K31*13+I32)/14</f>
        <v>0.476141361657672</v>
      </c>
      <c r="L32" s="29" t="n">
        <f aca="false">(L31*13+J32)/14</f>
        <v>0.247732505094886</v>
      </c>
      <c r="M32" s="31" t="n">
        <f aca="false">IF(L32=0,100,100-100/(1+K32/MAX(L32,0.000001)))</f>
        <v>65.7768409009896</v>
      </c>
      <c r="N32" s="30" t="n">
        <f aca="false">AVERAGE(E13:E32)</f>
        <v>69.2505</v>
      </c>
      <c r="Q32" s="30" t="n">
        <f aca="false">Q31+(2/13)*(E32-Q31)</f>
        <v>69.7836786202367</v>
      </c>
      <c r="R32" s="30" t="n">
        <f aca="false">R31+(2/27)*(E32-R31)</f>
        <v>69.6162353784695</v>
      </c>
      <c r="S32" s="33" t="n">
        <f aca="false">Q32-R32</f>
        <v>0.167443241767216</v>
      </c>
      <c r="V32" s="32" t="str">
        <f aca="false">IF(M32="","",IF(M32&lt;Assumptions!$B$5,"BUY",IF(M32&gt;Assumptions!$B$4,"SELL","HOLD")))</f>
        <v>HOLD</v>
      </c>
    </row>
    <row r="33" customFormat="false" ht="15" hidden="false" customHeight="false" outlineLevel="0" collapsed="false">
      <c r="A33" s="24" t="n">
        <v>45813</v>
      </c>
      <c r="B33" s="25" t="n">
        <v>70.68</v>
      </c>
      <c r="C33" s="25" t="n">
        <v>70.68</v>
      </c>
      <c r="D33" s="25" t="n">
        <v>70.28</v>
      </c>
      <c r="E33" s="25" t="n">
        <v>70.48</v>
      </c>
      <c r="F33" s="26" t="n">
        <v>23587301</v>
      </c>
      <c r="G33" s="27" t="n">
        <f aca="false">E33-E32</f>
        <v>-1.56</v>
      </c>
      <c r="H33" s="28" t="n">
        <f aca="false">G33/E32</f>
        <v>-0.0216546363131594</v>
      </c>
      <c r="I33" s="29" t="n">
        <f aca="false">MAX(G33,0)</f>
        <v>0</v>
      </c>
      <c r="J33" s="29" t="n">
        <f aca="false">MAX(-G33,0)</f>
        <v>1.56</v>
      </c>
      <c r="K33" s="29" t="n">
        <f aca="false">(K32*13+I33)/14</f>
        <v>0.442131264396409</v>
      </c>
      <c r="L33" s="29" t="n">
        <f aca="false">(L32*13+J33)/14</f>
        <v>0.341465897588109</v>
      </c>
      <c r="M33" s="31" t="n">
        <f aca="false">IF(L33=0,100,100-100/(1+K33/MAX(L33,0.000001)))</f>
        <v>56.423285566359</v>
      </c>
      <c r="N33" s="30" t="n">
        <f aca="false">AVERAGE(E14:E33)</f>
        <v>69.301</v>
      </c>
      <c r="Q33" s="30" t="n">
        <f aca="false">Q32+(2/13)*(E33-Q32)</f>
        <v>69.8908049863542</v>
      </c>
      <c r="R33" s="30" t="n">
        <f aca="false">R32+(2/27)*(E33-R32)</f>
        <v>69.6802179430273</v>
      </c>
      <c r="S33" s="33" t="n">
        <f aca="false">Q33-R33</f>
        <v>0.210587043326825</v>
      </c>
      <c r="V33" s="32" t="str">
        <f aca="false">IF(M33="","",IF(M33&lt;Assumptions!$B$5,"BUY",IF(M33&gt;Assumptions!$B$4,"SELL","HOLD")))</f>
        <v>HOLD</v>
      </c>
    </row>
    <row r="34" customFormat="false" ht="15" hidden="false" customHeight="false" outlineLevel="0" collapsed="false">
      <c r="A34" s="24" t="n">
        <v>45814</v>
      </c>
      <c r="B34" s="25" t="n">
        <v>70.68</v>
      </c>
      <c r="C34" s="25" t="n">
        <v>70.68</v>
      </c>
      <c r="D34" s="25" t="n">
        <v>70.5</v>
      </c>
      <c r="E34" s="25" t="n">
        <v>70.59</v>
      </c>
      <c r="F34" s="26" t="n">
        <v>20290429</v>
      </c>
      <c r="G34" s="27" t="n">
        <f aca="false">E34-E33</f>
        <v>0.109999999999999</v>
      </c>
      <c r="H34" s="28" t="n">
        <f aca="false">G34/E33</f>
        <v>0.00156072644721906</v>
      </c>
      <c r="I34" s="29" t="n">
        <f aca="false">MAX(G34,0)</f>
        <v>0.109999999999999</v>
      </c>
      <c r="J34" s="29" t="n">
        <f aca="false">MAX(-G34,0)</f>
        <v>0</v>
      </c>
      <c r="K34" s="29" t="n">
        <f aca="false">(K33*13+I34)/14</f>
        <v>0.418407602653809</v>
      </c>
      <c r="L34" s="29" t="n">
        <f aca="false">(L33*13+J34)/14</f>
        <v>0.317075476331815</v>
      </c>
      <c r="M34" s="31" t="n">
        <f aca="false">IF(L34=0,100,100-100/(1+K34/MAX(L34,0.000001)))</f>
        <v>56.8888142512912</v>
      </c>
      <c r="N34" s="30" t="n">
        <f aca="false">AVERAGE(E15:E34)</f>
        <v>69.314</v>
      </c>
      <c r="Q34" s="30" t="n">
        <f aca="false">Q33+(2/13)*(E34-Q33)</f>
        <v>69.998373449992</v>
      </c>
      <c r="R34" s="30" t="n">
        <f aca="false">R33+(2/27)*(E34-R33)</f>
        <v>69.7476092065068</v>
      </c>
      <c r="S34" s="33" t="n">
        <f aca="false">Q34-R34</f>
        <v>0.250764243485193</v>
      </c>
      <c r="V34" s="32" t="str">
        <f aca="false">IF(M34="","",IF(M34&lt;Assumptions!$B$5,"BUY",IF(M34&gt;Assumptions!$B$4,"SELL","HOLD")))</f>
        <v>HOLD</v>
      </c>
    </row>
    <row r="35" customFormat="false" ht="15" hidden="false" customHeight="false" outlineLevel="0" collapsed="false">
      <c r="A35" s="24" t="n">
        <v>45817</v>
      </c>
      <c r="B35" s="25" t="n">
        <v>71.7</v>
      </c>
      <c r="C35" s="25" t="n">
        <v>71.85</v>
      </c>
      <c r="D35" s="25" t="n">
        <v>71.59</v>
      </c>
      <c r="E35" s="25" t="n">
        <v>71.72</v>
      </c>
      <c r="F35" s="26" t="n">
        <v>37880101</v>
      </c>
      <c r="G35" s="27" t="n">
        <f aca="false">E35-E34</f>
        <v>1.13</v>
      </c>
      <c r="H35" s="28" t="n">
        <f aca="false">G35/E34</f>
        <v>0.0160079331350049</v>
      </c>
      <c r="I35" s="29" t="n">
        <f aca="false">MAX(G35,0)</f>
        <v>1.13</v>
      </c>
      <c r="J35" s="29" t="n">
        <f aca="false">MAX(-G35,0)</f>
        <v>0</v>
      </c>
      <c r="K35" s="29" t="n">
        <f aca="false">(K34*13+I35)/14</f>
        <v>0.469235631035679</v>
      </c>
      <c r="L35" s="29" t="n">
        <f aca="false">(L34*13+J35)/14</f>
        <v>0.2944272280224</v>
      </c>
      <c r="M35" s="31" t="n">
        <f aca="false">IF(L35=0,100,100-100/(1+K35/MAX(L35,0.000001)))</f>
        <v>61.4453911788307</v>
      </c>
      <c r="N35" s="30" t="n">
        <f aca="false">AVERAGE(E16:E35)</f>
        <v>69.382</v>
      </c>
      <c r="Q35" s="30" t="n">
        <f aca="false">Q34+(2/13)*(E35-Q34)</f>
        <v>70.2632390730701</v>
      </c>
      <c r="R35" s="30" t="n">
        <f aca="false">R34+(2/27)*(E35-R34)</f>
        <v>69.893712228247</v>
      </c>
      <c r="S35" s="33" t="n">
        <f aca="false">Q35-R35</f>
        <v>0.369526844823113</v>
      </c>
      <c r="V35" s="32" t="str">
        <f aca="false">IF(M35="","",IF(M35&lt;Assumptions!$B$5,"BUY",IF(M35&gt;Assumptions!$B$4,"SELL","HOLD")))</f>
        <v>HOLD</v>
      </c>
    </row>
    <row r="36" customFormat="false" ht="15" hidden="false" customHeight="false" outlineLevel="0" collapsed="false">
      <c r="A36" s="24" t="n">
        <v>45818</v>
      </c>
      <c r="B36" s="25" t="n">
        <v>72.44</v>
      </c>
      <c r="C36" s="25" t="n">
        <v>72.48</v>
      </c>
      <c r="D36" s="25" t="n">
        <v>72.44</v>
      </c>
      <c r="E36" s="25" t="n">
        <v>72.46</v>
      </c>
      <c r="F36" s="26" t="n">
        <v>23563706</v>
      </c>
      <c r="G36" s="27" t="n">
        <f aca="false">E36-E35</f>
        <v>0.739999999999995</v>
      </c>
      <c r="H36" s="28" t="n">
        <f aca="false">G36/E35</f>
        <v>0.0103179029559397</v>
      </c>
      <c r="I36" s="29" t="n">
        <f aca="false">MAX(G36,0)</f>
        <v>0.739999999999995</v>
      </c>
      <c r="J36" s="29" t="n">
        <f aca="false">MAX(-G36,0)</f>
        <v>0</v>
      </c>
      <c r="K36" s="29" t="n">
        <f aca="false">(K35*13+I36)/14</f>
        <v>0.488575943104559</v>
      </c>
      <c r="L36" s="29" t="n">
        <f aca="false">(L35*13+J36)/14</f>
        <v>0.273396711735086</v>
      </c>
      <c r="M36" s="31" t="n">
        <f aca="false">IF(L36=0,100,100-100/(1+K36/MAX(L36,0.000001)))</f>
        <v>64.1198788436022</v>
      </c>
      <c r="N36" s="30" t="n">
        <f aca="false">AVERAGE(E17:E36)</f>
        <v>69.47</v>
      </c>
      <c r="Q36" s="30" t="n">
        <f aca="false">Q35+(2/13)*(E36-Q35)</f>
        <v>70.6012022925978</v>
      </c>
      <c r="R36" s="30" t="n">
        <f aca="false">R35+(2/27)*(E36-R35)</f>
        <v>70.0838076187472</v>
      </c>
      <c r="S36" s="33" t="n">
        <f aca="false">Q36-R36</f>
        <v>0.517394673850561</v>
      </c>
      <c r="T36" s="33" t="n">
        <f aca="false">AVERAGE(S28:S36)</f>
        <v>0.00916771722737053</v>
      </c>
      <c r="U36" s="33" t="n">
        <f aca="false">S36-T36</f>
        <v>0.50822695662319</v>
      </c>
      <c r="V36" s="32" t="str">
        <f aca="false">IF(M36="","",IF(M36&lt;Assumptions!$B$5,"BUY",IF(M36&gt;Assumptions!$B$4,"SELL","HOLD")))</f>
        <v>HOLD</v>
      </c>
      <c r="X36" s="32" t="str">
        <f aca="false">IF(T36="","",IF(S36&gt;T36,"BUY","SELL"))</f>
        <v>BUY</v>
      </c>
    </row>
    <row r="37" customFormat="false" ht="15" hidden="false" customHeight="false" outlineLevel="0" collapsed="false">
      <c r="A37" s="24" t="n">
        <v>45819</v>
      </c>
      <c r="B37" s="25" t="n">
        <v>73.2</v>
      </c>
      <c r="C37" s="25" t="n">
        <v>73.54</v>
      </c>
      <c r="D37" s="25" t="n">
        <v>73.2</v>
      </c>
      <c r="E37" s="25" t="n">
        <v>73.37</v>
      </c>
      <c r="F37" s="26" t="n">
        <v>16957758</v>
      </c>
      <c r="G37" s="27" t="n">
        <f aca="false">E37-E36</f>
        <v>0.910000000000011</v>
      </c>
      <c r="H37" s="28" t="n">
        <f aca="false">G37/E36</f>
        <v>0.0125586530499587</v>
      </c>
      <c r="I37" s="29" t="n">
        <f aca="false">MAX(G37,0)</f>
        <v>0.910000000000011</v>
      </c>
      <c r="J37" s="29" t="n">
        <f aca="false">MAX(-G37,0)</f>
        <v>0</v>
      </c>
      <c r="K37" s="29" t="n">
        <f aca="false">(K36*13+I37)/14</f>
        <v>0.518677661454234</v>
      </c>
      <c r="L37" s="29" t="n">
        <f aca="false">(L36*13+J37)/14</f>
        <v>0.253868375182579</v>
      </c>
      <c r="M37" s="31" t="n">
        <f aca="false">IF(L37=0,100,100-100/(1+K37/MAX(L37,0.000001)))</f>
        <v>67.1387382572351</v>
      </c>
      <c r="N37" s="30" t="n">
        <f aca="false">AVERAGE(E18:E37)</f>
        <v>69.6935</v>
      </c>
      <c r="Q37" s="30" t="n">
        <f aca="false">Q36+(2/13)*(E37-Q36)</f>
        <v>71.0271711706597</v>
      </c>
      <c r="R37" s="30" t="n">
        <f aca="false">R36+(2/27)*(E37-R36)</f>
        <v>70.3272292766178</v>
      </c>
      <c r="S37" s="33" t="n">
        <f aca="false">Q37-R37</f>
        <v>0.699941894041871</v>
      </c>
      <c r="T37" s="33" t="n">
        <f aca="false">T36+(2/10)*(S37-T36)</f>
        <v>0.147322552590271</v>
      </c>
      <c r="U37" s="33" t="n">
        <f aca="false">S37-T37</f>
        <v>0.5526193414516</v>
      </c>
      <c r="V37" s="32" t="str">
        <f aca="false">IF(M37="","",IF(M37&lt;Assumptions!$B$5,"BUY",IF(M37&gt;Assumptions!$B$4,"SELL","HOLD")))</f>
        <v>HOLD</v>
      </c>
      <c r="X37" s="32" t="str">
        <f aca="false">IF(T37="","",IF(S37&gt;T37,"BUY","SELL"))</f>
        <v>BUY</v>
      </c>
    </row>
    <row r="38" customFormat="false" ht="15" hidden="false" customHeight="false" outlineLevel="0" collapsed="false">
      <c r="A38" s="24" t="n">
        <v>45820</v>
      </c>
      <c r="B38" s="25" t="n">
        <v>75.34</v>
      </c>
      <c r="C38" s="25" t="n">
        <v>75.9</v>
      </c>
      <c r="D38" s="25" t="n">
        <v>75.12</v>
      </c>
      <c r="E38" s="25" t="n">
        <v>75.51</v>
      </c>
      <c r="F38" s="26" t="n">
        <v>25808075</v>
      </c>
      <c r="G38" s="27" t="n">
        <f aca="false">E38-E37</f>
        <v>2.14</v>
      </c>
      <c r="H38" s="28" t="n">
        <f aca="false">G38/E37</f>
        <v>0.0291672345645359</v>
      </c>
      <c r="I38" s="29" t="n">
        <f aca="false">MAX(G38,0)</f>
        <v>2.14</v>
      </c>
      <c r="J38" s="29" t="n">
        <f aca="false">MAX(-G38,0)</f>
        <v>0</v>
      </c>
      <c r="K38" s="29" t="n">
        <f aca="false">(K37*13+I38)/14</f>
        <v>0.634486399921789</v>
      </c>
      <c r="L38" s="29" t="n">
        <f aca="false">(L37*13+J38)/14</f>
        <v>0.235734919812395</v>
      </c>
      <c r="M38" s="31" t="n">
        <f aca="false">IF(L38=0,100,100-100/(1+K38/MAX(L38,0.000001)))</f>
        <v>72.9109234091849</v>
      </c>
      <c r="N38" s="30" t="n">
        <f aca="false">AVERAGE(E19:E38)</f>
        <v>70.0665</v>
      </c>
      <c r="Q38" s="30" t="n">
        <f aca="false">Q37+(2/13)*(E38-Q37)</f>
        <v>71.7168371444044</v>
      </c>
      <c r="R38" s="30" t="n">
        <f aca="false">R37+(2/27)*(E38-R37)</f>
        <v>70.7111382190906</v>
      </c>
      <c r="S38" s="33" t="n">
        <f aca="false">Q38-R38</f>
        <v>1.00569892531378</v>
      </c>
      <c r="T38" s="33" t="n">
        <f aca="false">T37+(2/10)*(S38-T37)</f>
        <v>0.318997827134973</v>
      </c>
      <c r="U38" s="33" t="n">
        <f aca="false">S38-T38</f>
        <v>0.686701098178808</v>
      </c>
      <c r="V38" s="32" t="str">
        <f aca="false">IF(M38="","",IF(M38&lt;Assumptions!$B$5,"BUY",IF(M38&gt;Assumptions!$B$4,"SELL","HOLD")))</f>
        <v>SELL</v>
      </c>
      <c r="X38" s="32" t="str">
        <f aca="false">IF(T38="","",IF(S38&gt;T38,"BUY","SELL"))</f>
        <v>BUY</v>
      </c>
    </row>
    <row r="39" customFormat="false" ht="15" hidden="false" customHeight="false" outlineLevel="0" collapsed="false">
      <c r="A39" s="24" t="n">
        <v>45821</v>
      </c>
      <c r="B39" s="25" t="n">
        <v>74.47</v>
      </c>
      <c r="C39" s="25" t="n">
        <v>74.89</v>
      </c>
      <c r="D39" s="25" t="n">
        <v>74.47</v>
      </c>
      <c r="E39" s="25" t="n">
        <v>74.68</v>
      </c>
      <c r="F39" s="26" t="n">
        <v>20933419</v>
      </c>
      <c r="G39" s="27" t="n">
        <f aca="false">E39-E38</f>
        <v>-0.829999999999998</v>
      </c>
      <c r="H39" s="28" t="n">
        <f aca="false">G39/E38</f>
        <v>-0.0109919215997881</v>
      </c>
      <c r="I39" s="29" t="n">
        <f aca="false">MAX(G39,0)</f>
        <v>0</v>
      </c>
      <c r="J39" s="29" t="n">
        <f aca="false">MAX(-G39,0)</f>
        <v>0.829999999999998</v>
      </c>
      <c r="K39" s="29" t="n">
        <f aca="false">(K38*13+I39)/14</f>
        <v>0.589165942784518</v>
      </c>
      <c r="L39" s="29" t="n">
        <f aca="false">(L38*13+J39)/14</f>
        <v>0.278182425540081</v>
      </c>
      <c r="M39" s="31" t="n">
        <f aca="false">IF(L39=0,100,100-100/(1+K39/MAX(L39,0.000001)))</f>
        <v>67.9272555642864</v>
      </c>
      <c r="N39" s="30" t="n">
        <f aca="false">AVERAGE(E20:E39)</f>
        <v>70.37</v>
      </c>
      <c r="Q39" s="30" t="n">
        <f aca="false">Q38+(2/13)*(E39-Q38)</f>
        <v>72.1727083529575</v>
      </c>
      <c r="R39" s="30" t="n">
        <f aca="false">R38+(2/27)*(E39-R38)</f>
        <v>71.0051279806394</v>
      </c>
      <c r="S39" s="33" t="n">
        <f aca="false">Q39-R39</f>
        <v>1.16758037231811</v>
      </c>
      <c r="T39" s="33" t="n">
        <f aca="false">T38+(2/10)*(S39-T38)</f>
        <v>0.488714336171601</v>
      </c>
      <c r="U39" s="33" t="n">
        <f aca="false">S39-T39</f>
        <v>0.678866036146513</v>
      </c>
      <c r="V39" s="32" t="str">
        <f aca="false">IF(M39="","",IF(M39&lt;Assumptions!$B$5,"BUY",IF(M39&gt;Assumptions!$B$4,"SELL","HOLD")))</f>
        <v>HOLD</v>
      </c>
      <c r="X39" s="32" t="str">
        <f aca="false">IF(T39="","",IF(S39&gt;T39,"BUY","SELL"))</f>
        <v>BUY</v>
      </c>
    </row>
    <row r="40" customFormat="false" ht="15" hidden="false" customHeight="false" outlineLevel="0" collapsed="false">
      <c r="A40" s="24" t="n">
        <v>45824</v>
      </c>
      <c r="B40" s="25" t="n">
        <v>75.45</v>
      </c>
      <c r="C40" s="25" t="n">
        <v>76.21</v>
      </c>
      <c r="D40" s="25" t="n">
        <v>74.95</v>
      </c>
      <c r="E40" s="25" t="n">
        <v>75.58</v>
      </c>
      <c r="F40" s="26" t="n">
        <v>19081733</v>
      </c>
      <c r="G40" s="27" t="n">
        <f aca="false">E40-E39</f>
        <v>0.899999999999992</v>
      </c>
      <c r="H40" s="28" t="n">
        <f aca="false">G40/E39</f>
        <v>0.0120514193893946</v>
      </c>
      <c r="I40" s="29" t="n">
        <f aca="false">MAX(G40,0)</f>
        <v>0.899999999999992</v>
      </c>
      <c r="J40" s="29" t="n">
        <f aca="false">MAX(-G40,0)</f>
        <v>0</v>
      </c>
      <c r="K40" s="29" t="n">
        <f aca="false">(K39*13+I40)/14</f>
        <v>0.611368375442766</v>
      </c>
      <c r="L40" s="29" t="n">
        <f aca="false">(L39*13+J40)/14</f>
        <v>0.258312252287218</v>
      </c>
      <c r="M40" s="31" t="n">
        <f aca="false">IF(L40=0,100,100-100/(1+K40/MAX(L40,0.000001)))</f>
        <v>70.2980330881398</v>
      </c>
      <c r="N40" s="30" t="n">
        <f aca="false">AVERAGE(E21:E40)</f>
        <v>70.678</v>
      </c>
      <c r="Q40" s="30" t="n">
        <f aca="false">Q39+(2/13)*(E40-Q39)</f>
        <v>72.6969070678871</v>
      </c>
      <c r="R40" s="30" t="n">
        <f aca="false">R39+(2/27)*(E40-R39)</f>
        <v>71.3440073894809</v>
      </c>
      <c r="S40" s="33" t="n">
        <f aca="false">Q40-R40</f>
        <v>1.3528996784062</v>
      </c>
      <c r="T40" s="33" t="n">
        <f aca="false">T39+(2/10)*(S40-T39)</f>
        <v>0.661551404618521</v>
      </c>
      <c r="U40" s="33" t="n">
        <f aca="false">S40-T40</f>
        <v>0.691348273787682</v>
      </c>
      <c r="V40" s="32" t="str">
        <f aca="false">IF(M40="","",IF(M40&lt;Assumptions!$B$5,"BUY",IF(M40&gt;Assumptions!$B$4,"SELL","HOLD")))</f>
        <v>SELL</v>
      </c>
      <c r="X40" s="32" t="str">
        <f aca="false">IF(T40="","",IF(S40&gt;T40,"BUY","SELL"))</f>
        <v>BUY</v>
      </c>
    </row>
    <row r="41" customFormat="false" ht="15" hidden="false" customHeight="false" outlineLevel="0" collapsed="false">
      <c r="A41" s="24" t="n">
        <v>45825</v>
      </c>
      <c r="B41" s="25" t="n">
        <v>75.38</v>
      </c>
      <c r="C41" s="25" t="n">
        <v>75.67</v>
      </c>
      <c r="D41" s="25" t="n">
        <v>75.29</v>
      </c>
      <c r="E41" s="25" t="n">
        <v>75.48</v>
      </c>
      <c r="F41" s="26" t="n">
        <v>26999457</v>
      </c>
      <c r="G41" s="27" t="n">
        <f aca="false">E41-E40</f>
        <v>-0.0999999999999943</v>
      </c>
      <c r="H41" s="28" t="n">
        <f aca="false">G41/E40</f>
        <v>-0.0013231013495633</v>
      </c>
      <c r="I41" s="29" t="n">
        <f aca="false">MAX(G41,0)</f>
        <v>0</v>
      </c>
      <c r="J41" s="29" t="n">
        <f aca="false">MAX(-G41,0)</f>
        <v>0.0999999999999943</v>
      </c>
      <c r="K41" s="29" t="n">
        <f aca="false">(K40*13+I41)/14</f>
        <v>0.567699205768283</v>
      </c>
      <c r="L41" s="29" t="n">
        <f aca="false">(L40*13+J41)/14</f>
        <v>0.247004234266702</v>
      </c>
      <c r="M41" s="31" t="n">
        <f aca="false">IF(L41=0,100,100-100/(1+K41/MAX(L41,0.000001)))</f>
        <v>69.6816998519001</v>
      </c>
      <c r="N41" s="30" t="n">
        <f aca="false">AVERAGE(E22:E41)</f>
        <v>71.0195</v>
      </c>
      <c r="Q41" s="30" t="n">
        <f aca="false">Q40+(2/13)*(E41-Q40)</f>
        <v>73.1250752112891</v>
      </c>
      <c r="R41" s="30" t="n">
        <f aca="false">R40+(2/27)*(E41-R40)</f>
        <v>71.6503772124824</v>
      </c>
      <c r="S41" s="33" t="n">
        <f aca="false">Q41-R41</f>
        <v>1.47469799880676</v>
      </c>
      <c r="T41" s="33" t="n">
        <f aca="false">T40+(2/10)*(S41-T40)</f>
        <v>0.824180723456169</v>
      </c>
      <c r="U41" s="33" t="n">
        <f aca="false">S41-T41</f>
        <v>0.650517275350592</v>
      </c>
      <c r="V41" s="32" t="str">
        <f aca="false">IF(M41="","",IF(M41&lt;Assumptions!$B$5,"BUY",IF(M41&gt;Assumptions!$B$4,"SELL","HOLD")))</f>
        <v>HOLD</v>
      </c>
      <c r="X41" s="32" t="str">
        <f aca="false">IF(T41="","",IF(S41&gt;T41,"BUY","SELL"))</f>
        <v>BUY</v>
      </c>
    </row>
    <row r="42" customFormat="false" ht="15" hidden="false" customHeight="false" outlineLevel="0" collapsed="false">
      <c r="A42" s="24" t="n">
        <v>45826</v>
      </c>
      <c r="B42" s="25" t="n">
        <v>76.73</v>
      </c>
      <c r="C42" s="25" t="n">
        <v>76.95</v>
      </c>
      <c r="D42" s="25" t="n">
        <v>76.57</v>
      </c>
      <c r="E42" s="25" t="n">
        <v>76.76</v>
      </c>
      <c r="F42" s="26" t="n">
        <v>20704477</v>
      </c>
      <c r="G42" s="27" t="n">
        <f aca="false">E42-E41</f>
        <v>1.28</v>
      </c>
      <c r="H42" s="28" t="n">
        <f aca="false">G42/E41</f>
        <v>0.0169581346051934</v>
      </c>
      <c r="I42" s="29" t="n">
        <f aca="false">MAX(G42,0)</f>
        <v>1.28</v>
      </c>
      <c r="J42" s="29" t="n">
        <f aca="false">MAX(-G42,0)</f>
        <v>0</v>
      </c>
      <c r="K42" s="29" t="n">
        <f aca="false">(K41*13+I42)/14</f>
        <v>0.618577833927691</v>
      </c>
      <c r="L42" s="29" t="n">
        <f aca="false">(L41*13+J42)/14</f>
        <v>0.229361074676223</v>
      </c>
      <c r="M42" s="31" t="n">
        <f aca="false">IF(L42=0,100,100-100/(1+K42/MAX(L42,0.000001)))</f>
        <v>72.9507547832834</v>
      </c>
      <c r="N42" s="30" t="n">
        <f aca="false">AVERAGE(E23:E42)</f>
        <v>71.4055</v>
      </c>
      <c r="Q42" s="30" t="n">
        <f aca="false">Q41+(2/13)*(E42-Q41)</f>
        <v>73.6842944095523</v>
      </c>
      <c r="R42" s="30" t="n">
        <f aca="false">R41+(2/27)*(E42-R41)</f>
        <v>72.0288677893355</v>
      </c>
      <c r="S42" s="33" t="n">
        <f aca="false">Q42-R42</f>
        <v>1.65542662021682</v>
      </c>
      <c r="T42" s="33" t="n">
        <f aca="false">T41+(2/10)*(S42-T41)</f>
        <v>0.990429902808298</v>
      </c>
      <c r="U42" s="33" t="n">
        <f aca="false">S42-T42</f>
        <v>0.664996717408517</v>
      </c>
      <c r="V42" s="32" t="str">
        <f aca="false">IF(M42="","",IF(M42&lt;Assumptions!$B$5,"BUY",IF(M42&gt;Assumptions!$B$4,"SELL","HOLD")))</f>
        <v>SELL</v>
      </c>
      <c r="X42" s="32" t="str">
        <f aca="false">IF(T42="","",IF(S42&gt;T42,"BUY","SELL"))</f>
        <v>BUY</v>
      </c>
    </row>
    <row r="43" customFormat="false" ht="15" hidden="false" customHeight="false" outlineLevel="0" collapsed="false">
      <c r="A43" s="24" t="n">
        <v>45827</v>
      </c>
      <c r="B43" s="25" t="n">
        <v>77</v>
      </c>
      <c r="C43" s="25" t="n">
        <v>77.06</v>
      </c>
      <c r="D43" s="25" t="n">
        <v>76.74</v>
      </c>
      <c r="E43" s="25" t="n">
        <v>76.9</v>
      </c>
      <c r="F43" s="26" t="n">
        <v>26852237</v>
      </c>
      <c r="G43" s="27" t="n">
        <f aca="false">E43-E42</f>
        <v>0.140000000000001</v>
      </c>
      <c r="H43" s="28" t="n">
        <f aca="false">G43/E42</f>
        <v>0.00182386659718604</v>
      </c>
      <c r="I43" s="29" t="n">
        <f aca="false">MAX(G43,0)</f>
        <v>0.140000000000001</v>
      </c>
      <c r="J43" s="29" t="n">
        <f aca="false">MAX(-G43,0)</f>
        <v>0</v>
      </c>
      <c r="K43" s="29" t="n">
        <f aca="false">(K42*13+I43)/14</f>
        <v>0.584393702932856</v>
      </c>
      <c r="L43" s="29" t="n">
        <f aca="false">(L42*13+J43)/14</f>
        <v>0.212978140770779</v>
      </c>
      <c r="M43" s="31" t="n">
        <f aca="false">IF(L43=0,100,100-100/(1+K43/MAX(L43,0.000001)))</f>
        <v>73.2899847853246</v>
      </c>
      <c r="N43" s="30" t="n">
        <f aca="false">AVERAGE(E24:E43)</f>
        <v>71.835</v>
      </c>
      <c r="Q43" s="30" t="n">
        <f aca="false">Q42+(2/13)*(E43-Q42)</f>
        <v>74.1790183465443</v>
      </c>
      <c r="R43" s="30" t="n">
        <f aca="false">R42+(2/27)*(E43-R42)</f>
        <v>72.3896923975329</v>
      </c>
      <c r="S43" s="33" t="n">
        <f aca="false">Q43-R43</f>
        <v>1.78932594901138</v>
      </c>
      <c r="T43" s="33" t="n">
        <f aca="false">T42+(2/10)*(S43-T42)</f>
        <v>1.15020911204892</v>
      </c>
      <c r="U43" s="33" t="n">
        <f aca="false">S43-T43</f>
        <v>0.639116836962469</v>
      </c>
      <c r="V43" s="32" t="str">
        <f aca="false">IF(M43="","",IF(M43&lt;Assumptions!$B$5,"BUY",IF(M43&gt;Assumptions!$B$4,"SELL","HOLD")))</f>
        <v>SELL</v>
      </c>
      <c r="X43" s="32" t="str">
        <f aca="false">IF(T43="","",IF(S43&gt;T43,"BUY","SELL"))</f>
        <v>BUY</v>
      </c>
    </row>
    <row r="44" customFormat="false" ht="15" hidden="false" customHeight="false" outlineLevel="0" collapsed="false">
      <c r="A44" s="24" t="n">
        <v>45828</v>
      </c>
      <c r="B44" s="25" t="n">
        <v>77.79</v>
      </c>
      <c r="C44" s="25" t="n">
        <v>78.12</v>
      </c>
      <c r="D44" s="25" t="n">
        <v>77.52</v>
      </c>
      <c r="E44" s="25" t="n">
        <v>77.82</v>
      </c>
      <c r="F44" s="26" t="n">
        <v>35613284</v>
      </c>
      <c r="G44" s="27" t="n">
        <f aca="false">E44-E43</f>
        <v>0.919999999999988</v>
      </c>
      <c r="H44" s="28" t="n">
        <f aca="false">G44/E43</f>
        <v>0.0119635890767229</v>
      </c>
      <c r="I44" s="29" t="n">
        <f aca="false">MAX(G44,0)</f>
        <v>0.919999999999988</v>
      </c>
      <c r="J44" s="29" t="n">
        <f aca="false">MAX(-G44,0)</f>
        <v>0</v>
      </c>
      <c r="K44" s="29" t="n">
        <f aca="false">(K43*13+I44)/14</f>
        <v>0.608365581294794</v>
      </c>
      <c r="L44" s="29" t="n">
        <f aca="false">(L43*13+J44)/14</f>
        <v>0.197765416430009</v>
      </c>
      <c r="M44" s="31" t="n">
        <f aca="false">IF(L44=0,100,100-100/(1+K44/MAX(L44,0.000001)))</f>
        <v>75.4673350872035</v>
      </c>
      <c r="N44" s="30" t="n">
        <f aca="false">AVERAGE(E25:E44)</f>
        <v>72.3685</v>
      </c>
      <c r="Q44" s="30" t="n">
        <f aca="false">Q43+(2/13)*(E44-Q43)</f>
        <v>74.7391693701528</v>
      </c>
      <c r="R44" s="30" t="n">
        <f aca="false">R43+(2/27)*(E44-R43)</f>
        <v>72.791937405123</v>
      </c>
      <c r="S44" s="33" t="n">
        <f aca="false">Q44-R44</f>
        <v>1.9472319650298</v>
      </c>
      <c r="T44" s="33" t="n">
        <f aca="false">T43+(2/10)*(S44-T43)</f>
        <v>1.30961368264509</v>
      </c>
      <c r="U44" s="33" t="n">
        <f aca="false">S44-T44</f>
        <v>0.637618282384708</v>
      </c>
      <c r="V44" s="32" t="str">
        <f aca="false">IF(M44="","",IF(M44&lt;Assumptions!$B$5,"BUY",IF(M44&gt;Assumptions!$B$4,"SELL","HOLD")))</f>
        <v>SELL</v>
      </c>
      <c r="X44" s="32" t="str">
        <f aca="false">IF(T44="","",IF(S44&gt;T44,"BUY","SELL"))</f>
        <v>BUY</v>
      </c>
    </row>
    <row r="45" customFormat="false" ht="15" hidden="false" customHeight="false" outlineLevel="0" collapsed="false">
      <c r="A45" s="24" t="n">
        <v>45831</v>
      </c>
      <c r="B45" s="25" t="n">
        <v>79.87</v>
      </c>
      <c r="C45" s="25" t="n">
        <v>79.87</v>
      </c>
      <c r="D45" s="25" t="n">
        <v>79.43</v>
      </c>
      <c r="E45" s="25" t="n">
        <v>79.65</v>
      </c>
      <c r="F45" s="26" t="n">
        <v>24302525</v>
      </c>
      <c r="G45" s="27" t="n">
        <f aca="false">E45-E44</f>
        <v>1.83000000000001</v>
      </c>
      <c r="H45" s="28" t="n">
        <f aca="false">G45/E44</f>
        <v>0.0235158057054743</v>
      </c>
      <c r="I45" s="29" t="n">
        <f aca="false">MAX(G45,0)</f>
        <v>1.83000000000001</v>
      </c>
      <c r="J45" s="29" t="n">
        <f aca="false">MAX(-G45,0)</f>
        <v>0</v>
      </c>
      <c r="K45" s="29" t="n">
        <f aca="false">(K44*13+I45)/14</f>
        <v>0.695625182630881</v>
      </c>
      <c r="L45" s="29" t="n">
        <f aca="false">(L44*13+J45)/14</f>
        <v>0.183639315256437</v>
      </c>
      <c r="M45" s="31" t="n">
        <f aca="false">IF(L45=0,100,100-100/(1+K45/MAX(L45,0.000001)))</f>
        <v>79.1144398872373</v>
      </c>
      <c r="N45" s="30" t="n">
        <f aca="false">AVERAGE(E26:E45)</f>
        <v>72.9895</v>
      </c>
      <c r="Q45" s="30" t="n">
        <f aca="false">Q44+(2/13)*(E45-Q44)</f>
        <v>75.4946817747447</v>
      </c>
      <c r="R45" s="30" t="n">
        <f aca="false">R44+(2/27)*(E45-R44)</f>
        <v>73.2999420417806</v>
      </c>
      <c r="S45" s="33" t="n">
        <f aca="false">Q45-R45</f>
        <v>2.19473973296411</v>
      </c>
      <c r="T45" s="33" t="n">
        <f aca="false">T44+(2/10)*(S45-T44)</f>
        <v>1.4866388927089</v>
      </c>
      <c r="U45" s="33" t="n">
        <f aca="false">S45-T45</f>
        <v>0.708100840255213</v>
      </c>
      <c r="V45" s="32" t="str">
        <f aca="false">IF(M45="","",IF(M45&lt;Assumptions!$B$5,"BUY",IF(M45&gt;Assumptions!$B$4,"SELL","HOLD")))</f>
        <v>SELL</v>
      </c>
      <c r="X45" s="32" t="str">
        <f aca="false">IF(T45="","",IF(S45&gt;T45,"BUY","SELL"))</f>
        <v>BUY</v>
      </c>
    </row>
    <row r="46" customFormat="false" ht="15" hidden="false" customHeight="false" outlineLevel="0" collapsed="false">
      <c r="A46" s="24" t="n">
        <v>45832</v>
      </c>
      <c r="B46" s="25" t="n">
        <v>80.29</v>
      </c>
      <c r="C46" s="25" t="n">
        <v>80.55</v>
      </c>
      <c r="D46" s="25" t="n">
        <v>80.29</v>
      </c>
      <c r="E46" s="25" t="n">
        <v>80.42</v>
      </c>
      <c r="F46" s="26" t="n">
        <v>25136739</v>
      </c>
      <c r="G46" s="27" t="n">
        <f aca="false">E46-E45</f>
        <v>0.769999999999996</v>
      </c>
      <c r="H46" s="28" t="n">
        <f aca="false">G46/E45</f>
        <v>0.00966729441305708</v>
      </c>
      <c r="I46" s="29" t="n">
        <f aca="false">MAX(G46,0)</f>
        <v>0.769999999999996</v>
      </c>
      <c r="J46" s="29" t="n">
        <f aca="false">MAX(-G46,0)</f>
        <v>0</v>
      </c>
      <c r="K46" s="29" t="n">
        <f aca="false">(K45*13+I46)/14</f>
        <v>0.700937669585818</v>
      </c>
      <c r="L46" s="29" t="n">
        <f aca="false">(L45*13+J46)/14</f>
        <v>0.170522221309549</v>
      </c>
      <c r="M46" s="31" t="n">
        <f aca="false">IF(L46=0,100,100-100/(1+K46/MAX(L46,0.000001)))</f>
        <v>80.4325795035331</v>
      </c>
      <c r="N46" s="30" t="n">
        <f aca="false">AVERAGE(E27:E46)</f>
        <v>73.6375</v>
      </c>
      <c r="Q46" s="30" t="n">
        <f aca="false">Q45+(2/13)*(E46-Q45)</f>
        <v>76.2524230401686</v>
      </c>
      <c r="R46" s="30" t="n">
        <f aca="false">R45+(2/27)*(E46-R45)</f>
        <v>73.8273537423895</v>
      </c>
      <c r="S46" s="33" t="n">
        <f aca="false">Q46-R46</f>
        <v>2.42506929777915</v>
      </c>
      <c r="T46" s="33" t="n">
        <f aca="false">T45+(2/10)*(S46-T45)</f>
        <v>1.67432497372295</v>
      </c>
      <c r="U46" s="33" t="n">
        <f aca="false">S46-T46</f>
        <v>0.7507443240562</v>
      </c>
      <c r="V46" s="32" t="str">
        <f aca="false">IF(M46="","",IF(M46&lt;Assumptions!$B$5,"BUY",IF(M46&gt;Assumptions!$B$4,"SELL","HOLD")))</f>
        <v>SELL</v>
      </c>
      <c r="X46" s="32" t="str">
        <f aca="false">IF(T46="","",IF(S46&gt;T46,"BUY","SELL"))</f>
        <v>BUY</v>
      </c>
    </row>
    <row r="47" customFormat="false" ht="15" hidden="false" customHeight="false" outlineLevel="0" collapsed="false">
      <c r="A47" s="24" t="n">
        <v>45833</v>
      </c>
      <c r="B47" s="25" t="n">
        <v>80.06</v>
      </c>
      <c r="C47" s="25" t="n">
        <v>80.57</v>
      </c>
      <c r="D47" s="25" t="n">
        <v>79.79</v>
      </c>
      <c r="E47" s="25" t="n">
        <v>80.18</v>
      </c>
      <c r="F47" s="26" t="n">
        <v>38056537</v>
      </c>
      <c r="G47" s="27" t="n">
        <f aca="false">E47-E46</f>
        <v>-0.239999999999995</v>
      </c>
      <c r="H47" s="28" t="n">
        <f aca="false">G47/E46</f>
        <v>-0.00298433225565773</v>
      </c>
      <c r="I47" s="29" t="n">
        <f aca="false">MAX(G47,0)</f>
        <v>0</v>
      </c>
      <c r="J47" s="29" t="n">
        <f aca="false">MAX(-G47,0)</f>
        <v>0.239999999999995</v>
      </c>
      <c r="K47" s="29" t="n">
        <f aca="false">(K46*13+I47)/14</f>
        <v>0.650870693186831</v>
      </c>
      <c r="L47" s="29" t="n">
        <f aca="false">(L46*13+J47)/14</f>
        <v>0.175484919787438</v>
      </c>
      <c r="M47" s="31" t="n">
        <f aca="false">IF(L47=0,100,100-100/(1+K47/MAX(L47,0.000001)))</f>
        <v>78.763994939682</v>
      </c>
      <c r="N47" s="30" t="n">
        <f aca="false">AVERAGE(E28:E47)</f>
        <v>74.253</v>
      </c>
      <c r="Q47" s="30" t="n">
        <f aca="false">Q46+(2/13)*(E47-Q46)</f>
        <v>76.8566656493734</v>
      </c>
      <c r="R47" s="30" t="n">
        <f aca="false">R46+(2/27)*(E47-R46)</f>
        <v>74.2979201318421</v>
      </c>
      <c r="S47" s="33" t="n">
        <f aca="false">Q47-R47</f>
        <v>2.55874551753135</v>
      </c>
      <c r="T47" s="33" t="n">
        <f aca="false">T46+(2/10)*(S47-T46)</f>
        <v>1.85120908248463</v>
      </c>
      <c r="U47" s="33" t="n">
        <f aca="false">S47-T47</f>
        <v>0.707536435046723</v>
      </c>
      <c r="V47" s="32" t="str">
        <f aca="false">IF(M47="","",IF(M47&lt;Assumptions!$B$5,"BUY",IF(M47&gt;Assumptions!$B$4,"SELL","HOLD")))</f>
        <v>SELL</v>
      </c>
      <c r="X47" s="32" t="str">
        <f aca="false">IF(T47="","",IF(S47&gt;T47,"BUY","SELL"))</f>
        <v>BUY</v>
      </c>
    </row>
    <row r="48" customFormat="false" ht="15" hidden="false" customHeight="false" outlineLevel="0" collapsed="false">
      <c r="A48" s="24" t="n">
        <v>45834</v>
      </c>
      <c r="B48" s="25" t="n">
        <v>79.76</v>
      </c>
      <c r="C48" s="25" t="n">
        <v>79.76</v>
      </c>
      <c r="D48" s="25" t="n">
        <v>79.74</v>
      </c>
      <c r="E48" s="25" t="n">
        <v>79.75</v>
      </c>
      <c r="F48" s="26" t="n">
        <v>15822972</v>
      </c>
      <c r="G48" s="27" t="n">
        <f aca="false">E48-E47</f>
        <v>-0.430000000000007</v>
      </c>
      <c r="H48" s="28" t="n">
        <f aca="false">G48/E47</f>
        <v>-0.00536293339985042</v>
      </c>
      <c r="I48" s="29" t="n">
        <f aca="false">MAX(G48,0)</f>
        <v>0</v>
      </c>
      <c r="J48" s="29" t="n">
        <f aca="false">MAX(-G48,0)</f>
        <v>0.430000000000007</v>
      </c>
      <c r="K48" s="29" t="n">
        <f aca="false">(K47*13+I48)/14</f>
        <v>0.604379929387772</v>
      </c>
      <c r="L48" s="29" t="n">
        <f aca="false">(L47*13+J48)/14</f>
        <v>0.19366456837405</v>
      </c>
      <c r="M48" s="31" t="n">
        <f aca="false">IF(L48=0,100,100-100/(1+K48/MAX(L48,0.000001)))</f>
        <v>75.7326102846148</v>
      </c>
      <c r="N48" s="30" t="n">
        <f aca="false">AVERAGE(E29:E48)</f>
        <v>74.8095</v>
      </c>
      <c r="Q48" s="30" t="n">
        <f aca="false">Q47+(2/13)*(E48-Q47)</f>
        <v>77.3017940110083</v>
      </c>
      <c r="R48" s="30" t="n">
        <f aca="false">R47+(2/27)*(E48-R47)</f>
        <v>74.7017778998538</v>
      </c>
      <c r="S48" s="33" t="n">
        <f aca="false">Q48-R48</f>
        <v>2.6000161111545</v>
      </c>
      <c r="T48" s="33" t="n">
        <f aca="false">T47+(2/10)*(S48-T47)</f>
        <v>2.0009704882186</v>
      </c>
      <c r="U48" s="33" t="n">
        <f aca="false">S48-T48</f>
        <v>0.599045622935901</v>
      </c>
      <c r="V48" s="32" t="str">
        <f aca="false">IF(M48="","",IF(M48&lt;Assumptions!$B$5,"BUY",IF(M48&gt;Assumptions!$B$4,"SELL","HOLD")))</f>
        <v>SELL</v>
      </c>
      <c r="X48" s="32" t="str">
        <f aca="false">IF(T48="","",IF(S48&gt;T48,"BUY","SELL"))</f>
        <v>BUY</v>
      </c>
    </row>
    <row r="49" customFormat="false" ht="15" hidden="false" customHeight="false" outlineLevel="0" collapsed="false">
      <c r="A49" s="24" t="n">
        <v>45835</v>
      </c>
      <c r="B49" s="25" t="n">
        <v>78.8</v>
      </c>
      <c r="C49" s="25" t="n">
        <v>79.06</v>
      </c>
      <c r="D49" s="25" t="n">
        <v>78.8</v>
      </c>
      <c r="E49" s="25" t="n">
        <v>78.93</v>
      </c>
      <c r="F49" s="26" t="n">
        <v>33843026</v>
      </c>
      <c r="G49" s="27" t="n">
        <f aca="false">E49-E48</f>
        <v>-0.819999999999993</v>
      </c>
      <c r="H49" s="28" t="n">
        <f aca="false">G49/E48</f>
        <v>-0.0102821316614419</v>
      </c>
      <c r="I49" s="29" t="n">
        <f aca="false">MAX(G49,0)</f>
        <v>0</v>
      </c>
      <c r="J49" s="29" t="n">
        <f aca="false">MAX(-G49,0)</f>
        <v>0.819999999999993</v>
      </c>
      <c r="K49" s="29" t="n">
        <f aca="false">(K48*13+I49)/14</f>
        <v>0.561209934431502</v>
      </c>
      <c r="L49" s="29" t="n">
        <f aca="false">(L48*13+J49)/14</f>
        <v>0.238402813490188</v>
      </c>
      <c r="M49" s="31" t="n">
        <f aca="false">IF(L49=0,100,100-100/(1+K49/MAX(L49,0.000001)))</f>
        <v>70.1852160173994</v>
      </c>
      <c r="N49" s="30" t="n">
        <f aca="false">AVERAGE(E30:E49)</f>
        <v>75.237</v>
      </c>
      <c r="Q49" s="30" t="n">
        <f aca="false">Q48+(2/13)*(E49-Q48)</f>
        <v>77.5522872400839</v>
      </c>
      <c r="R49" s="30" t="n">
        <f aca="false">R48+(2/27)*(E49-R48)</f>
        <v>75.0149795369017</v>
      </c>
      <c r="S49" s="33" t="n">
        <f aca="false">Q49-R49</f>
        <v>2.53730770318228</v>
      </c>
      <c r="T49" s="33" t="n">
        <f aca="false">T48+(2/10)*(S49-T48)</f>
        <v>2.10823793121134</v>
      </c>
      <c r="U49" s="33" t="n">
        <f aca="false">S49-T49</f>
        <v>0.429069771970942</v>
      </c>
      <c r="V49" s="32" t="str">
        <f aca="false">IF(M49="","",IF(M49&lt;Assumptions!$B$5,"BUY",IF(M49&gt;Assumptions!$B$4,"SELL","HOLD")))</f>
        <v>SELL</v>
      </c>
      <c r="X49" s="32" t="str">
        <f aca="false">IF(T49="","",IF(S49&gt;T49,"BUY","SELL"))</f>
        <v>BUY</v>
      </c>
    </row>
    <row r="50" customFormat="false" ht="15" hidden="false" customHeight="false" outlineLevel="0" collapsed="false">
      <c r="A50" s="24" t="n">
        <v>45838</v>
      </c>
      <c r="B50" s="25" t="n">
        <v>80.16</v>
      </c>
      <c r="C50" s="25" t="n">
        <v>80.49</v>
      </c>
      <c r="D50" s="25" t="n">
        <v>79.87</v>
      </c>
      <c r="E50" s="25" t="n">
        <v>80.18</v>
      </c>
      <c r="F50" s="26" t="n">
        <v>21011768</v>
      </c>
      <c r="G50" s="27" t="n">
        <f aca="false">E50-E49</f>
        <v>1.25</v>
      </c>
      <c r="H50" s="28" t="n">
        <f aca="false">G50/E49</f>
        <v>0.0158368174331686</v>
      </c>
      <c r="I50" s="29" t="n">
        <f aca="false">MAX(G50,0)</f>
        <v>1.25</v>
      </c>
      <c r="J50" s="29" t="n">
        <f aca="false">MAX(-G50,0)</f>
        <v>0</v>
      </c>
      <c r="K50" s="29" t="n">
        <f aca="false">(K49*13+I50)/14</f>
        <v>0.610409224829252</v>
      </c>
      <c r="L50" s="29" t="n">
        <f aca="false">(L49*13+J50)/14</f>
        <v>0.221374041098032</v>
      </c>
      <c r="M50" s="31" t="n">
        <f aca="false">IF(L50=0,100,100-100/(1+K50/MAX(L50,0.000001)))</f>
        <v>73.3856101503508</v>
      </c>
      <c r="N50" s="30" t="n">
        <f aca="false">AVERAGE(E31:E50)</f>
        <v>75.676</v>
      </c>
      <c r="Q50" s="30" t="n">
        <f aca="false">Q49+(2/13)*(E50-Q49)</f>
        <v>77.9565507416095</v>
      </c>
      <c r="R50" s="30" t="n">
        <f aca="false">R49+(2/27)*(E50-R49)</f>
        <v>75.3975736452793</v>
      </c>
      <c r="S50" s="33" t="n">
        <f aca="false">Q50-R50</f>
        <v>2.55897709633017</v>
      </c>
      <c r="T50" s="33" t="n">
        <f aca="false">T49+(2/10)*(S50-T49)</f>
        <v>2.1983857642351</v>
      </c>
      <c r="U50" s="33" t="n">
        <f aca="false">S50-T50</f>
        <v>0.360591332095064</v>
      </c>
      <c r="V50" s="32" t="str">
        <f aca="false">IF(M50="","",IF(M50&lt;Assumptions!$B$5,"BUY",IF(M50&gt;Assumptions!$B$4,"SELL","HOLD")))</f>
        <v>SELL</v>
      </c>
      <c r="X50" s="32" t="str">
        <f aca="false">IF(T50="","",IF(S50&gt;T50,"BUY","SELL"))</f>
        <v>BUY</v>
      </c>
    </row>
    <row r="51" customFormat="false" ht="15" hidden="false" customHeight="false" outlineLevel="0" collapsed="false">
      <c r="A51" s="24" t="n">
        <v>45839</v>
      </c>
      <c r="B51" s="25" t="n">
        <v>81.79</v>
      </c>
      <c r="C51" s="25" t="n">
        <v>81.79</v>
      </c>
      <c r="D51" s="25" t="n">
        <v>81.77</v>
      </c>
      <c r="E51" s="25" t="n">
        <v>81.78</v>
      </c>
      <c r="F51" s="26" t="n">
        <v>32312731</v>
      </c>
      <c r="G51" s="27" t="n">
        <f aca="false">E51-E50</f>
        <v>1.59999999999999</v>
      </c>
      <c r="H51" s="28" t="n">
        <f aca="false">G51/E50</f>
        <v>0.0199551010226989</v>
      </c>
      <c r="I51" s="29" t="n">
        <f aca="false">MAX(G51,0)</f>
        <v>1.59999999999999</v>
      </c>
      <c r="J51" s="29" t="n">
        <f aca="false">MAX(-G51,0)</f>
        <v>0</v>
      </c>
      <c r="K51" s="29" t="n">
        <f aca="false">(K50*13+I51)/14</f>
        <v>0.681094280198591</v>
      </c>
      <c r="L51" s="29" t="n">
        <f aca="false">(L50*13+J51)/14</f>
        <v>0.20556160959103</v>
      </c>
      <c r="M51" s="31" t="n">
        <f aca="false">IF(L51=0,100,100-100/(1+K51/MAX(L51,0.000001)))</f>
        <v>76.8160780345345</v>
      </c>
      <c r="N51" s="30" t="n">
        <f aca="false">AVERAGE(E32:E51)</f>
        <v>76.214</v>
      </c>
      <c r="Q51" s="30" t="n">
        <f aca="false">Q50+(2/13)*(E51-Q50)</f>
        <v>78.5447737044388</v>
      </c>
      <c r="R51" s="30" t="n">
        <f aca="false">R50+(2/27)*(E51-R50)</f>
        <v>75.8703459678512</v>
      </c>
      <c r="S51" s="33" t="n">
        <f aca="false">Q51-R51</f>
        <v>2.67442773658757</v>
      </c>
      <c r="T51" s="33" t="n">
        <f aca="false">T50+(2/10)*(S51-T50)</f>
        <v>2.2935941587056</v>
      </c>
      <c r="U51" s="33" t="n">
        <f aca="false">S51-T51</f>
        <v>0.380833577881977</v>
      </c>
      <c r="V51" s="32" t="str">
        <f aca="false">IF(M51="","",IF(M51&lt;Assumptions!$B$5,"BUY",IF(M51&gt;Assumptions!$B$4,"SELL","HOLD")))</f>
        <v>SELL</v>
      </c>
      <c r="X51" s="32" t="str">
        <f aca="false">IF(T51="","",IF(S51&gt;T51,"BUY","SELL"))</f>
        <v>BUY</v>
      </c>
    </row>
    <row r="52" customFormat="false" ht="15" hidden="false" customHeight="false" outlineLevel="0" collapsed="false">
      <c r="A52" s="24" t="n">
        <v>45840</v>
      </c>
      <c r="B52" s="25" t="n">
        <v>81.46</v>
      </c>
      <c r="C52" s="25" t="n">
        <v>81.52</v>
      </c>
      <c r="D52" s="25" t="n">
        <v>81.46</v>
      </c>
      <c r="E52" s="25" t="n">
        <v>81.49</v>
      </c>
      <c r="F52" s="26" t="n">
        <v>25893089</v>
      </c>
      <c r="G52" s="27" t="n">
        <f aca="false">E52-E51</f>
        <v>-0.290000000000006</v>
      </c>
      <c r="H52" s="28" t="n">
        <f aca="false">G52/E51</f>
        <v>-0.00354609929078022</v>
      </c>
      <c r="I52" s="29" t="n">
        <f aca="false">MAX(G52,0)</f>
        <v>0</v>
      </c>
      <c r="J52" s="29" t="n">
        <f aca="false">MAX(-G52,0)</f>
        <v>0.290000000000006</v>
      </c>
      <c r="K52" s="29" t="n">
        <f aca="false">(K51*13+I52)/14</f>
        <v>0.632444688755835</v>
      </c>
      <c r="L52" s="29" t="n">
        <f aca="false">(L51*13+J52)/14</f>
        <v>0.211592923191671</v>
      </c>
      <c r="M52" s="31" t="n">
        <f aca="false">IF(L52=0,100,100-100/(1+K52/MAX(L52,0.000001)))</f>
        <v>74.930865615876</v>
      </c>
      <c r="N52" s="30" t="n">
        <f aca="false">AVERAGE(E33:E52)</f>
        <v>76.6865</v>
      </c>
      <c r="O52" s="30" t="n">
        <f aca="false">AVERAGE(E3:E52)</f>
        <v>72.2648</v>
      </c>
      <c r="Q52" s="30" t="n">
        <f aca="false">Q51+(2/13)*(E52-Q51)</f>
        <v>78.9978854422174</v>
      </c>
      <c r="R52" s="30" t="n">
        <f aca="false">R51+(2/27)*(E52-R51)</f>
        <v>76.2866166368993</v>
      </c>
      <c r="S52" s="33" t="n">
        <f aca="false">Q52-R52</f>
        <v>2.71126880531816</v>
      </c>
      <c r="T52" s="33" t="n">
        <f aca="false">T51+(2/10)*(S52-T51)</f>
        <v>2.37712908802811</v>
      </c>
      <c r="U52" s="33" t="n">
        <f aca="false">S52-T52</f>
        <v>0.334139717290046</v>
      </c>
      <c r="V52" s="32" t="str">
        <f aca="false">IF(M52="","",IF(M52&lt;Assumptions!$B$5,"BUY",IF(M52&gt;Assumptions!$B$4,"SELL","HOLD")))</f>
        <v>SELL</v>
      </c>
      <c r="W52" s="32" t="str">
        <f aca="false">IF(O52="","",IF(E52&gt;O52,"BUY","SELL"))</f>
        <v>BUY</v>
      </c>
      <c r="X52" s="32" t="str">
        <f aca="false">IF(T52="","",IF(S52&gt;T52,"BUY","SELL"))</f>
        <v>BUY</v>
      </c>
      <c r="Y52" s="34" t="n">
        <f aca="false">IF(OR(V52="",W52="",X52=""),"",IFERROR(IF(V52="BUY",1,IF(V52="SELL",-1,0))+IF(W52="BUY",1,IF(W52="SELL",-1,0))+IF(X52="BUY",1,IF(X52="SELL",-1,0)),0))</f>
        <v>1</v>
      </c>
      <c r="Z52" s="32" t="str">
        <f aca="false">IF(Y52="","",IF(Y52&gt;=2,"STRONG BUY",IF(Y52=1,"BUY",IF(Y52=0,"HOLD",IF(Y52=-1,"SELL","STRONG SELL")))))</f>
        <v>BUY</v>
      </c>
    </row>
    <row r="53" customFormat="false" ht="15" hidden="false" customHeight="false" outlineLevel="0" collapsed="false">
      <c r="A53" s="24" t="n">
        <v>45841</v>
      </c>
      <c r="B53" s="25" t="n">
        <v>79.38</v>
      </c>
      <c r="C53" s="25" t="n">
        <v>79.38</v>
      </c>
      <c r="D53" s="25" t="n">
        <v>79.26</v>
      </c>
      <c r="E53" s="25" t="n">
        <v>79.32</v>
      </c>
      <c r="F53" s="26" t="n">
        <v>21031920</v>
      </c>
      <c r="G53" s="27" t="n">
        <f aca="false">E53-E52</f>
        <v>-2.17</v>
      </c>
      <c r="H53" s="28" t="n">
        <f aca="false">G53/E52</f>
        <v>-0.0266290342373298</v>
      </c>
      <c r="I53" s="29" t="n">
        <f aca="false">MAX(G53,0)</f>
        <v>0</v>
      </c>
      <c r="J53" s="29" t="n">
        <f aca="false">MAX(-G53,0)</f>
        <v>2.17</v>
      </c>
      <c r="K53" s="29" t="n">
        <f aca="false">(K52*13+I53)/14</f>
        <v>0.587270068130418</v>
      </c>
      <c r="L53" s="29" t="n">
        <f aca="false">(L52*13+J53)/14</f>
        <v>0.351479142963695</v>
      </c>
      <c r="M53" s="31" t="n">
        <f aca="false">IF(L53=0,100,100-100/(1+K53/MAX(L53,0.000001)))</f>
        <v>62.558781535055</v>
      </c>
      <c r="N53" s="30" t="n">
        <f aca="false">AVERAGE(E34:E53)</f>
        <v>77.1285</v>
      </c>
      <c r="O53" s="30" t="n">
        <f aca="false">AVERAGE(E4:E53)</f>
        <v>72.4812</v>
      </c>
      <c r="Q53" s="30" t="n">
        <f aca="false">Q52+(2/13)*(E53-Q52)</f>
        <v>79.0474415280301</v>
      </c>
      <c r="R53" s="30" t="n">
        <f aca="false">R52+(2/27)*(E53-R52)</f>
        <v>76.5113117008327</v>
      </c>
      <c r="S53" s="33" t="n">
        <f aca="false">Q53-R53</f>
        <v>2.53612982719747</v>
      </c>
      <c r="T53" s="33" t="n">
        <f aca="false">T52+(2/10)*(S53-T52)</f>
        <v>2.40892923586198</v>
      </c>
      <c r="U53" s="33" t="n">
        <f aca="false">S53-T53</f>
        <v>0.127200591335489</v>
      </c>
      <c r="V53" s="32" t="str">
        <f aca="false">IF(M53="","",IF(M53&lt;Assumptions!$B$5,"BUY",IF(M53&gt;Assumptions!$B$4,"SELL","HOLD")))</f>
        <v>HOLD</v>
      </c>
      <c r="W53" s="32" t="str">
        <f aca="false">IF(O53="","",IF(E53&gt;O53,"BUY","SELL"))</f>
        <v>BUY</v>
      </c>
      <c r="X53" s="32" t="str">
        <f aca="false">IF(T53="","",IF(S53&gt;T53,"BUY","SELL"))</f>
        <v>BUY</v>
      </c>
      <c r="Y53" s="34" t="n">
        <f aca="false">IF(OR(V53="",W53="",X53=""),"",IFERROR(IF(V53="BUY",1,IF(V53="SELL",-1,0))+IF(W53="BUY",1,IF(W53="SELL",-1,0))+IF(X53="BUY",1,IF(X53="SELL",-1,0)),0))</f>
        <v>2</v>
      </c>
      <c r="Z53" s="32" t="str">
        <f aca="false">IF(Y53="","",IF(Y53&gt;=2,"STRONG BUY",IF(Y53=1,"BUY",IF(Y53=0,"HOLD",IF(Y53=-1,"SELL","STRONG SELL")))))</f>
        <v>STRONG BUY</v>
      </c>
    </row>
    <row r="54" customFormat="false" ht="15" hidden="false" customHeight="false" outlineLevel="0" collapsed="false">
      <c r="A54" s="24" t="n">
        <v>45842</v>
      </c>
      <c r="B54" s="25" t="n">
        <v>78.38</v>
      </c>
      <c r="C54" s="25" t="n">
        <v>79.4</v>
      </c>
      <c r="D54" s="25" t="n">
        <v>77.76</v>
      </c>
      <c r="E54" s="25" t="n">
        <v>78.58</v>
      </c>
      <c r="F54" s="26" t="n">
        <v>38234121</v>
      </c>
      <c r="G54" s="27" t="n">
        <f aca="false">E54-E53</f>
        <v>-0.739999999999995</v>
      </c>
      <c r="H54" s="28" t="n">
        <f aca="false">G54/E53</f>
        <v>-0.00932929904185571</v>
      </c>
      <c r="I54" s="29" t="n">
        <f aca="false">MAX(G54,0)</f>
        <v>0</v>
      </c>
      <c r="J54" s="29" t="n">
        <f aca="false">MAX(-G54,0)</f>
        <v>0.739999999999995</v>
      </c>
      <c r="K54" s="29" t="n">
        <f aca="false">(K53*13+I54)/14</f>
        <v>0.545322206121102</v>
      </c>
      <c r="L54" s="29" t="n">
        <f aca="false">(L53*13+J54)/14</f>
        <v>0.379230632752002</v>
      </c>
      <c r="M54" s="31" t="n">
        <f aca="false">IF(L54=0,100,100-100/(1+K54/MAX(L54,0.000001)))</f>
        <v>58.9822650683514</v>
      </c>
      <c r="N54" s="30" t="n">
        <f aca="false">AVERAGE(E35:E54)</f>
        <v>77.528</v>
      </c>
      <c r="O54" s="30" t="n">
        <f aca="false">AVERAGE(E5:E54)</f>
        <v>72.687</v>
      </c>
      <c r="Q54" s="30" t="n">
        <f aca="false">Q53+(2/13)*(E54-Q53)</f>
        <v>78.9755274467947</v>
      </c>
      <c r="R54" s="30" t="n">
        <f aca="false">R53+(2/27)*(E54-R53)</f>
        <v>76.6645478711413</v>
      </c>
      <c r="S54" s="33" t="n">
        <f aca="false">Q54-R54</f>
        <v>2.31097957565338</v>
      </c>
      <c r="T54" s="33" t="n">
        <f aca="false">T53+(2/10)*(S54-T53)</f>
        <v>2.38933930382026</v>
      </c>
      <c r="U54" s="33" t="n">
        <f aca="false">S54-T54</f>
        <v>-0.0783597281668835</v>
      </c>
      <c r="V54" s="32" t="str">
        <f aca="false">IF(M54="","",IF(M54&lt;Assumptions!$B$5,"BUY",IF(M54&gt;Assumptions!$B$4,"SELL","HOLD")))</f>
        <v>HOLD</v>
      </c>
      <c r="W54" s="32" t="str">
        <f aca="false">IF(O54="","",IF(E54&gt;O54,"BUY","SELL"))</f>
        <v>BUY</v>
      </c>
      <c r="X54" s="32" t="str">
        <f aca="false">IF(T54="","",IF(S54&gt;T54,"BUY","SELL"))</f>
        <v>SELL</v>
      </c>
      <c r="Y54" s="34" t="n">
        <f aca="false">IF(OR(V54="",W54="",X54=""),"",IFERROR(IF(V54="BUY",1,IF(V54="SELL",-1,0))+IF(W54="BUY",1,IF(W54="SELL",-1,0))+IF(X54="BUY",1,IF(X54="SELL",-1,0)),0))</f>
        <v>0</v>
      </c>
      <c r="Z54" s="32" t="str">
        <f aca="false">IF(Y54="","",IF(Y54&gt;=2,"STRONG BUY",IF(Y54=1,"BUY",IF(Y54=0,"HOLD",IF(Y54=-1,"SELL","STRONG SELL")))))</f>
        <v>HOLD</v>
      </c>
    </row>
    <row r="55" customFormat="false" ht="15" hidden="false" customHeight="false" outlineLevel="0" collapsed="false">
      <c r="A55" s="24" t="n">
        <v>45845</v>
      </c>
      <c r="B55" s="25" t="n">
        <v>79.4</v>
      </c>
      <c r="C55" s="25" t="n">
        <v>79.76</v>
      </c>
      <c r="D55" s="25" t="n">
        <v>78.44</v>
      </c>
      <c r="E55" s="25" t="n">
        <v>79.1</v>
      </c>
      <c r="F55" s="26" t="n">
        <v>41398055</v>
      </c>
      <c r="G55" s="27" t="n">
        <f aca="false">E55-E54</f>
        <v>0.519999999999996</v>
      </c>
      <c r="H55" s="28" t="n">
        <f aca="false">G55/E54</f>
        <v>0.00661745991346394</v>
      </c>
      <c r="I55" s="29" t="n">
        <f aca="false">MAX(G55,0)</f>
        <v>0.519999999999996</v>
      </c>
      <c r="J55" s="29" t="n">
        <f aca="false">MAX(-G55,0)</f>
        <v>0</v>
      </c>
      <c r="K55" s="29" t="n">
        <f aca="false">(K54*13+I55)/14</f>
        <v>0.543513477112452</v>
      </c>
      <c r="L55" s="29" t="n">
        <f aca="false">(L54*13+J55)/14</f>
        <v>0.352142730412573</v>
      </c>
      <c r="M55" s="31" t="n">
        <f aca="false">IF(L55=0,100,100-100/(1+K55/MAX(L55,0.000001)))</f>
        <v>60.6832702711175</v>
      </c>
      <c r="N55" s="30" t="n">
        <f aca="false">AVERAGE(E36:E55)</f>
        <v>77.897</v>
      </c>
      <c r="O55" s="30" t="n">
        <f aca="false">AVERAGE(E6:E55)</f>
        <v>72.8938</v>
      </c>
      <c r="Q55" s="30" t="n">
        <f aca="false">Q54+(2/13)*(E55-Q54)</f>
        <v>78.9946770703648</v>
      </c>
      <c r="R55" s="30" t="n">
        <f aca="false">R54+(2/27)*(E55-R54)</f>
        <v>76.8449517325383</v>
      </c>
      <c r="S55" s="33" t="n">
        <f aca="false">Q55-R55</f>
        <v>2.14972533782648</v>
      </c>
      <c r="T55" s="33" t="n">
        <f aca="false">T54+(2/10)*(S55-T54)</f>
        <v>2.34141651062151</v>
      </c>
      <c r="U55" s="33" t="n">
        <f aca="false">S55-T55</f>
        <v>-0.191691172795023</v>
      </c>
      <c r="V55" s="32" t="str">
        <f aca="false">IF(M55="","",IF(M55&lt;Assumptions!$B$5,"BUY",IF(M55&gt;Assumptions!$B$4,"SELL","HOLD")))</f>
        <v>HOLD</v>
      </c>
      <c r="W55" s="32" t="str">
        <f aca="false">IF(O55="","",IF(E55&gt;O55,"BUY","SELL"))</f>
        <v>BUY</v>
      </c>
      <c r="X55" s="32" t="str">
        <f aca="false">IF(T55="","",IF(S55&gt;T55,"BUY","SELL"))</f>
        <v>SELL</v>
      </c>
      <c r="Y55" s="34" t="n">
        <f aca="false">IF(OR(V55="",W55="",X55=""),"",IFERROR(IF(V55="BUY",1,IF(V55="SELL",-1,0))+IF(W55="BUY",1,IF(W55="SELL",-1,0))+IF(X55="BUY",1,IF(X55="SELL",-1,0)),0))</f>
        <v>0</v>
      </c>
      <c r="Z55" s="32" t="str">
        <f aca="false">IF(Y55="","",IF(Y55&gt;=2,"STRONG BUY",IF(Y55=1,"BUY",IF(Y55=0,"HOLD",IF(Y55=-1,"SELL","STRONG SELL")))))</f>
        <v>HOLD</v>
      </c>
    </row>
    <row r="56" customFormat="false" ht="15" hidden="false" customHeight="false" outlineLevel="0" collapsed="false">
      <c r="A56" s="24" t="n">
        <v>45846</v>
      </c>
      <c r="B56" s="25" t="n">
        <v>77.89</v>
      </c>
      <c r="C56" s="25" t="n">
        <v>78.25</v>
      </c>
      <c r="D56" s="25" t="n">
        <v>77.73</v>
      </c>
      <c r="E56" s="25" t="n">
        <v>77.99</v>
      </c>
      <c r="F56" s="26" t="n">
        <v>20423123</v>
      </c>
      <c r="G56" s="27" t="n">
        <f aca="false">E56-E55</f>
        <v>-1.11</v>
      </c>
      <c r="H56" s="28" t="n">
        <f aca="false">G56/E55</f>
        <v>-0.0140328697850822</v>
      </c>
      <c r="I56" s="29" t="n">
        <f aca="false">MAX(G56,0)</f>
        <v>0</v>
      </c>
      <c r="J56" s="29" t="n">
        <f aca="false">MAX(-G56,0)</f>
        <v>1.11</v>
      </c>
      <c r="K56" s="29" t="n">
        <f aca="false">(K55*13+I56)/14</f>
        <v>0.504691085890134</v>
      </c>
      <c r="L56" s="29" t="n">
        <f aca="false">(L55*13+J56)/14</f>
        <v>0.406275392525961</v>
      </c>
      <c r="M56" s="31" t="n">
        <f aca="false">IF(L56=0,100,100-100/(1+K56/MAX(L56,0.000001)))</f>
        <v>55.4017187073277</v>
      </c>
      <c r="N56" s="30" t="n">
        <f aca="false">AVERAGE(E37:E56)</f>
        <v>78.1735</v>
      </c>
      <c r="O56" s="30" t="n">
        <f aca="false">AVERAGE(E7:E56)</f>
        <v>73.086</v>
      </c>
      <c r="Q56" s="30" t="n">
        <f aca="false">Q55+(2/13)*(E56-Q55)</f>
        <v>78.8401113672317</v>
      </c>
      <c r="R56" s="30" t="n">
        <f aca="false">R55+(2/27)*(E56-R55)</f>
        <v>76.9297701227206</v>
      </c>
      <c r="S56" s="33" t="n">
        <f aca="false">Q56-R56</f>
        <v>1.91034124451109</v>
      </c>
      <c r="T56" s="33" t="n">
        <f aca="false">T55+(2/10)*(S56-T55)</f>
        <v>2.25520145739942</v>
      </c>
      <c r="U56" s="33" t="n">
        <f aca="false">S56-T56</f>
        <v>-0.344860212888334</v>
      </c>
      <c r="V56" s="32" t="str">
        <f aca="false">IF(M56="","",IF(M56&lt;Assumptions!$B$5,"BUY",IF(M56&gt;Assumptions!$B$4,"SELL","HOLD")))</f>
        <v>HOLD</v>
      </c>
      <c r="W56" s="32" t="str">
        <f aca="false">IF(O56="","",IF(E56&gt;O56,"BUY","SELL"))</f>
        <v>BUY</v>
      </c>
      <c r="X56" s="32" t="str">
        <f aca="false">IF(T56="","",IF(S56&gt;T56,"BUY","SELL"))</f>
        <v>SELL</v>
      </c>
      <c r="Y56" s="34" t="n">
        <f aca="false">IF(OR(V56="",W56="",X56=""),"",IFERROR(IF(V56="BUY",1,IF(V56="SELL",-1,0))+IF(W56="BUY",1,IF(W56="SELL",-1,0))+IF(X56="BUY",1,IF(X56="SELL",-1,0)),0))</f>
        <v>0</v>
      </c>
      <c r="Z56" s="32" t="str">
        <f aca="false">IF(Y56="","",IF(Y56&gt;=2,"STRONG BUY",IF(Y56=1,"BUY",IF(Y56=0,"HOLD",IF(Y56=-1,"SELL","STRONG SELL")))))</f>
        <v>HOLD</v>
      </c>
    </row>
    <row r="57" customFormat="false" ht="15" hidden="false" customHeight="false" outlineLevel="0" collapsed="false">
      <c r="A57" s="24" t="n">
        <v>45847</v>
      </c>
      <c r="B57" s="25" t="n">
        <v>75.99</v>
      </c>
      <c r="C57" s="25" t="n">
        <v>76.04</v>
      </c>
      <c r="D57" s="25" t="n">
        <v>75.44</v>
      </c>
      <c r="E57" s="25" t="n">
        <v>75.74</v>
      </c>
      <c r="F57" s="26" t="n">
        <v>12044727</v>
      </c>
      <c r="G57" s="27" t="n">
        <f aca="false">E57-E56</f>
        <v>-2.25</v>
      </c>
      <c r="H57" s="28" t="n">
        <f aca="false">G57/E56</f>
        <v>-0.0288498525451981</v>
      </c>
      <c r="I57" s="29" t="n">
        <f aca="false">MAX(G57,0)</f>
        <v>0</v>
      </c>
      <c r="J57" s="29" t="n">
        <f aca="false">MAX(-G57,0)</f>
        <v>2.25</v>
      </c>
      <c r="K57" s="29" t="n">
        <f aca="false">(K56*13+I57)/14</f>
        <v>0.468641722612267</v>
      </c>
      <c r="L57" s="29" t="n">
        <f aca="false">(L56*13+J57)/14</f>
        <v>0.537970007345535</v>
      </c>
      <c r="M57" s="31" t="n">
        <f aca="false">IF(L57=0,100,100-100/(1+K57/MAX(L57,0.000001)))</f>
        <v>46.5563542193089</v>
      </c>
      <c r="N57" s="30" t="n">
        <f aca="false">AVERAGE(E38:E57)</f>
        <v>78.292</v>
      </c>
      <c r="O57" s="30" t="n">
        <f aca="false">AVERAGE(E8:E57)</f>
        <v>73.2218</v>
      </c>
      <c r="Q57" s="30" t="n">
        <f aca="false">Q56+(2/13)*(E57-Q56)</f>
        <v>78.3631711568884</v>
      </c>
      <c r="R57" s="30" t="n">
        <f aca="false">R56+(2/27)*(E57-R56)</f>
        <v>76.8416390025191</v>
      </c>
      <c r="S57" s="33" t="n">
        <f aca="false">Q57-R57</f>
        <v>1.52153215436927</v>
      </c>
      <c r="T57" s="33" t="n">
        <f aca="false">T56+(2/10)*(S57-T56)</f>
        <v>2.10846759679339</v>
      </c>
      <c r="U57" s="33" t="n">
        <f aca="false">S57-T57</f>
        <v>-0.586935442424123</v>
      </c>
      <c r="V57" s="32" t="str">
        <f aca="false">IF(M57="","",IF(M57&lt;Assumptions!$B$5,"BUY",IF(M57&gt;Assumptions!$B$4,"SELL","HOLD")))</f>
        <v>HOLD</v>
      </c>
      <c r="W57" s="32" t="str">
        <f aca="false">IF(O57="","",IF(E57&gt;O57,"BUY","SELL"))</f>
        <v>BUY</v>
      </c>
      <c r="X57" s="32" t="str">
        <f aca="false">IF(T57="","",IF(S57&gt;T57,"BUY","SELL"))</f>
        <v>SELL</v>
      </c>
      <c r="Y57" s="34" t="n">
        <f aca="false">IF(OR(V57="",W57="",X57=""),"",IFERROR(IF(V57="BUY",1,IF(V57="SELL",-1,0))+IF(W57="BUY",1,IF(W57="SELL",-1,0))+IF(X57="BUY",1,IF(X57="SELL",-1,0)),0))</f>
        <v>0</v>
      </c>
      <c r="Z57" s="32" t="str">
        <f aca="false">IF(Y57="","",IF(Y57&gt;=2,"STRONG BUY",IF(Y57=1,"BUY",IF(Y57=0,"HOLD",IF(Y57=-1,"SELL","STRONG SELL")))))</f>
        <v>HOLD</v>
      </c>
    </row>
    <row r="58" customFormat="false" ht="15" hidden="false" customHeight="false" outlineLevel="0" collapsed="false">
      <c r="A58" s="24" t="n">
        <v>45848</v>
      </c>
      <c r="B58" s="25" t="n">
        <v>75.7</v>
      </c>
      <c r="C58" s="25" t="n">
        <v>75.88</v>
      </c>
      <c r="D58" s="25" t="n">
        <v>74.6</v>
      </c>
      <c r="E58" s="25" t="n">
        <v>75.24</v>
      </c>
      <c r="F58" s="26" t="n">
        <v>33862711</v>
      </c>
      <c r="G58" s="27" t="n">
        <f aca="false">E58-E57</f>
        <v>-0.5</v>
      </c>
      <c r="H58" s="28" t="n">
        <f aca="false">G58/E57</f>
        <v>-0.00660153155532084</v>
      </c>
      <c r="I58" s="29" t="n">
        <f aca="false">MAX(G58,0)</f>
        <v>0</v>
      </c>
      <c r="J58" s="29" t="n">
        <f aca="false">MAX(-G58,0)</f>
        <v>0.5</v>
      </c>
      <c r="K58" s="29" t="n">
        <f aca="false">(K57*13+I58)/14</f>
        <v>0.435167313854248</v>
      </c>
      <c r="L58" s="29" t="n">
        <f aca="false">(L57*13+J58)/14</f>
        <v>0.535257863963711</v>
      </c>
      <c r="M58" s="31" t="n">
        <f aca="false">IF(L58=0,100,100-100/(1+K58/MAX(L58,0.000001)))</f>
        <v>44.8429537692684</v>
      </c>
      <c r="N58" s="30" t="n">
        <f aca="false">AVERAGE(E39:E58)</f>
        <v>78.2785</v>
      </c>
      <c r="O58" s="30" t="n">
        <f aca="false">AVERAGE(E9:E58)</f>
        <v>73.339</v>
      </c>
      <c r="Q58" s="30" t="n">
        <f aca="false">Q57+(2/13)*(E58-Q57)</f>
        <v>77.8826832865979</v>
      </c>
      <c r="R58" s="30" t="n">
        <f aca="false">R57+(2/27)*(E58-R57)</f>
        <v>76.7229990764066</v>
      </c>
      <c r="S58" s="33" t="n">
        <f aca="false">Q58-R58</f>
        <v>1.15968421019127</v>
      </c>
      <c r="T58" s="33" t="n">
        <f aca="false">T57+(2/10)*(S58-T57)</f>
        <v>1.91871091947297</v>
      </c>
      <c r="U58" s="33" t="n">
        <f aca="false">S58-T58</f>
        <v>-0.759026709281695</v>
      </c>
      <c r="V58" s="32" t="str">
        <f aca="false">IF(M58="","",IF(M58&lt;Assumptions!$B$5,"BUY",IF(M58&gt;Assumptions!$B$4,"SELL","HOLD")))</f>
        <v>HOLD</v>
      </c>
      <c r="W58" s="32" t="str">
        <f aca="false">IF(O58="","",IF(E58&gt;O58,"BUY","SELL"))</f>
        <v>BUY</v>
      </c>
      <c r="X58" s="32" t="str">
        <f aca="false">IF(T58="","",IF(S58&gt;T58,"BUY","SELL"))</f>
        <v>SELL</v>
      </c>
      <c r="Y58" s="34" t="n">
        <f aca="false">IF(OR(V58="",W58="",X58=""),"",IFERROR(IF(V58="BUY",1,IF(V58="SELL",-1,0))+IF(W58="BUY",1,IF(W58="SELL",-1,0))+IF(X58="BUY",1,IF(X58="SELL",-1,0)),0))</f>
        <v>0</v>
      </c>
      <c r="Z58" s="32" t="str">
        <f aca="false">IF(Y58="","",IF(Y58&gt;=2,"STRONG BUY",IF(Y58=1,"BUY",IF(Y58=0,"HOLD",IF(Y58=-1,"SELL","STRONG SELL")))))</f>
        <v>HOLD</v>
      </c>
    </row>
    <row r="59" customFormat="false" ht="15" hidden="false" customHeight="false" outlineLevel="0" collapsed="false">
      <c r="A59" s="24" t="n">
        <v>45849</v>
      </c>
      <c r="B59" s="25" t="n">
        <v>73.16</v>
      </c>
      <c r="C59" s="25" t="n">
        <v>73.16</v>
      </c>
      <c r="D59" s="25" t="n">
        <v>72.8</v>
      </c>
      <c r="E59" s="25" t="n">
        <v>72.98</v>
      </c>
      <c r="F59" s="26" t="n">
        <v>31775064</v>
      </c>
      <c r="G59" s="27" t="n">
        <f aca="false">E59-E58</f>
        <v>-2.25999999999999</v>
      </c>
      <c r="H59" s="28" t="n">
        <f aca="false">G59/E58</f>
        <v>-0.0300372142477404</v>
      </c>
      <c r="I59" s="29" t="n">
        <f aca="false">MAX(G59,0)</f>
        <v>0</v>
      </c>
      <c r="J59" s="29" t="n">
        <f aca="false">MAX(-G59,0)</f>
        <v>2.25999999999999</v>
      </c>
      <c r="K59" s="29" t="n">
        <f aca="false">(K58*13+I59)/14</f>
        <v>0.40408393429323</v>
      </c>
      <c r="L59" s="29" t="n">
        <f aca="false">(L58*13+J59)/14</f>
        <v>0.658453730823445</v>
      </c>
      <c r="M59" s="31" t="n">
        <f aca="false">IF(L59=0,100,100-100/(1+K59/MAX(L59,0.000001)))</f>
        <v>38.0300809617755</v>
      </c>
      <c r="N59" s="30" t="n">
        <f aca="false">AVERAGE(E40:E59)</f>
        <v>78.1935</v>
      </c>
      <c r="O59" s="30" t="n">
        <f aca="false">AVERAGE(E10:E59)</f>
        <v>73.399</v>
      </c>
      <c r="Q59" s="30" t="n">
        <f aca="false">Q58+(2/13)*(E59-Q58)</f>
        <v>77.128424319429</v>
      </c>
      <c r="R59" s="30" t="n">
        <f aca="false">R58+(2/27)*(E59-R58)</f>
        <v>76.4457398855617</v>
      </c>
      <c r="S59" s="33" t="n">
        <f aca="false">Q59-R59</f>
        <v>0.682684433867308</v>
      </c>
      <c r="T59" s="33" t="n">
        <f aca="false">T58+(2/10)*(S59-T58)</f>
        <v>1.67150562235184</v>
      </c>
      <c r="U59" s="33" t="n">
        <f aca="false">S59-T59</f>
        <v>-0.988821188484527</v>
      </c>
      <c r="V59" s="32" t="str">
        <f aca="false">IF(M59="","",IF(M59&lt;Assumptions!$B$5,"BUY",IF(M59&gt;Assumptions!$B$4,"SELL","HOLD")))</f>
        <v>HOLD</v>
      </c>
      <c r="W59" s="32" t="str">
        <f aca="false">IF(O59="","",IF(E59&gt;O59,"BUY","SELL"))</f>
        <v>SELL</v>
      </c>
      <c r="X59" s="32" t="str">
        <f aca="false">IF(T59="","",IF(S59&gt;T59,"BUY","SELL"))</f>
        <v>SELL</v>
      </c>
      <c r="Y59" s="34" t="n">
        <f aca="false">IF(OR(V59="",W59="",X59=""),"",IFERROR(IF(V59="BUY",1,IF(V59="SELL",-1,0))+IF(W59="BUY",1,IF(W59="SELL",-1,0))+IF(X59="BUY",1,IF(X59="SELL",-1,0)),0))</f>
        <v>-2</v>
      </c>
      <c r="Z59" s="32" t="str">
        <f aca="false">IF(Y59="","",IF(Y59&gt;=2,"STRONG BUY",IF(Y59=1,"BUY",IF(Y59=0,"HOLD",IF(Y59=-1,"SELL","STRONG SELL")))))</f>
        <v>STRONG SELL</v>
      </c>
    </row>
    <row r="60" customFormat="false" ht="15" hidden="false" customHeight="false" outlineLevel="0" collapsed="false">
      <c r="A60" s="24" t="n">
        <v>45852</v>
      </c>
      <c r="B60" s="25" t="n">
        <v>73.26</v>
      </c>
      <c r="C60" s="25" t="n">
        <v>73.42</v>
      </c>
      <c r="D60" s="25" t="n">
        <v>73.26</v>
      </c>
      <c r="E60" s="25" t="n">
        <v>73.34</v>
      </c>
      <c r="F60" s="26" t="n">
        <v>36227036</v>
      </c>
      <c r="G60" s="27" t="n">
        <f aca="false">E60-E59</f>
        <v>0.359999999999999</v>
      </c>
      <c r="H60" s="28" t="n">
        <f aca="false">G60/E59</f>
        <v>0.00493285831734721</v>
      </c>
      <c r="I60" s="29" t="n">
        <f aca="false">MAX(G60,0)</f>
        <v>0.359999999999999</v>
      </c>
      <c r="J60" s="29" t="n">
        <f aca="false">MAX(-G60,0)</f>
        <v>0</v>
      </c>
      <c r="K60" s="29" t="n">
        <f aca="false">(K59*13+I60)/14</f>
        <v>0.400935081843714</v>
      </c>
      <c r="L60" s="29" t="n">
        <f aca="false">(L59*13+J60)/14</f>
        <v>0.611421321478914</v>
      </c>
      <c r="M60" s="31" t="n">
        <f aca="false">IF(L60=0,100,100-100/(1+K60/MAX(L60,0.000001)))</f>
        <v>39.6041434150874</v>
      </c>
      <c r="N60" s="30" t="n">
        <f aca="false">AVERAGE(E41:E60)</f>
        <v>78.0815</v>
      </c>
      <c r="O60" s="30" t="n">
        <f aca="false">AVERAGE(E11:E60)</f>
        <v>73.4356</v>
      </c>
      <c r="Q60" s="30" t="n">
        <f aca="false">Q59+(2/13)*(E60-Q59)</f>
        <v>76.5455898087476</v>
      </c>
      <c r="R60" s="30" t="n">
        <f aca="false">R59+(2/27)*(E60-R59)</f>
        <v>76.2156850792238</v>
      </c>
      <c r="S60" s="33" t="n">
        <f aca="false">Q60-R60</f>
        <v>0.329904729523832</v>
      </c>
      <c r="T60" s="33" t="n">
        <f aca="false">T59+(2/10)*(S60-T59)</f>
        <v>1.40318544378623</v>
      </c>
      <c r="U60" s="33" t="n">
        <f aca="false">S60-T60</f>
        <v>-1.0732807142624</v>
      </c>
      <c r="V60" s="32" t="str">
        <f aca="false">IF(M60="","",IF(M60&lt;Assumptions!$B$5,"BUY",IF(M60&gt;Assumptions!$B$4,"SELL","HOLD")))</f>
        <v>HOLD</v>
      </c>
      <c r="W60" s="32" t="str">
        <f aca="false">IF(O60="","",IF(E60&gt;O60,"BUY","SELL"))</f>
        <v>SELL</v>
      </c>
      <c r="X60" s="32" t="str">
        <f aca="false">IF(T60="","",IF(S60&gt;T60,"BUY","SELL"))</f>
        <v>SELL</v>
      </c>
      <c r="Y60" s="34" t="n">
        <f aca="false">IF(OR(V60="",W60="",X60=""),"",IFERROR(IF(V60="BUY",1,IF(V60="SELL",-1,0))+IF(W60="BUY",1,IF(W60="SELL",-1,0))+IF(X60="BUY",1,IF(X60="SELL",-1,0)),0))</f>
        <v>-2</v>
      </c>
      <c r="Z60" s="32" t="str">
        <f aca="false">IF(Y60="","",IF(Y60&gt;=2,"STRONG BUY",IF(Y60=1,"BUY",IF(Y60=0,"HOLD",IF(Y60=-1,"SELL","STRONG SELL")))))</f>
        <v>STRONG SELL</v>
      </c>
    </row>
    <row r="61" customFormat="false" ht="15" hidden="false" customHeight="false" outlineLevel="0" collapsed="false">
      <c r="A61" s="24" t="n">
        <v>45853</v>
      </c>
      <c r="B61" s="25" t="n">
        <v>72.71</v>
      </c>
      <c r="C61" s="25" t="n">
        <v>73.11</v>
      </c>
      <c r="D61" s="25" t="n">
        <v>72.71</v>
      </c>
      <c r="E61" s="25" t="n">
        <v>72.91</v>
      </c>
      <c r="F61" s="26" t="n">
        <v>26245092</v>
      </c>
      <c r="G61" s="27" t="n">
        <f aca="false">E61-E60</f>
        <v>-0.430000000000007</v>
      </c>
      <c r="H61" s="28" t="n">
        <f aca="false">G61/E60</f>
        <v>-0.00586310335424062</v>
      </c>
      <c r="I61" s="29" t="n">
        <f aca="false">MAX(G61,0)</f>
        <v>0</v>
      </c>
      <c r="J61" s="29" t="n">
        <f aca="false">MAX(-G61,0)</f>
        <v>0.430000000000007</v>
      </c>
      <c r="K61" s="29" t="n">
        <f aca="false">(K60*13+I61)/14</f>
        <v>0.37229686171202</v>
      </c>
      <c r="L61" s="29" t="n">
        <f aca="false">(L60*13+J61)/14</f>
        <v>0.598462655658992</v>
      </c>
      <c r="M61" s="31" t="n">
        <f aca="false">IF(L61=0,100,100-100/(1+K61/MAX(L61,0.000001)))</f>
        <v>38.3510905687812</v>
      </c>
      <c r="N61" s="30" t="n">
        <f aca="false">AVERAGE(E42:E61)</f>
        <v>77.953</v>
      </c>
      <c r="O61" s="30" t="n">
        <f aca="false">AVERAGE(E12:E61)</f>
        <v>73.4696</v>
      </c>
      <c r="Q61" s="30" t="n">
        <f aca="false">Q60+(2/13)*(E61-Q60)</f>
        <v>75.9862682997095</v>
      </c>
      <c r="R61" s="30" t="n">
        <f aca="false">R60+(2/27)*(E61-R60)</f>
        <v>75.9708195177998</v>
      </c>
      <c r="S61" s="33" t="n">
        <f aca="false">Q61-R61</f>
        <v>0.0154487819097255</v>
      </c>
      <c r="T61" s="33" t="n">
        <f aca="false">T60+(2/10)*(S61-T60)</f>
        <v>1.12563811141093</v>
      </c>
      <c r="U61" s="33" t="n">
        <f aca="false">S61-T61</f>
        <v>-1.11018932950121</v>
      </c>
      <c r="V61" s="32" t="str">
        <f aca="false">IF(M61="","",IF(M61&lt;Assumptions!$B$5,"BUY",IF(M61&gt;Assumptions!$B$4,"SELL","HOLD")))</f>
        <v>HOLD</v>
      </c>
      <c r="W61" s="32" t="str">
        <f aca="false">IF(O61="","",IF(E61&gt;O61,"BUY","SELL"))</f>
        <v>SELL</v>
      </c>
      <c r="X61" s="32" t="str">
        <f aca="false">IF(T61="","",IF(S61&gt;T61,"BUY","SELL"))</f>
        <v>SELL</v>
      </c>
      <c r="Y61" s="34" t="n">
        <f aca="false">IF(OR(V61="",W61="",X61=""),"",IFERROR(IF(V61="BUY",1,IF(V61="SELL",-1,0))+IF(W61="BUY",1,IF(W61="SELL",-1,0))+IF(X61="BUY",1,IF(X61="SELL",-1,0)),0))</f>
        <v>-2</v>
      </c>
      <c r="Z61" s="32" t="str">
        <f aca="false">IF(Y61="","",IF(Y61&gt;=2,"STRONG BUY",IF(Y61=1,"BUY",IF(Y61=0,"HOLD",IF(Y61=-1,"SELL","STRONG SELL")))))</f>
        <v>STRONG SELL</v>
      </c>
    </row>
    <row r="62" customFormat="false" ht="15" hidden="false" customHeight="false" outlineLevel="0" collapsed="false">
      <c r="A62" s="24" t="n">
        <v>45854</v>
      </c>
      <c r="B62" s="25" t="n">
        <v>72.95</v>
      </c>
      <c r="C62" s="25" t="n">
        <v>73.19</v>
      </c>
      <c r="D62" s="25" t="n">
        <v>72.77</v>
      </c>
      <c r="E62" s="25" t="n">
        <v>72.98</v>
      </c>
      <c r="F62" s="26" t="n">
        <v>22130256</v>
      </c>
      <c r="G62" s="27" t="n">
        <f aca="false">E62-E61</f>
        <v>0.0700000000000074</v>
      </c>
      <c r="H62" s="28" t="n">
        <f aca="false">G62/E61</f>
        <v>0.000960087779454223</v>
      </c>
      <c r="I62" s="29" t="n">
        <f aca="false">MAX(G62,0)</f>
        <v>0.0700000000000074</v>
      </c>
      <c r="J62" s="29" t="n">
        <f aca="false">MAX(-G62,0)</f>
        <v>0</v>
      </c>
      <c r="K62" s="29" t="n">
        <f aca="false">(K61*13+I62)/14</f>
        <v>0.350704228732591</v>
      </c>
      <c r="L62" s="29" t="n">
        <f aca="false">(L61*13+J62)/14</f>
        <v>0.555715323111921</v>
      </c>
      <c r="M62" s="31" t="n">
        <f aca="false">IF(L62=0,100,100-100/(1+K62/MAX(L62,0.000001)))</f>
        <v>38.6911588589332</v>
      </c>
      <c r="N62" s="30" t="n">
        <f aca="false">AVERAGE(E43:E62)</f>
        <v>77.764</v>
      </c>
      <c r="O62" s="30" t="n">
        <f aca="false">AVERAGE(E13:E62)</f>
        <v>73.5384</v>
      </c>
      <c r="Q62" s="30" t="n">
        <f aca="false">Q61+(2/13)*(E62-Q61)</f>
        <v>75.5237654843696</v>
      </c>
      <c r="R62" s="30" t="n">
        <f aca="false">R61+(2/27)*(E62-R61)</f>
        <v>75.7492773312961</v>
      </c>
      <c r="S62" s="33" t="n">
        <f aca="false">Q62-R62</f>
        <v>-0.225511846926509</v>
      </c>
      <c r="T62" s="33" t="n">
        <f aca="false">T61+(2/10)*(S62-T61)</f>
        <v>0.855408119743445</v>
      </c>
      <c r="U62" s="33" t="n">
        <f aca="false">S62-T62</f>
        <v>-1.08091996666995</v>
      </c>
      <c r="V62" s="32" t="str">
        <f aca="false">IF(M62="","",IF(M62&lt;Assumptions!$B$5,"BUY",IF(M62&gt;Assumptions!$B$4,"SELL","HOLD")))</f>
        <v>HOLD</v>
      </c>
      <c r="W62" s="32" t="str">
        <f aca="false">IF(O62="","",IF(E62&gt;O62,"BUY","SELL"))</f>
        <v>SELL</v>
      </c>
      <c r="X62" s="32" t="str">
        <f aca="false">IF(T62="","",IF(S62&gt;T62,"BUY","SELL"))</f>
        <v>SELL</v>
      </c>
      <c r="Y62" s="34" t="n">
        <f aca="false">IF(OR(V62="",W62="",X62=""),"",IFERROR(IF(V62="BUY",1,IF(V62="SELL",-1,0))+IF(W62="BUY",1,IF(W62="SELL",-1,0))+IF(X62="BUY",1,IF(X62="SELL",-1,0)),0))</f>
        <v>-2</v>
      </c>
      <c r="Z62" s="32" t="str">
        <f aca="false">IF(Y62="","",IF(Y62&gt;=2,"STRONG BUY",IF(Y62=1,"BUY",IF(Y62=0,"HOLD",IF(Y62=-1,"SELL","STRONG SELL")))))</f>
        <v>STRONG SELL</v>
      </c>
    </row>
    <row r="63" customFormat="false" ht="15" hidden="false" customHeight="false" outlineLevel="0" collapsed="false">
      <c r="A63" s="24" t="n">
        <v>45855</v>
      </c>
      <c r="B63" s="25" t="n">
        <v>74.36</v>
      </c>
      <c r="C63" s="25" t="n">
        <v>74.67</v>
      </c>
      <c r="D63" s="25" t="n">
        <v>74.17</v>
      </c>
      <c r="E63" s="25" t="n">
        <v>74.42</v>
      </c>
      <c r="F63" s="26" t="n">
        <v>14894155</v>
      </c>
      <c r="G63" s="27" t="n">
        <f aca="false">E63-E62</f>
        <v>1.44</v>
      </c>
      <c r="H63" s="28" t="n">
        <f aca="false">G63/E62</f>
        <v>0.0197314332693888</v>
      </c>
      <c r="I63" s="29" t="n">
        <f aca="false">MAX(G63,0)</f>
        <v>1.44</v>
      </c>
      <c r="J63" s="29" t="n">
        <f aca="false">MAX(-G63,0)</f>
        <v>0</v>
      </c>
      <c r="K63" s="29" t="n">
        <f aca="false">(K62*13+I63)/14</f>
        <v>0.428511069537405</v>
      </c>
      <c r="L63" s="29" t="n">
        <f aca="false">(L62*13+J63)/14</f>
        <v>0.516021371461069</v>
      </c>
      <c r="M63" s="31" t="n">
        <f aca="false">IF(L63=0,100,100-100/(1+K63/MAX(L63,0.000001)))</f>
        <v>45.3675332828613</v>
      </c>
      <c r="N63" s="30" t="n">
        <f aca="false">AVERAGE(E44:E63)</f>
        <v>77.64</v>
      </c>
      <c r="O63" s="30" t="n">
        <f aca="false">AVERAGE(E14:E63)</f>
        <v>73.6374</v>
      </c>
      <c r="Q63" s="30" t="n">
        <f aca="false">Q62+(2/13)*(E63-Q62)</f>
        <v>75.3539554098512</v>
      </c>
      <c r="R63" s="30" t="n">
        <f aca="false">R62+(2/27)*(E63-R62)</f>
        <v>75.6508123437927</v>
      </c>
      <c r="S63" s="33" t="n">
        <f aca="false">Q63-R63</f>
        <v>-0.296856933941484</v>
      </c>
      <c r="T63" s="33" t="n">
        <f aca="false">T62+(2/10)*(S63-T62)</f>
        <v>0.624955109006459</v>
      </c>
      <c r="U63" s="33" t="n">
        <f aca="false">S63-T63</f>
        <v>-0.921812042947943</v>
      </c>
      <c r="V63" s="32" t="str">
        <f aca="false">IF(M63="","",IF(M63&lt;Assumptions!$B$5,"BUY",IF(M63&gt;Assumptions!$B$4,"SELL","HOLD")))</f>
        <v>HOLD</v>
      </c>
      <c r="W63" s="32" t="str">
        <f aca="false">IF(O63="","",IF(E63&gt;O63,"BUY","SELL"))</f>
        <v>BUY</v>
      </c>
      <c r="X63" s="32" t="str">
        <f aca="false">IF(T63="","",IF(S63&gt;T63,"BUY","SELL"))</f>
        <v>SELL</v>
      </c>
      <c r="Y63" s="34" t="n">
        <f aca="false">IF(OR(V63="",W63="",X63=""),"",IFERROR(IF(V63="BUY",1,IF(V63="SELL",-1,0))+IF(W63="BUY",1,IF(W63="SELL",-1,0))+IF(X63="BUY",1,IF(X63="SELL",-1,0)),0))</f>
        <v>0</v>
      </c>
      <c r="Z63" s="32" t="str">
        <f aca="false">IF(Y63="","",IF(Y63&gt;=2,"STRONG BUY",IF(Y63=1,"BUY",IF(Y63=0,"HOLD",IF(Y63=-1,"SELL","STRONG SELL")))))</f>
        <v>HOLD</v>
      </c>
    </row>
    <row r="64" customFormat="false" ht="15" hidden="false" customHeight="false" outlineLevel="0" collapsed="false">
      <c r="A64" s="24" t="n">
        <v>45856</v>
      </c>
      <c r="B64" s="25" t="n">
        <v>73.56</v>
      </c>
      <c r="C64" s="25" t="n">
        <v>73.72</v>
      </c>
      <c r="D64" s="25" t="n">
        <v>73.12</v>
      </c>
      <c r="E64" s="25" t="n">
        <v>73.42</v>
      </c>
      <c r="F64" s="26" t="n">
        <v>12524425</v>
      </c>
      <c r="G64" s="27" t="n">
        <f aca="false">E64-E63</f>
        <v>-1</v>
      </c>
      <c r="H64" s="28" t="n">
        <f aca="false">G64/E63</f>
        <v>-0.013437248051599</v>
      </c>
      <c r="I64" s="29" t="n">
        <f aca="false">MAX(G64,0)</f>
        <v>0</v>
      </c>
      <c r="J64" s="29" t="n">
        <f aca="false">MAX(-G64,0)</f>
        <v>1</v>
      </c>
      <c r="K64" s="29" t="n">
        <f aca="false">(K63*13+I64)/14</f>
        <v>0.397903135999019</v>
      </c>
      <c r="L64" s="29" t="n">
        <f aca="false">(L63*13+J64)/14</f>
        <v>0.550591273499564</v>
      </c>
      <c r="M64" s="31" t="n">
        <f aca="false">IF(L64=0,100,100-100/(1+K64/MAX(L64,0.000001)))</f>
        <v>41.9510259643353</v>
      </c>
      <c r="N64" s="30" t="n">
        <f aca="false">AVERAGE(E45:E64)</f>
        <v>77.42</v>
      </c>
      <c r="O64" s="30" t="n">
        <f aca="false">AVERAGE(E15:E64)</f>
        <v>73.6992</v>
      </c>
      <c r="Q64" s="30" t="n">
        <f aca="false">Q63+(2/13)*(E64-Q63)</f>
        <v>75.0564238083356</v>
      </c>
      <c r="R64" s="30" t="n">
        <f aca="false">R63+(2/27)*(E64-R63)</f>
        <v>75.4855669849932</v>
      </c>
      <c r="S64" s="33" t="n">
        <f aca="false">Q64-R64</f>
        <v>-0.429143176657604</v>
      </c>
      <c r="T64" s="33" t="n">
        <f aca="false">T63+(2/10)*(S64-T63)</f>
        <v>0.414135451873646</v>
      </c>
      <c r="U64" s="33" t="n">
        <f aca="false">S64-T64</f>
        <v>-0.84327862853125</v>
      </c>
      <c r="V64" s="32" t="str">
        <f aca="false">IF(M64="","",IF(M64&lt;Assumptions!$B$5,"BUY",IF(M64&gt;Assumptions!$B$4,"SELL","HOLD")))</f>
        <v>HOLD</v>
      </c>
      <c r="W64" s="32" t="str">
        <f aca="false">IF(O64="","",IF(E64&gt;O64,"BUY","SELL"))</f>
        <v>SELL</v>
      </c>
      <c r="X64" s="32" t="str">
        <f aca="false">IF(T64="","",IF(S64&gt;T64,"BUY","SELL"))</f>
        <v>SELL</v>
      </c>
      <c r="Y64" s="34" t="n">
        <f aca="false">IF(OR(V64="",W64="",X64=""),"",IFERROR(IF(V64="BUY",1,IF(V64="SELL",-1,0))+IF(W64="BUY",1,IF(W64="SELL",-1,0))+IF(X64="BUY",1,IF(X64="SELL",-1,0)),0))</f>
        <v>-2</v>
      </c>
      <c r="Z64" s="32" t="str">
        <f aca="false">IF(Y64="","",IF(Y64&gt;=2,"STRONG BUY",IF(Y64=1,"BUY",IF(Y64=0,"HOLD",IF(Y64=-1,"SELL","STRONG SELL")))))</f>
        <v>STRONG SELL</v>
      </c>
    </row>
    <row r="65" customFormat="false" ht="15" hidden="false" customHeight="false" outlineLevel="0" collapsed="false">
      <c r="A65" s="24" t="n">
        <v>45859</v>
      </c>
      <c r="B65" s="25" t="n">
        <v>71.27</v>
      </c>
      <c r="C65" s="25" t="n">
        <v>71.27</v>
      </c>
      <c r="D65" s="25" t="n">
        <v>70.93</v>
      </c>
      <c r="E65" s="25" t="n">
        <v>71.1</v>
      </c>
      <c r="F65" s="26" t="n">
        <v>23665637</v>
      </c>
      <c r="G65" s="27" t="n">
        <f aca="false">E65-E64</f>
        <v>-2.32000000000001</v>
      </c>
      <c r="H65" s="28" t="n">
        <f aca="false">G65/E64</f>
        <v>-0.0315990193407792</v>
      </c>
      <c r="I65" s="29" t="n">
        <f aca="false">MAX(G65,0)</f>
        <v>0</v>
      </c>
      <c r="J65" s="29" t="n">
        <f aca="false">MAX(-G65,0)</f>
        <v>2.32000000000001</v>
      </c>
      <c r="K65" s="29" t="n">
        <f aca="false">(K64*13+I65)/14</f>
        <v>0.369481483427661</v>
      </c>
      <c r="L65" s="29" t="n">
        <f aca="false">(L64*13+J65)/14</f>
        <v>0.676977611106739</v>
      </c>
      <c r="M65" s="31" t="n">
        <f aca="false">IF(L65=0,100,100-100/(1+K65/MAX(L65,0.000001)))</f>
        <v>35.3077808160341</v>
      </c>
      <c r="N65" s="30" t="n">
        <f aca="false">AVERAGE(E46:E65)</f>
        <v>76.9925</v>
      </c>
      <c r="O65" s="30" t="n">
        <f aca="false">AVERAGE(E16:E65)</f>
        <v>73.714</v>
      </c>
      <c r="Q65" s="30" t="n">
        <f aca="false">Q64+(2/13)*(E65-Q64)</f>
        <v>74.4477432224378</v>
      </c>
      <c r="R65" s="30" t="n">
        <f aca="false">R64+(2/27)*(E65-R64)</f>
        <v>75.16071017129</v>
      </c>
      <c r="S65" s="33" t="n">
        <f aca="false">Q65-R65</f>
        <v>-0.712966948852184</v>
      </c>
      <c r="T65" s="33" t="n">
        <f aca="false">T64+(2/10)*(S65-T64)</f>
        <v>0.18871497172848</v>
      </c>
      <c r="U65" s="33" t="n">
        <f aca="false">S65-T65</f>
        <v>-0.901681920580664</v>
      </c>
      <c r="V65" s="32" t="str">
        <f aca="false">IF(M65="","",IF(M65&lt;Assumptions!$B$5,"BUY",IF(M65&gt;Assumptions!$B$4,"SELL","HOLD")))</f>
        <v>HOLD</v>
      </c>
      <c r="W65" s="32" t="str">
        <f aca="false">IF(O65="","",IF(E65&gt;O65,"BUY","SELL"))</f>
        <v>SELL</v>
      </c>
      <c r="X65" s="32" t="str">
        <f aca="false">IF(T65="","",IF(S65&gt;T65,"BUY","SELL"))</f>
        <v>SELL</v>
      </c>
      <c r="Y65" s="34" t="n">
        <f aca="false">IF(OR(V65="",W65="",X65=""),"",IFERROR(IF(V65="BUY",1,IF(V65="SELL",-1,0))+IF(W65="BUY",1,IF(W65="SELL",-1,0))+IF(X65="BUY",1,IF(X65="SELL",-1,0)),0))</f>
        <v>-2</v>
      </c>
      <c r="Z65" s="32" t="str">
        <f aca="false">IF(Y65="","",IF(Y65&gt;=2,"STRONG BUY",IF(Y65=1,"BUY",IF(Y65=0,"HOLD",IF(Y65=-1,"SELL","STRONG SELL")))))</f>
        <v>STRONG SELL</v>
      </c>
    </row>
    <row r="66" customFormat="false" ht="15" hidden="false" customHeight="false" outlineLevel="0" collapsed="false">
      <c r="A66" s="24" t="n">
        <v>45860</v>
      </c>
      <c r="B66" s="25" t="n">
        <v>71</v>
      </c>
      <c r="C66" s="25" t="n">
        <v>71.16</v>
      </c>
      <c r="D66" s="25" t="n">
        <v>71</v>
      </c>
      <c r="E66" s="25" t="n">
        <v>71.08</v>
      </c>
      <c r="F66" s="26" t="n">
        <v>9686870</v>
      </c>
      <c r="G66" s="27" t="n">
        <f aca="false">E66-E65</f>
        <v>-0.019999999999996</v>
      </c>
      <c r="H66" s="28" t="n">
        <f aca="false">G66/E65</f>
        <v>-0.000281293952179972</v>
      </c>
      <c r="I66" s="29" t="n">
        <f aca="false">MAX(G66,0)</f>
        <v>0</v>
      </c>
      <c r="J66" s="29" t="n">
        <f aca="false">MAX(-G66,0)</f>
        <v>0.019999999999996</v>
      </c>
      <c r="K66" s="29" t="n">
        <f aca="false">(K65*13+I66)/14</f>
        <v>0.343089948897114</v>
      </c>
      <c r="L66" s="29" t="n">
        <f aca="false">(L65*13+J66)/14</f>
        <v>0.630050638884829</v>
      </c>
      <c r="M66" s="31" t="n">
        <f aca="false">IF(L66=0,100,100-100/(1+K66/MAX(L66,0.000001)))</f>
        <v>35.2559489558555</v>
      </c>
      <c r="N66" s="30" t="n">
        <f aca="false">AVERAGE(E47:E66)</f>
        <v>76.5255</v>
      </c>
      <c r="O66" s="30" t="n">
        <f aca="false">AVERAGE(E17:E66)</f>
        <v>73.7216</v>
      </c>
      <c r="Q66" s="30" t="n">
        <f aca="false">Q65+(2/13)*(E66-Q65)</f>
        <v>73.9296288805243</v>
      </c>
      <c r="R66" s="30" t="n">
        <f aca="false">R65+(2/27)*(E66-R65)</f>
        <v>74.858435343787</v>
      </c>
      <c r="S66" s="33" t="n">
        <f aca="false">Q66-R66</f>
        <v>-0.928806463262731</v>
      </c>
      <c r="T66" s="33" t="n">
        <f aca="false">T65+(2/10)*(S66-T65)</f>
        <v>-0.0347893152697621</v>
      </c>
      <c r="U66" s="33" t="n">
        <f aca="false">S66-T66</f>
        <v>-0.894017147992969</v>
      </c>
      <c r="V66" s="32" t="str">
        <f aca="false">IF(M66="","",IF(M66&lt;Assumptions!$B$5,"BUY",IF(M66&gt;Assumptions!$B$4,"SELL","HOLD")))</f>
        <v>HOLD</v>
      </c>
      <c r="W66" s="32" t="str">
        <f aca="false">IF(O66="","",IF(E66&gt;O66,"BUY","SELL"))</f>
        <v>SELL</v>
      </c>
      <c r="X66" s="32" t="str">
        <f aca="false">IF(T66="","",IF(S66&gt;T66,"BUY","SELL"))</f>
        <v>SELL</v>
      </c>
      <c r="Y66" s="34" t="n">
        <f aca="false">IF(OR(V66="",W66="",X66=""),"",IFERROR(IF(V66="BUY",1,IF(V66="SELL",-1,0))+IF(W66="BUY",1,IF(W66="SELL",-1,0))+IF(X66="BUY",1,IF(X66="SELL",-1,0)),0))</f>
        <v>-2</v>
      </c>
      <c r="Z66" s="32" t="str">
        <f aca="false">IF(Y66="","",IF(Y66&gt;=2,"STRONG BUY",IF(Y66=1,"BUY",IF(Y66=0,"HOLD",IF(Y66=-1,"SELL","STRONG SELL")))))</f>
        <v>STRONG SELL</v>
      </c>
    </row>
    <row r="67" customFormat="false" ht="15" hidden="false" customHeight="false" outlineLevel="0" collapsed="false">
      <c r="A67" s="24" t="n">
        <v>45861</v>
      </c>
      <c r="B67" s="25" t="n">
        <v>71.56</v>
      </c>
      <c r="C67" s="25" t="n">
        <v>71.81</v>
      </c>
      <c r="D67" s="25" t="n">
        <v>71.37</v>
      </c>
      <c r="E67" s="25" t="n">
        <v>71.59</v>
      </c>
      <c r="F67" s="26" t="n">
        <v>28759023</v>
      </c>
      <c r="G67" s="27" t="n">
        <f aca="false">E67-E66</f>
        <v>0.510000000000005</v>
      </c>
      <c r="H67" s="28" t="n">
        <f aca="false">G67/E66</f>
        <v>0.00717501406865511</v>
      </c>
      <c r="I67" s="29" t="n">
        <f aca="false">MAX(G67,0)</f>
        <v>0.510000000000005</v>
      </c>
      <c r="J67" s="29" t="n">
        <f aca="false">MAX(-G67,0)</f>
        <v>0</v>
      </c>
      <c r="K67" s="29" t="n">
        <f aca="false">(K66*13+I67)/14</f>
        <v>0.355012095404463</v>
      </c>
      <c r="L67" s="29" t="n">
        <f aca="false">(L66*13+J67)/14</f>
        <v>0.585047021821627</v>
      </c>
      <c r="M67" s="31" t="n">
        <f aca="false">IF(L67=0,100,100-100/(1+K67/MAX(L67,0.000001)))</f>
        <v>37.7648691341909</v>
      </c>
      <c r="N67" s="30" t="n">
        <f aca="false">AVERAGE(E48:E67)</f>
        <v>76.096</v>
      </c>
      <c r="O67" s="30" t="n">
        <f aca="false">AVERAGE(E18:E67)</f>
        <v>73.7754</v>
      </c>
      <c r="Q67" s="30" t="n">
        <f aca="false">Q66+(2/13)*(E67-Q66)</f>
        <v>73.5696859758283</v>
      </c>
      <c r="R67" s="30" t="n">
        <f aca="false">R66+(2/27)*(E67-R66)</f>
        <v>74.616329022025</v>
      </c>
      <c r="S67" s="33" t="n">
        <f aca="false">Q67-R67</f>
        <v>-1.04664304619676</v>
      </c>
      <c r="T67" s="33" t="n">
        <f aca="false">T66+(2/10)*(S67-T66)</f>
        <v>-0.237160061455162</v>
      </c>
      <c r="U67" s="33" t="n">
        <f aca="false">S67-T67</f>
        <v>-0.809482984741601</v>
      </c>
      <c r="V67" s="32" t="str">
        <f aca="false">IF(M67="","",IF(M67&lt;Assumptions!$B$5,"BUY",IF(M67&gt;Assumptions!$B$4,"SELL","HOLD")))</f>
        <v>HOLD</v>
      </c>
      <c r="W67" s="32" t="str">
        <f aca="false">IF(O67="","",IF(E67&gt;O67,"BUY","SELL"))</f>
        <v>SELL</v>
      </c>
      <c r="X67" s="32" t="str">
        <f aca="false">IF(T67="","",IF(S67&gt;T67,"BUY","SELL"))</f>
        <v>SELL</v>
      </c>
      <c r="Y67" s="34" t="n">
        <f aca="false">IF(OR(V67="",W67="",X67=""),"",IFERROR(IF(V67="BUY",1,IF(V67="SELL",-1,0))+IF(W67="BUY",1,IF(W67="SELL",-1,0))+IF(X67="BUY",1,IF(X67="SELL",-1,0)),0))</f>
        <v>-2</v>
      </c>
      <c r="Z67" s="32" t="str">
        <f aca="false">IF(Y67="","",IF(Y67&gt;=2,"STRONG BUY",IF(Y67=1,"BUY",IF(Y67=0,"HOLD",IF(Y67=-1,"SELL","STRONG SELL")))))</f>
        <v>STRONG SELL</v>
      </c>
    </row>
    <row r="68" customFormat="false" ht="15" hidden="false" customHeight="false" outlineLevel="0" collapsed="false">
      <c r="A68" s="24" t="n">
        <v>45862</v>
      </c>
      <c r="B68" s="25" t="n">
        <v>70.01</v>
      </c>
      <c r="C68" s="25" t="n">
        <v>70.18</v>
      </c>
      <c r="D68" s="25" t="n">
        <v>69.98</v>
      </c>
      <c r="E68" s="25" t="n">
        <v>70.08</v>
      </c>
      <c r="F68" s="26" t="n">
        <v>26420082</v>
      </c>
      <c r="G68" s="27" t="n">
        <f aca="false">E68-E67</f>
        <v>-1.51000000000001</v>
      </c>
      <c r="H68" s="28" t="n">
        <f aca="false">G68/E67</f>
        <v>-0.0210923313311916</v>
      </c>
      <c r="I68" s="29" t="n">
        <f aca="false">MAX(G68,0)</f>
        <v>0</v>
      </c>
      <c r="J68" s="29" t="n">
        <f aca="false">MAX(-G68,0)</f>
        <v>1.51000000000001</v>
      </c>
      <c r="K68" s="29" t="n">
        <f aca="false">(K67*13+I68)/14</f>
        <v>0.329654088589858</v>
      </c>
      <c r="L68" s="29" t="n">
        <f aca="false">(L67*13+J68)/14</f>
        <v>0.651115091691511</v>
      </c>
      <c r="M68" s="31" t="n">
        <f aca="false">IF(L68=0,100,100-100/(1+K68/MAX(L68,0.000001)))</f>
        <v>33.61179115511</v>
      </c>
      <c r="N68" s="30" t="n">
        <f aca="false">AVERAGE(E49:E68)</f>
        <v>75.6125</v>
      </c>
      <c r="O68" s="30" t="n">
        <f aca="false">AVERAGE(E19:E68)</f>
        <v>73.816</v>
      </c>
      <c r="Q68" s="30" t="n">
        <f aca="false">Q67+(2/13)*(E68-Q67)</f>
        <v>73.0328112103162</v>
      </c>
      <c r="R68" s="30" t="n">
        <f aca="false">R67+(2/27)*(E68-R67)</f>
        <v>74.2803046500232</v>
      </c>
      <c r="S68" s="33" t="n">
        <f aca="false">Q68-R68</f>
        <v>-1.24749343970694</v>
      </c>
      <c r="T68" s="33" t="n">
        <f aca="false">T67+(2/10)*(S68-T67)</f>
        <v>-0.439226737105519</v>
      </c>
      <c r="U68" s="33" t="n">
        <f aca="false">S68-T68</f>
        <v>-0.808266702601425</v>
      </c>
      <c r="V68" s="32" t="str">
        <f aca="false">IF(M68="","",IF(M68&lt;Assumptions!$B$5,"BUY",IF(M68&gt;Assumptions!$B$4,"SELL","HOLD")))</f>
        <v>HOLD</v>
      </c>
      <c r="W68" s="32" t="str">
        <f aca="false">IF(O68="","",IF(E68&gt;O68,"BUY","SELL"))</f>
        <v>SELL</v>
      </c>
      <c r="X68" s="32" t="str">
        <f aca="false">IF(T68="","",IF(S68&gt;T68,"BUY","SELL"))</f>
        <v>SELL</v>
      </c>
      <c r="Y68" s="34" t="n">
        <f aca="false">IF(OR(V68="",W68="",X68=""),"",IFERROR(IF(V68="BUY",1,IF(V68="SELL",-1,0))+IF(W68="BUY",1,IF(W68="SELL",-1,0))+IF(X68="BUY",1,IF(X68="SELL",-1,0)),0))</f>
        <v>-2</v>
      </c>
      <c r="Z68" s="32" t="str">
        <f aca="false">IF(Y68="","",IF(Y68&gt;=2,"STRONG BUY",IF(Y68=1,"BUY",IF(Y68=0,"HOLD",IF(Y68=-1,"SELL","STRONG SELL")))))</f>
        <v>STRONG SELL</v>
      </c>
    </row>
    <row r="69" customFormat="false" ht="15" hidden="false" customHeight="false" outlineLevel="0" collapsed="false">
      <c r="A69" s="24" t="n">
        <v>45863</v>
      </c>
      <c r="B69" s="25" t="n">
        <v>69.73</v>
      </c>
      <c r="C69" s="25" t="n">
        <v>69.73</v>
      </c>
      <c r="D69" s="25" t="n">
        <v>69.67</v>
      </c>
      <c r="E69" s="25" t="n">
        <v>69.7</v>
      </c>
      <c r="F69" s="26" t="n">
        <v>21290968</v>
      </c>
      <c r="G69" s="27" t="n">
        <f aca="false">E69-E68</f>
        <v>-0.379999999999995</v>
      </c>
      <c r="H69" s="28" t="n">
        <f aca="false">G69/E68</f>
        <v>-0.00542237442922368</v>
      </c>
      <c r="I69" s="29" t="n">
        <f aca="false">MAX(G69,0)</f>
        <v>0</v>
      </c>
      <c r="J69" s="29" t="n">
        <f aca="false">MAX(-G69,0)</f>
        <v>0.379999999999995</v>
      </c>
      <c r="K69" s="29" t="n">
        <f aca="false">(K68*13+I69)/14</f>
        <v>0.306107367976297</v>
      </c>
      <c r="L69" s="29" t="n">
        <f aca="false">(L68*13+J69)/14</f>
        <v>0.63174972799926</v>
      </c>
      <c r="M69" s="31" t="n">
        <f aca="false">IF(L69=0,100,100-100/(1+K69/MAX(L69,0.000001)))</f>
        <v>32.639020303822</v>
      </c>
      <c r="N69" s="30" t="n">
        <f aca="false">AVERAGE(E50:E69)</f>
        <v>75.151</v>
      </c>
      <c r="O69" s="30" t="n">
        <f aca="false">AVERAGE(E20:E69)</f>
        <v>73.8378</v>
      </c>
      <c r="Q69" s="30" t="n">
        <f aca="false">Q68+(2/13)*(E69-Q68)</f>
        <v>72.5200710241137</v>
      </c>
      <c r="R69" s="30" t="n">
        <f aca="false">R68+(2/27)*(E69-R68)</f>
        <v>73.9410228240955</v>
      </c>
      <c r="S69" s="33" t="n">
        <f aca="false">Q69-R69</f>
        <v>-1.42095179998179</v>
      </c>
      <c r="T69" s="33" t="n">
        <f aca="false">T68+(2/10)*(S69-T68)</f>
        <v>-0.635571749680774</v>
      </c>
      <c r="U69" s="33" t="n">
        <f aca="false">S69-T69</f>
        <v>-0.78538005030102</v>
      </c>
      <c r="V69" s="32" t="str">
        <f aca="false">IF(M69="","",IF(M69&lt;Assumptions!$B$5,"BUY",IF(M69&gt;Assumptions!$B$4,"SELL","HOLD")))</f>
        <v>HOLD</v>
      </c>
      <c r="W69" s="32" t="str">
        <f aca="false">IF(O69="","",IF(E69&gt;O69,"BUY","SELL"))</f>
        <v>SELL</v>
      </c>
      <c r="X69" s="32" t="str">
        <f aca="false">IF(T69="","",IF(S69&gt;T69,"BUY","SELL"))</f>
        <v>SELL</v>
      </c>
      <c r="Y69" s="34" t="n">
        <f aca="false">IF(OR(V69="",W69="",X69=""),"",IFERROR(IF(V69="BUY",1,IF(V69="SELL",-1,0))+IF(W69="BUY",1,IF(W69="SELL",-1,0))+IF(X69="BUY",1,IF(X69="SELL",-1,0)),0))</f>
        <v>-2</v>
      </c>
      <c r="Z69" s="32" t="str">
        <f aca="false">IF(Y69="","",IF(Y69&gt;=2,"STRONG BUY",IF(Y69=1,"BUY",IF(Y69=0,"HOLD",IF(Y69=-1,"SELL","STRONG SELL")))))</f>
        <v>STRONG SELL</v>
      </c>
    </row>
    <row r="70" customFormat="false" ht="15" hidden="false" customHeight="false" outlineLevel="0" collapsed="false">
      <c r="A70" s="24" t="n">
        <v>45866</v>
      </c>
      <c r="B70" s="25" t="n">
        <v>69.38</v>
      </c>
      <c r="C70" s="25" t="n">
        <v>69.94</v>
      </c>
      <c r="D70" s="25" t="n">
        <v>68.74</v>
      </c>
      <c r="E70" s="25" t="n">
        <v>69.34</v>
      </c>
      <c r="F70" s="26" t="n">
        <v>13596971</v>
      </c>
      <c r="G70" s="27" t="n">
        <f aca="false">E70-E69</f>
        <v>-0.359999999999999</v>
      </c>
      <c r="H70" s="28" t="n">
        <f aca="false">G70/E69</f>
        <v>-0.00516499282639884</v>
      </c>
      <c r="I70" s="29" t="n">
        <f aca="false">MAX(G70,0)</f>
        <v>0</v>
      </c>
      <c r="J70" s="29" t="n">
        <f aca="false">MAX(-G70,0)</f>
        <v>0.359999999999999</v>
      </c>
      <c r="K70" s="29" t="n">
        <f aca="false">(K69*13+I70)/14</f>
        <v>0.28424255597799</v>
      </c>
      <c r="L70" s="29" t="n">
        <f aca="false">(L69*13+J70)/14</f>
        <v>0.61233903314217</v>
      </c>
      <c r="M70" s="31" t="n">
        <f aca="false">IF(L70=0,100,100-100/(1+K70/MAX(L70,0.000001)))</f>
        <v>31.7029213433799</v>
      </c>
      <c r="N70" s="30" t="n">
        <f aca="false">AVERAGE(E51:E70)</f>
        <v>74.609</v>
      </c>
      <c r="O70" s="30" t="n">
        <f aca="false">AVERAGE(E21:E70)</f>
        <v>73.8362</v>
      </c>
      <c r="Q70" s="30" t="n">
        <f aca="false">Q69+(2/13)*(E70-Q69)</f>
        <v>72.0308293280962</v>
      </c>
      <c r="R70" s="30" t="n">
        <f aca="false">R69+(2/27)*(E70-R69)</f>
        <v>73.600206318607</v>
      </c>
      <c r="S70" s="33" t="n">
        <f aca="false">Q70-R70</f>
        <v>-1.56937699051073</v>
      </c>
      <c r="T70" s="33" t="n">
        <f aca="false">T69+(2/10)*(S70-T69)</f>
        <v>-0.822332797846765</v>
      </c>
      <c r="U70" s="33" t="n">
        <f aca="false">S70-T70</f>
        <v>-0.747044192663968</v>
      </c>
      <c r="V70" s="32" t="str">
        <f aca="false">IF(M70="","",IF(M70&lt;Assumptions!$B$5,"BUY",IF(M70&gt;Assumptions!$B$4,"SELL","HOLD")))</f>
        <v>HOLD</v>
      </c>
      <c r="W70" s="32" t="str">
        <f aca="false">IF(O70="","",IF(E70&gt;O70,"BUY","SELL"))</f>
        <v>SELL</v>
      </c>
      <c r="X70" s="32" t="str">
        <f aca="false">IF(T70="","",IF(S70&gt;T70,"BUY","SELL"))</f>
        <v>SELL</v>
      </c>
      <c r="Y70" s="34" t="n">
        <f aca="false">IF(OR(V70="",W70="",X70=""),"",IFERROR(IF(V70="BUY",1,IF(V70="SELL",-1,0))+IF(W70="BUY",1,IF(W70="SELL",-1,0))+IF(X70="BUY",1,IF(X70="SELL",-1,0)),0))</f>
        <v>-2</v>
      </c>
      <c r="Z70" s="32" t="str">
        <f aca="false">IF(Y70="","",IF(Y70&gt;=2,"STRONG BUY",IF(Y70=1,"BUY",IF(Y70=0,"HOLD",IF(Y70=-1,"SELL","STRONG SELL")))))</f>
        <v>STRONG SELL</v>
      </c>
    </row>
    <row r="71" customFormat="false" ht="15" hidden="false" customHeight="false" outlineLevel="0" collapsed="false">
      <c r="A71" s="24" t="n">
        <v>45867</v>
      </c>
      <c r="B71" s="25" t="n">
        <v>69.08</v>
      </c>
      <c r="C71" s="25" t="n">
        <v>70.43</v>
      </c>
      <c r="D71" s="25" t="n">
        <v>68.33</v>
      </c>
      <c r="E71" s="25" t="n">
        <v>69.38</v>
      </c>
      <c r="F71" s="26" t="n">
        <v>21162350</v>
      </c>
      <c r="G71" s="27" t="n">
        <f aca="false">E71-E70</f>
        <v>0.039999999999992</v>
      </c>
      <c r="H71" s="28" t="n">
        <f aca="false">G71/E70</f>
        <v>0.000576867608883646</v>
      </c>
      <c r="I71" s="29" t="n">
        <f aca="false">MAX(G71,0)</f>
        <v>0.039999999999992</v>
      </c>
      <c r="J71" s="29" t="n">
        <f aca="false">MAX(-G71,0)</f>
        <v>0</v>
      </c>
      <c r="K71" s="29" t="n">
        <f aca="false">(K70*13+I71)/14</f>
        <v>0.266796659122419</v>
      </c>
      <c r="L71" s="29" t="n">
        <f aca="false">(L70*13+J71)/14</f>
        <v>0.568600530774872</v>
      </c>
      <c r="M71" s="31" t="n">
        <f aca="false">IF(L71=0,100,100-100/(1+K71/MAX(L71,0.000001)))</f>
        <v>31.9365042579591</v>
      </c>
      <c r="N71" s="30" t="n">
        <f aca="false">AVERAGE(E52:E71)</f>
        <v>73.989</v>
      </c>
      <c r="O71" s="30" t="n">
        <f aca="false">AVERAGE(E22:E71)</f>
        <v>73.8508</v>
      </c>
      <c r="Q71" s="30" t="n">
        <f aca="false">Q70+(2/13)*(E71-Q70)</f>
        <v>71.623009431466</v>
      </c>
      <c r="R71" s="30" t="n">
        <f aca="false">R70+(2/27)*(E71-R70)</f>
        <v>73.2875984431546</v>
      </c>
      <c r="S71" s="33" t="n">
        <f aca="false">Q71-R71</f>
        <v>-1.66458901168855</v>
      </c>
      <c r="T71" s="33" t="n">
        <f aca="false">T70+(2/10)*(S71-T70)</f>
        <v>-0.990784040615122</v>
      </c>
      <c r="U71" s="33" t="n">
        <f aca="false">S71-T71</f>
        <v>-0.673804971073426</v>
      </c>
      <c r="V71" s="32" t="str">
        <f aca="false">IF(M71="","",IF(M71&lt;Assumptions!$B$5,"BUY",IF(M71&gt;Assumptions!$B$4,"SELL","HOLD")))</f>
        <v>HOLD</v>
      </c>
      <c r="W71" s="32" t="str">
        <f aca="false">IF(O71="","",IF(E71&gt;O71,"BUY","SELL"))</f>
        <v>SELL</v>
      </c>
      <c r="X71" s="32" t="str">
        <f aca="false">IF(T71="","",IF(S71&gt;T71,"BUY","SELL"))</f>
        <v>SELL</v>
      </c>
      <c r="Y71" s="34" t="n">
        <f aca="false">IF(OR(V71="",W71="",X71=""),"",IFERROR(IF(V71="BUY",1,IF(V71="SELL",-1,0))+IF(W71="BUY",1,IF(W71="SELL",-1,0))+IF(X71="BUY",1,IF(X71="SELL",-1,0)),0))</f>
        <v>-2</v>
      </c>
      <c r="Z71" s="32" t="str">
        <f aca="false">IF(Y71="","",IF(Y71&gt;=2,"STRONG BUY",IF(Y71=1,"BUY",IF(Y71=0,"HOLD",IF(Y71=-1,"SELL","STRONG SELL")))))</f>
        <v>STRONG SELL</v>
      </c>
    </row>
    <row r="72" customFormat="false" ht="15" hidden="false" customHeight="false" outlineLevel="0" collapsed="false">
      <c r="A72" s="24" t="n">
        <v>45868</v>
      </c>
      <c r="B72" s="25" t="n">
        <v>68.42</v>
      </c>
      <c r="C72" s="25" t="n">
        <v>69.08</v>
      </c>
      <c r="D72" s="25" t="n">
        <v>68.42</v>
      </c>
      <c r="E72" s="25" t="n">
        <v>68.75</v>
      </c>
      <c r="F72" s="26" t="n">
        <v>23034353</v>
      </c>
      <c r="G72" s="27" t="n">
        <f aca="false">E72-E71</f>
        <v>-0.629999999999996</v>
      </c>
      <c r="H72" s="28" t="n">
        <f aca="false">G72/E71</f>
        <v>-0.00908042663591807</v>
      </c>
      <c r="I72" s="29" t="n">
        <f aca="false">MAX(G72,0)</f>
        <v>0</v>
      </c>
      <c r="J72" s="29" t="n">
        <f aca="false">MAX(-G72,0)</f>
        <v>0.629999999999996</v>
      </c>
      <c r="K72" s="29" t="n">
        <f aca="false">(K71*13+I72)/14</f>
        <v>0.247739754899389</v>
      </c>
      <c r="L72" s="29" t="n">
        <f aca="false">(L71*13+J72)/14</f>
        <v>0.572986207148095</v>
      </c>
      <c r="M72" s="31" t="n">
        <f aca="false">IF(L72=0,100,100-100/(1+K72/MAX(L72,0.000001)))</f>
        <v>30.1854414695676</v>
      </c>
      <c r="N72" s="30" t="n">
        <f aca="false">AVERAGE(E53:E72)</f>
        <v>73.352</v>
      </c>
      <c r="O72" s="30" t="n">
        <f aca="false">AVERAGE(E23:E72)</f>
        <v>73.845</v>
      </c>
      <c r="Q72" s="30" t="n">
        <f aca="false">Q71+(2/13)*(E72-Q71)</f>
        <v>71.1810079804713</v>
      </c>
      <c r="R72" s="30" t="n">
        <f aca="false">R71+(2/27)*(E72-R71)</f>
        <v>72.951480039958</v>
      </c>
      <c r="S72" s="33" t="n">
        <f aca="false">Q72-R72</f>
        <v>-1.77047205948669</v>
      </c>
      <c r="T72" s="33" t="n">
        <f aca="false">T71+(2/10)*(S72-T71)</f>
        <v>-1.14672164438944</v>
      </c>
      <c r="U72" s="33" t="n">
        <f aca="false">S72-T72</f>
        <v>-0.623750415097257</v>
      </c>
      <c r="V72" s="32" t="str">
        <f aca="false">IF(M72="","",IF(M72&lt;Assumptions!$B$5,"BUY",IF(M72&gt;Assumptions!$B$4,"SELL","HOLD")))</f>
        <v>HOLD</v>
      </c>
      <c r="W72" s="32" t="str">
        <f aca="false">IF(O72="","",IF(E72&gt;O72,"BUY","SELL"))</f>
        <v>SELL</v>
      </c>
      <c r="X72" s="32" t="str">
        <f aca="false">IF(T72="","",IF(S72&gt;T72,"BUY","SELL"))</f>
        <v>SELL</v>
      </c>
      <c r="Y72" s="34" t="n">
        <f aca="false">IF(OR(V72="",W72="",X72=""),"",IFERROR(IF(V72="BUY",1,IF(V72="SELL",-1,0))+IF(W72="BUY",1,IF(W72="SELL",-1,0))+IF(X72="BUY",1,IF(X72="SELL",-1,0)),0))</f>
        <v>-2</v>
      </c>
      <c r="Z72" s="32" t="str">
        <f aca="false">IF(Y72="","",IF(Y72&gt;=2,"STRONG BUY",IF(Y72=1,"BUY",IF(Y72=0,"HOLD",IF(Y72=-1,"SELL","STRONG SELL")))))</f>
        <v>STRONG SELL</v>
      </c>
    </row>
    <row r="73" customFormat="false" ht="15" hidden="false" customHeight="false" outlineLevel="0" collapsed="false">
      <c r="A73" s="24" t="n">
        <v>45869</v>
      </c>
      <c r="B73" s="25" t="n">
        <v>71.8</v>
      </c>
      <c r="C73" s="25" t="n">
        <v>72.08</v>
      </c>
      <c r="D73" s="25" t="n">
        <v>71.04</v>
      </c>
      <c r="E73" s="25" t="n">
        <v>71.56</v>
      </c>
      <c r="F73" s="26" t="n">
        <v>25072064</v>
      </c>
      <c r="G73" s="27" t="n">
        <f aca="false">E73-E72</f>
        <v>2.81</v>
      </c>
      <c r="H73" s="28" t="n">
        <f aca="false">G73/E72</f>
        <v>0.0408727272727273</v>
      </c>
      <c r="I73" s="29" t="n">
        <f aca="false">MAX(G73,0)</f>
        <v>2.81</v>
      </c>
      <c r="J73" s="29" t="n">
        <f aca="false">MAX(-G73,0)</f>
        <v>0</v>
      </c>
      <c r="K73" s="29" t="n">
        <f aca="false">(K72*13+I73)/14</f>
        <v>0.430758343835147</v>
      </c>
      <c r="L73" s="29" t="n">
        <f aca="false">(L72*13+J73)/14</f>
        <v>0.532058620923231</v>
      </c>
      <c r="M73" s="31" t="n">
        <f aca="false">IF(L73=0,100,100-100/(1+K73/MAX(L73,0.000001)))</f>
        <v>44.7393803393615</v>
      </c>
      <c r="N73" s="30" t="n">
        <f aca="false">AVERAGE(E54:E73)</f>
        <v>72.964</v>
      </c>
      <c r="O73" s="30" t="n">
        <f aca="false">AVERAGE(E24:E73)</f>
        <v>73.91</v>
      </c>
      <c r="Q73" s="30" t="n">
        <f aca="false">Q72+(2/13)*(E73-Q72)</f>
        <v>71.2393144450141</v>
      </c>
      <c r="R73" s="30" t="n">
        <f aca="false">R72+(2/27)*(E73-R72)</f>
        <v>72.8484074444055</v>
      </c>
      <c r="S73" s="33" t="n">
        <f aca="false">Q73-R73</f>
        <v>-1.60909299939136</v>
      </c>
      <c r="T73" s="33" t="n">
        <f aca="false">T72+(2/10)*(S73-T72)</f>
        <v>-1.23919591538982</v>
      </c>
      <c r="U73" s="33" t="n">
        <f aca="false">S73-T73</f>
        <v>-0.369897084001543</v>
      </c>
      <c r="V73" s="32" t="str">
        <f aca="false">IF(M73="","",IF(M73&lt;Assumptions!$B$5,"BUY",IF(M73&gt;Assumptions!$B$4,"SELL","HOLD")))</f>
        <v>HOLD</v>
      </c>
      <c r="W73" s="32" t="str">
        <f aca="false">IF(O73="","",IF(E73&gt;O73,"BUY","SELL"))</f>
        <v>SELL</v>
      </c>
      <c r="X73" s="32" t="str">
        <f aca="false">IF(T73="","",IF(S73&gt;T73,"BUY","SELL"))</f>
        <v>SELL</v>
      </c>
      <c r="Y73" s="34" t="n">
        <f aca="false">IF(OR(V73="",W73="",X73=""),"",IFERROR(IF(V73="BUY",1,IF(V73="SELL",-1,0))+IF(W73="BUY",1,IF(W73="SELL",-1,0))+IF(X73="BUY",1,IF(X73="SELL",-1,0)),0))</f>
        <v>-2</v>
      </c>
      <c r="Z73" s="32" t="str">
        <f aca="false">IF(Y73="","",IF(Y73&gt;=2,"STRONG BUY",IF(Y73=1,"BUY",IF(Y73=0,"HOLD",IF(Y73=-1,"SELL","STRONG SELL")))))</f>
        <v>STRONG SELL</v>
      </c>
    </row>
    <row r="74" customFormat="false" ht="15" hidden="false" customHeight="false" outlineLevel="0" collapsed="false">
      <c r="A74" s="24" t="n">
        <v>45870</v>
      </c>
      <c r="B74" s="25" t="n">
        <v>71.16</v>
      </c>
      <c r="C74" s="25" t="n">
        <v>71.68</v>
      </c>
      <c r="D74" s="25" t="n">
        <v>70.9</v>
      </c>
      <c r="E74" s="25" t="n">
        <v>71.29</v>
      </c>
      <c r="F74" s="26" t="n">
        <v>17282527</v>
      </c>
      <c r="G74" s="27" t="n">
        <f aca="false">E74-E73</f>
        <v>-0.269999999999996</v>
      </c>
      <c r="H74" s="28" t="n">
        <f aca="false">G74/E73</f>
        <v>-0.00377305757406367</v>
      </c>
      <c r="I74" s="29" t="n">
        <f aca="false">MAX(G74,0)</f>
        <v>0</v>
      </c>
      <c r="J74" s="29" t="n">
        <f aca="false">MAX(-G74,0)</f>
        <v>0.269999999999996</v>
      </c>
      <c r="K74" s="29" t="n">
        <f aca="false">(K73*13+I74)/14</f>
        <v>0.399989890704065</v>
      </c>
      <c r="L74" s="29" t="n">
        <f aca="false">(L73*13+J74)/14</f>
        <v>0.513340148000143</v>
      </c>
      <c r="M74" s="31" t="n">
        <f aca="false">IF(L74=0,100,100-100/(1+K74/MAX(L74,0.000001)))</f>
        <v>43.7946715594237</v>
      </c>
      <c r="N74" s="30" t="n">
        <f aca="false">AVERAGE(E55:E74)</f>
        <v>72.5995</v>
      </c>
      <c r="O74" s="30" t="n">
        <f aca="false">AVERAGE(E25:E74)</f>
        <v>73.9928</v>
      </c>
      <c r="Q74" s="30" t="n">
        <f aca="false">Q73+(2/13)*(E74-Q73)</f>
        <v>71.2471122227043</v>
      </c>
      <c r="R74" s="30" t="n">
        <f aca="false">R73+(2/27)*(E74-R73)</f>
        <v>72.732969855931</v>
      </c>
      <c r="S74" s="33" t="n">
        <f aca="false">Q74-R74</f>
        <v>-1.48585763322676</v>
      </c>
      <c r="T74" s="33" t="n">
        <f aca="false">T73+(2/10)*(S74-T73)</f>
        <v>-1.28852825895721</v>
      </c>
      <c r="U74" s="33" t="n">
        <f aca="false">S74-T74</f>
        <v>-0.197329374269549</v>
      </c>
      <c r="V74" s="32" t="str">
        <f aca="false">IF(M74="","",IF(M74&lt;Assumptions!$B$5,"BUY",IF(M74&gt;Assumptions!$B$4,"SELL","HOLD")))</f>
        <v>HOLD</v>
      </c>
      <c r="W74" s="32" t="str">
        <f aca="false">IF(O74="","",IF(E74&gt;O74,"BUY","SELL"))</f>
        <v>SELL</v>
      </c>
      <c r="X74" s="32" t="str">
        <f aca="false">IF(T74="","",IF(S74&gt;T74,"BUY","SELL"))</f>
        <v>SELL</v>
      </c>
      <c r="Y74" s="34" t="n">
        <f aca="false">IF(OR(V74="",W74="",X74=""),"",IFERROR(IF(V74="BUY",1,IF(V74="SELL",-1,0))+IF(W74="BUY",1,IF(W74="SELL",-1,0))+IF(X74="BUY",1,IF(X74="SELL",-1,0)),0))</f>
        <v>-2</v>
      </c>
      <c r="Z74" s="32" t="str">
        <f aca="false">IF(Y74="","",IF(Y74&gt;=2,"STRONG BUY",IF(Y74=1,"BUY",IF(Y74=0,"HOLD",IF(Y74=-1,"SELL","STRONG SELL")))))</f>
        <v>STRONG SELL</v>
      </c>
    </row>
    <row r="75" customFormat="false" ht="15" hidden="false" customHeight="false" outlineLevel="0" collapsed="false">
      <c r="A75" s="24" t="n">
        <v>45873</v>
      </c>
      <c r="B75" s="25" t="n">
        <v>71.21</v>
      </c>
      <c r="C75" s="25" t="n">
        <v>71.79</v>
      </c>
      <c r="D75" s="25" t="n">
        <v>71.21</v>
      </c>
      <c r="E75" s="25" t="n">
        <v>71.5</v>
      </c>
      <c r="F75" s="26" t="n">
        <v>27922599</v>
      </c>
      <c r="G75" s="27" t="n">
        <f aca="false">E75-E74</f>
        <v>0.209999999999994</v>
      </c>
      <c r="H75" s="28" t="n">
        <f aca="false">G75/E74</f>
        <v>0.00294571468649171</v>
      </c>
      <c r="I75" s="29" t="n">
        <f aca="false">MAX(G75,0)</f>
        <v>0.209999999999994</v>
      </c>
      <c r="J75" s="29" t="n">
        <f aca="false">MAX(-G75,0)</f>
        <v>0</v>
      </c>
      <c r="K75" s="29" t="n">
        <f aca="false">(K74*13+I75)/14</f>
        <v>0.386419184225203</v>
      </c>
      <c r="L75" s="29" t="n">
        <f aca="false">(L74*13+J75)/14</f>
        <v>0.476672994571561</v>
      </c>
      <c r="M75" s="31" t="n">
        <f aca="false">IF(L75=0,100,100-100/(1+K75/MAX(L75,0.000001)))</f>
        <v>44.7714848678051</v>
      </c>
      <c r="N75" s="30" t="n">
        <f aca="false">AVERAGE(E56:E75)</f>
        <v>72.2195</v>
      </c>
      <c r="O75" s="30" t="n">
        <f aca="false">AVERAGE(E26:E75)</f>
        <v>74.0782</v>
      </c>
      <c r="Q75" s="30" t="n">
        <f aca="false">Q74+(2/13)*(E75-Q74)</f>
        <v>71.2860180345959</v>
      </c>
      <c r="R75" s="30" t="n">
        <f aca="false">R74+(2/27)*(E75-R74)</f>
        <v>72.6416387554917</v>
      </c>
      <c r="S75" s="33" t="n">
        <f aca="false">Q75-R75</f>
        <v>-1.35562072089577</v>
      </c>
      <c r="T75" s="33" t="n">
        <f aca="false">T74+(2/10)*(S75-T74)</f>
        <v>-1.30194675134492</v>
      </c>
      <c r="U75" s="33" t="n">
        <f aca="false">S75-T75</f>
        <v>-0.0536739695508501</v>
      </c>
      <c r="V75" s="32" t="str">
        <f aca="false">IF(M75="","",IF(M75&lt;Assumptions!$B$5,"BUY",IF(M75&gt;Assumptions!$B$4,"SELL","HOLD")))</f>
        <v>HOLD</v>
      </c>
      <c r="W75" s="32" t="str">
        <f aca="false">IF(O75="","",IF(E75&gt;O75,"BUY","SELL"))</f>
        <v>SELL</v>
      </c>
      <c r="X75" s="32" t="str">
        <f aca="false">IF(T75="","",IF(S75&gt;T75,"BUY","SELL"))</f>
        <v>SELL</v>
      </c>
      <c r="Y75" s="34" t="n">
        <f aca="false">IF(OR(V75="",W75="",X75=""),"",IFERROR(IF(V75="BUY",1,IF(V75="SELL",-1,0))+IF(W75="BUY",1,IF(W75="SELL",-1,0))+IF(X75="BUY",1,IF(X75="SELL",-1,0)),0))</f>
        <v>-2</v>
      </c>
      <c r="Z75" s="32" t="str">
        <f aca="false">IF(Y75="","",IF(Y75&gt;=2,"STRONG BUY",IF(Y75=1,"BUY",IF(Y75=0,"HOLD",IF(Y75=-1,"SELL","STRONG SELL")))))</f>
        <v>STRONG SELL</v>
      </c>
    </row>
    <row r="76" customFormat="false" ht="15" hidden="false" customHeight="false" outlineLevel="0" collapsed="false">
      <c r="A76" s="24" t="n">
        <v>45874</v>
      </c>
      <c r="B76" s="25" t="n">
        <v>70.98</v>
      </c>
      <c r="C76" s="25" t="n">
        <v>71</v>
      </c>
      <c r="D76" s="25" t="n">
        <v>70.98</v>
      </c>
      <c r="E76" s="25" t="n">
        <v>70.99</v>
      </c>
      <c r="F76" s="26" t="n">
        <v>20991977</v>
      </c>
      <c r="G76" s="27" t="n">
        <f aca="false">E76-E75</f>
        <v>-0.510000000000005</v>
      </c>
      <c r="H76" s="28" t="n">
        <f aca="false">G76/E75</f>
        <v>-0.0071328671328672</v>
      </c>
      <c r="I76" s="29" t="n">
        <f aca="false">MAX(G76,0)</f>
        <v>0</v>
      </c>
      <c r="J76" s="29" t="n">
        <f aca="false">MAX(-G76,0)</f>
        <v>0.510000000000005</v>
      </c>
      <c r="K76" s="29" t="n">
        <f aca="false">(K75*13+I76)/14</f>
        <v>0.358817813923403</v>
      </c>
      <c r="L76" s="29" t="n">
        <f aca="false">(L75*13+J76)/14</f>
        <v>0.479053494959307</v>
      </c>
      <c r="M76" s="31" t="n">
        <f aca="false">IF(L76=0,100,100-100/(1+K76/MAX(L76,0.000001)))</f>
        <v>42.8249314804539</v>
      </c>
      <c r="N76" s="30" t="n">
        <f aca="false">AVERAGE(E57:E76)</f>
        <v>71.8695</v>
      </c>
      <c r="O76" s="30" t="n">
        <f aca="false">AVERAGE(E27:E76)</f>
        <v>74.1488</v>
      </c>
      <c r="Q76" s="30" t="n">
        <f aca="false">Q75+(2/13)*(E76-Q75)</f>
        <v>71.2404767985043</v>
      </c>
      <c r="R76" s="30" t="n">
        <f aca="false">R75+(2/27)*(E76-R75)</f>
        <v>72.5192951439738</v>
      </c>
      <c r="S76" s="33" t="n">
        <f aca="false">Q76-R76</f>
        <v>-1.27881834546955</v>
      </c>
      <c r="T76" s="33" t="n">
        <f aca="false">T75+(2/10)*(S76-T75)</f>
        <v>-1.29732107016985</v>
      </c>
      <c r="U76" s="33" t="n">
        <f aca="false">S76-T76</f>
        <v>0.0185027247003007</v>
      </c>
      <c r="V76" s="32" t="str">
        <f aca="false">IF(M76="","",IF(M76&lt;Assumptions!$B$5,"BUY",IF(M76&gt;Assumptions!$B$4,"SELL","HOLD")))</f>
        <v>HOLD</v>
      </c>
      <c r="W76" s="32" t="str">
        <f aca="false">IF(O76="","",IF(E76&gt;O76,"BUY","SELL"))</f>
        <v>SELL</v>
      </c>
      <c r="X76" s="32" t="str">
        <f aca="false">IF(T76="","",IF(S76&gt;T76,"BUY","SELL"))</f>
        <v>BUY</v>
      </c>
      <c r="Y76" s="34" t="n">
        <f aca="false">IF(OR(V76="",W76="",X76=""),"",IFERROR(IF(V76="BUY",1,IF(V76="SELL",-1,0))+IF(W76="BUY",1,IF(W76="SELL",-1,0))+IF(X76="BUY",1,IF(X76="SELL",-1,0)),0))</f>
        <v>0</v>
      </c>
      <c r="Z76" s="32" t="str">
        <f aca="false">IF(Y76="","",IF(Y76&gt;=2,"STRONG BUY",IF(Y76=1,"BUY",IF(Y76=0,"HOLD",IF(Y76=-1,"SELL","STRONG SELL")))))</f>
        <v>HOLD</v>
      </c>
    </row>
    <row r="77" customFormat="false" ht="15" hidden="false" customHeight="false" outlineLevel="0" collapsed="false">
      <c r="A77" s="24" t="n">
        <v>45875</v>
      </c>
      <c r="B77" s="25" t="n">
        <v>67.81</v>
      </c>
      <c r="C77" s="25" t="n">
        <v>68.71</v>
      </c>
      <c r="D77" s="25" t="n">
        <v>67.77</v>
      </c>
      <c r="E77" s="25" t="n">
        <v>68.24</v>
      </c>
      <c r="F77" s="26" t="n">
        <v>27353727</v>
      </c>
      <c r="G77" s="27" t="n">
        <f aca="false">E77-E76</f>
        <v>-2.75</v>
      </c>
      <c r="H77" s="28" t="n">
        <f aca="false">G77/E76</f>
        <v>-0.038737850401465</v>
      </c>
      <c r="I77" s="29" t="n">
        <f aca="false">MAX(G77,0)</f>
        <v>0</v>
      </c>
      <c r="J77" s="29" t="n">
        <f aca="false">MAX(-G77,0)</f>
        <v>2.75</v>
      </c>
      <c r="K77" s="29" t="n">
        <f aca="false">(K76*13+I77)/14</f>
        <v>0.333187970071731</v>
      </c>
      <c r="L77" s="29" t="n">
        <f aca="false">(L76*13+J77)/14</f>
        <v>0.641263959605071</v>
      </c>
      <c r="M77" s="31" t="n">
        <f aca="false">IF(L77=0,100,100-100/(1+K77/MAX(L77,0.000001)))</f>
        <v>34.1923454533299</v>
      </c>
      <c r="N77" s="30" t="n">
        <f aca="false">AVERAGE(E58:E77)</f>
        <v>71.4945</v>
      </c>
      <c r="O77" s="30" t="n">
        <f aca="false">AVERAGE(E28:E77)</f>
        <v>74.1562</v>
      </c>
      <c r="Q77" s="30" t="n">
        <f aca="false">Q76+(2/13)*(E77-Q76)</f>
        <v>70.7788649833498</v>
      </c>
      <c r="R77" s="30" t="n">
        <f aca="false">R76+(2/27)*(E77-R76)</f>
        <v>72.2023103184943</v>
      </c>
      <c r="S77" s="33" t="n">
        <f aca="false">Q77-R77</f>
        <v>-1.42344533514451</v>
      </c>
      <c r="T77" s="33" t="n">
        <f aca="false">T76+(2/10)*(S77-T76)</f>
        <v>-1.32254592316478</v>
      </c>
      <c r="U77" s="33" t="n">
        <f aca="false">S77-T77</f>
        <v>-0.100899411979728</v>
      </c>
      <c r="V77" s="32" t="str">
        <f aca="false">IF(M77="","",IF(M77&lt;Assumptions!$B$5,"BUY",IF(M77&gt;Assumptions!$B$4,"SELL","HOLD")))</f>
        <v>HOLD</v>
      </c>
      <c r="W77" s="32" t="str">
        <f aca="false">IF(O77="","",IF(E77&gt;O77,"BUY","SELL"))</f>
        <v>SELL</v>
      </c>
      <c r="X77" s="32" t="str">
        <f aca="false">IF(T77="","",IF(S77&gt;T77,"BUY","SELL"))</f>
        <v>SELL</v>
      </c>
      <c r="Y77" s="34" t="n">
        <f aca="false">IF(OR(V77="",W77="",X77=""),"",IFERROR(IF(V77="BUY",1,IF(V77="SELL",-1,0))+IF(W77="BUY",1,IF(W77="SELL",-1,0))+IF(X77="BUY",1,IF(X77="SELL",-1,0)),0))</f>
        <v>-2</v>
      </c>
      <c r="Z77" s="32" t="str">
        <f aca="false">IF(Y77="","",IF(Y77&gt;=2,"STRONG BUY",IF(Y77=1,"BUY",IF(Y77=0,"HOLD",IF(Y77=-1,"SELL","STRONG SELL")))))</f>
        <v>STRONG SELL</v>
      </c>
    </row>
    <row r="78" customFormat="false" ht="15" hidden="false" customHeight="false" outlineLevel="0" collapsed="false">
      <c r="A78" s="24" t="n">
        <v>45876</v>
      </c>
      <c r="B78" s="25" t="n">
        <v>69.56</v>
      </c>
      <c r="C78" s="25" t="n">
        <v>69.8</v>
      </c>
      <c r="D78" s="25" t="n">
        <v>69.56</v>
      </c>
      <c r="E78" s="25" t="n">
        <v>69.68</v>
      </c>
      <c r="F78" s="26" t="n">
        <v>25340756</v>
      </c>
      <c r="G78" s="27" t="n">
        <f aca="false">E78-E77</f>
        <v>1.44000000000001</v>
      </c>
      <c r="H78" s="28" t="n">
        <f aca="false">G78/E77</f>
        <v>0.0211019929660025</v>
      </c>
      <c r="I78" s="29" t="n">
        <f aca="false">MAX(G78,0)</f>
        <v>1.44000000000001</v>
      </c>
      <c r="J78" s="29" t="n">
        <f aca="false">MAX(-G78,0)</f>
        <v>0</v>
      </c>
      <c r="K78" s="29" t="n">
        <f aca="false">(K77*13+I78)/14</f>
        <v>0.412245972209465</v>
      </c>
      <c r="L78" s="29" t="n">
        <f aca="false">(L77*13+J78)/14</f>
        <v>0.595459391061852</v>
      </c>
      <c r="M78" s="31" t="n">
        <f aca="false">IF(L78=0,100,100-100/(1+K78/MAX(L78,0.000001)))</f>
        <v>40.9093756205872</v>
      </c>
      <c r="N78" s="30" t="n">
        <f aca="false">AVERAGE(E59:E78)</f>
        <v>71.2165</v>
      </c>
      <c r="O78" s="30" t="n">
        <f aca="false">AVERAGE(E29:E78)</f>
        <v>74.1774</v>
      </c>
      <c r="Q78" s="30" t="n">
        <f aca="false">Q77+(2/13)*(E78-Q77)</f>
        <v>70.6098088320652</v>
      </c>
      <c r="R78" s="30" t="n">
        <f aca="false">R77+(2/27)*(E78-R77)</f>
        <v>72.0154725171243</v>
      </c>
      <c r="S78" s="33" t="n">
        <f aca="false">Q78-R78</f>
        <v>-1.40566368505914</v>
      </c>
      <c r="T78" s="33" t="n">
        <f aca="false">T77+(2/10)*(S78-T77)</f>
        <v>-1.33916947554365</v>
      </c>
      <c r="U78" s="33" t="n">
        <f aca="false">S78-T78</f>
        <v>-0.0664942095154884</v>
      </c>
      <c r="V78" s="32" t="str">
        <f aca="false">IF(M78="","",IF(M78&lt;Assumptions!$B$5,"BUY",IF(M78&gt;Assumptions!$B$4,"SELL","HOLD")))</f>
        <v>HOLD</v>
      </c>
      <c r="W78" s="32" t="str">
        <f aca="false">IF(O78="","",IF(E78&gt;O78,"BUY","SELL"))</f>
        <v>SELL</v>
      </c>
      <c r="X78" s="32" t="str">
        <f aca="false">IF(T78="","",IF(S78&gt;T78,"BUY","SELL"))</f>
        <v>SELL</v>
      </c>
      <c r="Y78" s="34" t="n">
        <f aca="false">IF(OR(V78="",W78="",X78=""),"",IFERROR(IF(V78="BUY",1,IF(V78="SELL",-1,0))+IF(W78="BUY",1,IF(W78="SELL",-1,0))+IF(X78="BUY",1,IF(X78="SELL",-1,0)),0))</f>
        <v>-2</v>
      </c>
      <c r="Z78" s="32" t="str">
        <f aca="false">IF(Y78="","",IF(Y78&gt;=2,"STRONG BUY",IF(Y78=1,"BUY",IF(Y78=0,"HOLD",IF(Y78=-1,"SELL","STRONG SELL")))))</f>
        <v>STRONG SELL</v>
      </c>
    </row>
    <row r="79" customFormat="false" ht="15" hidden="false" customHeight="false" outlineLevel="0" collapsed="false">
      <c r="A79" s="24" t="n">
        <v>45877</v>
      </c>
      <c r="B79" s="25" t="n">
        <v>66.44</v>
      </c>
      <c r="C79" s="25" t="n">
        <v>66.59</v>
      </c>
      <c r="D79" s="25" t="n">
        <v>66.33</v>
      </c>
      <c r="E79" s="25" t="n">
        <v>66.46</v>
      </c>
      <c r="F79" s="26" t="n">
        <v>27144080</v>
      </c>
      <c r="G79" s="27" t="n">
        <f aca="false">E79-E78</f>
        <v>-3.22000000000001</v>
      </c>
      <c r="H79" s="28" t="n">
        <f aca="false">G79/E78</f>
        <v>-0.0462112514351322</v>
      </c>
      <c r="I79" s="29" t="n">
        <f aca="false">MAX(G79,0)</f>
        <v>0</v>
      </c>
      <c r="J79" s="29" t="n">
        <f aca="false">MAX(-G79,0)</f>
        <v>3.22000000000001</v>
      </c>
      <c r="K79" s="29" t="n">
        <f aca="false">(K78*13+I79)/14</f>
        <v>0.382799831337361</v>
      </c>
      <c r="L79" s="29" t="n">
        <f aca="false">(L78*13+J79)/14</f>
        <v>0.782926577414577</v>
      </c>
      <c r="M79" s="31" t="n">
        <f aca="false">IF(L79=0,100,100-100/(1+K79/MAX(L79,0.000001)))</f>
        <v>32.837879322576</v>
      </c>
      <c r="N79" s="30" t="n">
        <f aca="false">AVERAGE(E60:E79)</f>
        <v>70.8905</v>
      </c>
      <c r="O79" s="30" t="n">
        <f aca="false">AVERAGE(E30:E79)</f>
        <v>74.099</v>
      </c>
      <c r="Q79" s="30" t="n">
        <f aca="false">Q78+(2/13)*(E79-Q78)</f>
        <v>69.9713767040552</v>
      </c>
      <c r="R79" s="30" t="n">
        <f aca="false">R78+(2/27)*(E79-R78)</f>
        <v>71.6039560343744</v>
      </c>
      <c r="S79" s="33" t="n">
        <f aca="false">Q79-R79</f>
        <v>-1.63257933031922</v>
      </c>
      <c r="T79" s="33" t="n">
        <f aca="false">T78+(2/10)*(S79-T78)</f>
        <v>-1.39785144649876</v>
      </c>
      <c r="U79" s="33" t="n">
        <f aca="false">S79-T79</f>
        <v>-0.234727883820453</v>
      </c>
      <c r="V79" s="32" t="str">
        <f aca="false">IF(M79="","",IF(M79&lt;Assumptions!$B$5,"BUY",IF(M79&gt;Assumptions!$B$4,"SELL","HOLD")))</f>
        <v>HOLD</v>
      </c>
      <c r="W79" s="32" t="str">
        <f aca="false">IF(O79="","",IF(E79&gt;O79,"BUY","SELL"))</f>
        <v>SELL</v>
      </c>
      <c r="X79" s="32" t="str">
        <f aca="false">IF(T79="","",IF(S79&gt;T79,"BUY","SELL"))</f>
        <v>SELL</v>
      </c>
      <c r="Y79" s="34" t="n">
        <f aca="false">IF(OR(V79="",W79="",X79=""),"",IFERROR(IF(V79="BUY",1,IF(V79="SELL",-1,0))+IF(W79="BUY",1,IF(W79="SELL",-1,0))+IF(X79="BUY",1,IF(X79="SELL",-1,0)),0))</f>
        <v>-2</v>
      </c>
      <c r="Z79" s="32" t="str">
        <f aca="false">IF(Y79="","",IF(Y79&gt;=2,"STRONG BUY",IF(Y79=1,"BUY",IF(Y79=0,"HOLD",IF(Y79=-1,"SELL","STRONG SELL")))))</f>
        <v>STRONG SELL</v>
      </c>
    </row>
    <row r="80" customFormat="false" ht="15" hidden="false" customHeight="false" outlineLevel="0" collapsed="false">
      <c r="A80" s="24" t="n">
        <v>45880</v>
      </c>
      <c r="B80" s="25" t="n">
        <v>67.67</v>
      </c>
      <c r="C80" s="25" t="n">
        <v>68.41</v>
      </c>
      <c r="D80" s="25" t="n">
        <v>67.25</v>
      </c>
      <c r="E80" s="25" t="n">
        <v>67.83</v>
      </c>
      <c r="F80" s="26" t="n">
        <v>28657059</v>
      </c>
      <c r="G80" s="27" t="n">
        <f aca="false">E80-E79</f>
        <v>1.37</v>
      </c>
      <c r="H80" s="28" t="n">
        <f aca="false">G80/E79</f>
        <v>0.0206139030996089</v>
      </c>
      <c r="I80" s="29" t="n">
        <f aca="false">MAX(G80,0)</f>
        <v>1.37</v>
      </c>
      <c r="J80" s="29" t="n">
        <f aca="false">MAX(-G80,0)</f>
        <v>0</v>
      </c>
      <c r="K80" s="29" t="n">
        <f aca="false">(K79*13+I80)/14</f>
        <v>0.453314129098978</v>
      </c>
      <c r="L80" s="29" t="n">
        <f aca="false">(L79*13+J80)/14</f>
        <v>0.727003250456393</v>
      </c>
      <c r="M80" s="31" t="n">
        <f aca="false">IF(L80=0,100,100-100/(1+K80/MAX(L80,0.000001)))</f>
        <v>38.4061216881973</v>
      </c>
      <c r="N80" s="30" t="n">
        <f aca="false">AVERAGE(E61:E80)</f>
        <v>70.615</v>
      </c>
      <c r="O80" s="30" t="n">
        <f aca="false">AVERAGE(E31:E80)</f>
        <v>74.0276</v>
      </c>
      <c r="Q80" s="30" t="n">
        <f aca="false">Q79+(2/13)*(E80-Q79)</f>
        <v>69.6419341342005</v>
      </c>
      <c r="R80" s="30" t="n">
        <f aca="false">R79+(2/27)*(E80-R79)</f>
        <v>71.3244037355318</v>
      </c>
      <c r="S80" s="33" t="n">
        <f aca="false">Q80-R80</f>
        <v>-1.68246960133131</v>
      </c>
      <c r="T80" s="33" t="n">
        <f aca="false">T79+(2/10)*(S80-T79)</f>
        <v>-1.45477507746527</v>
      </c>
      <c r="U80" s="33" t="n">
        <f aca="false">S80-T80</f>
        <v>-0.227694523866034</v>
      </c>
      <c r="V80" s="32" t="str">
        <f aca="false">IF(M80="","",IF(M80&lt;Assumptions!$B$5,"BUY",IF(M80&gt;Assumptions!$B$4,"SELL","HOLD")))</f>
        <v>HOLD</v>
      </c>
      <c r="W80" s="32" t="str">
        <f aca="false">IF(O80="","",IF(E80&gt;O80,"BUY","SELL"))</f>
        <v>SELL</v>
      </c>
      <c r="X80" s="32" t="str">
        <f aca="false">IF(T80="","",IF(S80&gt;T80,"BUY","SELL"))</f>
        <v>SELL</v>
      </c>
      <c r="Y80" s="34" t="n">
        <f aca="false">IF(OR(V80="",W80="",X80=""),"",IFERROR(IF(V80="BUY",1,IF(V80="SELL",-1,0))+IF(W80="BUY",1,IF(W80="SELL",-1,0))+IF(X80="BUY",1,IF(X80="SELL",-1,0)),0))</f>
        <v>-2</v>
      </c>
      <c r="Z80" s="32" t="str">
        <f aca="false">IF(Y80="","",IF(Y80&gt;=2,"STRONG BUY",IF(Y80=1,"BUY",IF(Y80=0,"HOLD",IF(Y80=-1,"SELL","STRONG SELL")))))</f>
        <v>STRONG SELL</v>
      </c>
    </row>
    <row r="81" customFormat="false" ht="15" hidden="false" customHeight="false" outlineLevel="0" collapsed="false">
      <c r="A81" s="24" t="n">
        <v>45881</v>
      </c>
      <c r="B81" s="25" t="n">
        <v>66.63</v>
      </c>
      <c r="C81" s="25" t="n">
        <v>67.2</v>
      </c>
      <c r="D81" s="25" t="n">
        <v>65.82</v>
      </c>
      <c r="E81" s="25" t="n">
        <v>66.51</v>
      </c>
      <c r="F81" s="26" t="n">
        <v>8664271</v>
      </c>
      <c r="G81" s="27" t="n">
        <f aca="false">E81-E80</f>
        <v>-1.31999999999999</v>
      </c>
      <c r="H81" s="28" t="n">
        <f aca="false">G81/E80</f>
        <v>-0.0194604157452454</v>
      </c>
      <c r="I81" s="29" t="n">
        <f aca="false">MAX(G81,0)</f>
        <v>0</v>
      </c>
      <c r="J81" s="29" t="n">
        <f aca="false">MAX(-G81,0)</f>
        <v>1.31999999999999</v>
      </c>
      <c r="K81" s="29" t="n">
        <f aca="false">(K80*13+I81)/14</f>
        <v>0.420934548449051</v>
      </c>
      <c r="L81" s="29" t="n">
        <f aca="false">(L80*13+J81)/14</f>
        <v>0.769360161138079</v>
      </c>
      <c r="M81" s="31" t="n">
        <f aca="false">IF(L81=0,100,100-100/(1+K81/MAX(L81,0.000001)))</f>
        <v>35.3638930811562</v>
      </c>
      <c r="N81" s="30" t="n">
        <f aca="false">AVERAGE(E62:E81)</f>
        <v>70.295</v>
      </c>
      <c r="O81" s="30" t="n">
        <f aca="false">AVERAGE(E32:E81)</f>
        <v>73.9374</v>
      </c>
      <c r="Q81" s="30" t="n">
        <f aca="false">Q80+(2/13)*(E81-Q80)</f>
        <v>69.1600981135543</v>
      </c>
      <c r="R81" s="30" t="n">
        <f aca="false">R80+(2/27)*(E81-R80)</f>
        <v>70.9677812366035</v>
      </c>
      <c r="S81" s="33" t="n">
        <f aca="false">Q81-R81</f>
        <v>-1.80768312304924</v>
      </c>
      <c r="T81" s="33" t="n">
        <f aca="false">T80+(2/10)*(S81-T80)</f>
        <v>-1.52535668658207</v>
      </c>
      <c r="U81" s="33" t="n">
        <f aca="false">S81-T81</f>
        <v>-0.282326436467178</v>
      </c>
      <c r="V81" s="32" t="str">
        <f aca="false">IF(M81="","",IF(M81&lt;Assumptions!$B$5,"BUY",IF(M81&gt;Assumptions!$B$4,"SELL","HOLD")))</f>
        <v>HOLD</v>
      </c>
      <c r="W81" s="32" t="str">
        <f aca="false">IF(O81="","",IF(E81&gt;O81,"BUY","SELL"))</f>
        <v>SELL</v>
      </c>
      <c r="X81" s="32" t="str">
        <f aca="false">IF(T81="","",IF(S81&gt;T81,"BUY","SELL"))</f>
        <v>SELL</v>
      </c>
      <c r="Y81" s="34" t="n">
        <f aca="false">IF(OR(V81="",W81="",X81=""),"",IFERROR(IF(V81="BUY",1,IF(V81="SELL",-1,0))+IF(W81="BUY",1,IF(W81="SELL",-1,0))+IF(X81="BUY",1,IF(X81="SELL",-1,0)),0))</f>
        <v>-2</v>
      </c>
      <c r="Z81" s="32" t="str">
        <f aca="false">IF(Y81="","",IF(Y81&gt;=2,"STRONG BUY",IF(Y81=1,"BUY",IF(Y81=0,"HOLD",IF(Y81=-1,"SELL","STRONG SELL")))))</f>
        <v>STRONG SELL</v>
      </c>
    </row>
    <row r="82" customFormat="false" ht="15" hidden="false" customHeight="false" outlineLevel="0" collapsed="false">
      <c r="A82" s="24" t="n">
        <v>45882</v>
      </c>
      <c r="B82" s="25" t="n">
        <v>65.05</v>
      </c>
      <c r="C82" s="25" t="n">
        <v>65.42</v>
      </c>
      <c r="D82" s="25" t="n">
        <v>64.92</v>
      </c>
      <c r="E82" s="25" t="n">
        <v>65.17</v>
      </c>
      <c r="F82" s="26" t="n">
        <v>26436142</v>
      </c>
      <c r="G82" s="27" t="n">
        <f aca="false">E82-E81</f>
        <v>-1.34</v>
      </c>
      <c r="H82" s="28" t="n">
        <f aca="false">G82/E81</f>
        <v>-0.0201473462637198</v>
      </c>
      <c r="I82" s="29" t="n">
        <f aca="false">MAX(G82,0)</f>
        <v>0</v>
      </c>
      <c r="J82" s="29" t="n">
        <f aca="false">MAX(-G82,0)</f>
        <v>1.34</v>
      </c>
      <c r="K82" s="29" t="n">
        <f aca="false">(K81*13+I82)/14</f>
        <v>0.390867794988404</v>
      </c>
      <c r="L82" s="29" t="n">
        <f aca="false">(L81*13+J82)/14</f>
        <v>0.810120149628216</v>
      </c>
      <c r="M82" s="31" t="n">
        <f aca="false">IF(L82=0,100,100-100/(1+K82/MAX(L82,0.000001)))</f>
        <v>32.5455219380389</v>
      </c>
      <c r="N82" s="30" t="n">
        <f aca="false">AVERAGE(E63:E82)</f>
        <v>69.9045</v>
      </c>
      <c r="O82" s="30" t="n">
        <f aca="false">AVERAGE(E33:E82)</f>
        <v>73.8</v>
      </c>
      <c r="Q82" s="30" t="n">
        <f aca="false">Q81+(2/13)*(E82-Q81)</f>
        <v>68.5462368653152</v>
      </c>
      <c r="R82" s="30" t="n">
        <f aca="false">R81+(2/27)*(E82-R81)</f>
        <v>70.5383159598181</v>
      </c>
      <c r="S82" s="33" t="n">
        <f aca="false">Q82-R82</f>
        <v>-1.99207909450291</v>
      </c>
      <c r="T82" s="33" t="n">
        <f aca="false">T81+(2/10)*(S82-T81)</f>
        <v>-1.61870116816624</v>
      </c>
      <c r="U82" s="33" t="n">
        <f aca="false">S82-T82</f>
        <v>-0.373377926336677</v>
      </c>
      <c r="V82" s="32" t="str">
        <f aca="false">IF(M82="","",IF(M82&lt;Assumptions!$B$5,"BUY",IF(M82&gt;Assumptions!$B$4,"SELL","HOLD")))</f>
        <v>HOLD</v>
      </c>
      <c r="W82" s="32" t="str">
        <f aca="false">IF(O82="","",IF(E82&gt;O82,"BUY","SELL"))</f>
        <v>SELL</v>
      </c>
      <c r="X82" s="32" t="str">
        <f aca="false">IF(T82="","",IF(S82&gt;T82,"BUY","SELL"))</f>
        <v>SELL</v>
      </c>
      <c r="Y82" s="34" t="n">
        <f aca="false">IF(OR(V82="",W82="",X82=""),"",IFERROR(IF(V82="BUY",1,IF(V82="SELL",-1,0))+IF(W82="BUY",1,IF(W82="SELL",-1,0))+IF(X82="BUY",1,IF(X82="SELL",-1,0)),0))</f>
        <v>-2</v>
      </c>
      <c r="Z82" s="32" t="str">
        <f aca="false">IF(Y82="","",IF(Y82&gt;=2,"STRONG BUY",IF(Y82=1,"BUY",IF(Y82=0,"HOLD",IF(Y82=-1,"SELL","STRONG SELL")))))</f>
        <v>STRONG SELL</v>
      </c>
    </row>
    <row r="83" customFormat="false" ht="15" hidden="false" customHeight="false" outlineLevel="0" collapsed="false">
      <c r="A83" s="24" t="n">
        <v>45883</v>
      </c>
      <c r="B83" s="25" t="n">
        <v>65.08</v>
      </c>
      <c r="C83" s="25" t="n">
        <v>65.64</v>
      </c>
      <c r="D83" s="25" t="n">
        <v>64.5</v>
      </c>
      <c r="E83" s="25" t="n">
        <v>65.07</v>
      </c>
      <c r="F83" s="26" t="n">
        <v>32210113</v>
      </c>
      <c r="G83" s="27" t="n">
        <f aca="false">E83-E82</f>
        <v>-0.100000000000009</v>
      </c>
      <c r="H83" s="28" t="n">
        <f aca="false">G83/E82</f>
        <v>-0.00153444836581262</v>
      </c>
      <c r="I83" s="29" t="n">
        <f aca="false">MAX(G83,0)</f>
        <v>0</v>
      </c>
      <c r="J83" s="29" t="n">
        <f aca="false">MAX(-G83,0)</f>
        <v>0.100000000000009</v>
      </c>
      <c r="K83" s="29" t="n">
        <f aca="false">(K82*13+I83)/14</f>
        <v>0.362948666774947</v>
      </c>
      <c r="L83" s="29" t="n">
        <f aca="false">(L82*13+J83)/14</f>
        <v>0.75939728179763</v>
      </c>
      <c r="M83" s="31" t="n">
        <f aca="false">IF(L83=0,100,100-100/(1+K83/MAX(L83,0.000001)))</f>
        <v>32.3383950587208</v>
      </c>
      <c r="N83" s="30" t="n">
        <f aca="false">AVERAGE(E64:E83)</f>
        <v>69.437</v>
      </c>
      <c r="O83" s="30" t="n">
        <f aca="false">AVERAGE(E34:E83)</f>
        <v>73.6918</v>
      </c>
      <c r="Q83" s="30" t="n">
        <f aca="false">Q82+(2/13)*(E83-Q82)</f>
        <v>68.0114311937282</v>
      </c>
      <c r="R83" s="30" t="n">
        <f aca="false">R82+(2/27)*(E83-R82)</f>
        <v>70.1332555183501</v>
      </c>
      <c r="S83" s="33" t="n">
        <f aca="false">Q83-R83</f>
        <v>-2.12182432462186</v>
      </c>
      <c r="T83" s="33" t="n">
        <f aca="false">T82+(2/10)*(S83-T82)</f>
        <v>-1.71932579945736</v>
      </c>
      <c r="U83" s="33" t="n">
        <f aca="false">S83-T83</f>
        <v>-0.402498525164495</v>
      </c>
      <c r="V83" s="32" t="str">
        <f aca="false">IF(M83="","",IF(M83&lt;Assumptions!$B$5,"BUY",IF(M83&gt;Assumptions!$B$4,"SELL","HOLD")))</f>
        <v>HOLD</v>
      </c>
      <c r="W83" s="32" t="str">
        <f aca="false">IF(O83="","",IF(E83&gt;O83,"BUY","SELL"))</f>
        <v>SELL</v>
      </c>
      <c r="X83" s="32" t="str">
        <f aca="false">IF(T83="","",IF(S83&gt;T83,"BUY","SELL"))</f>
        <v>SELL</v>
      </c>
      <c r="Y83" s="34" t="n">
        <f aca="false">IF(OR(V83="",W83="",X83=""),"",IFERROR(IF(V83="BUY",1,IF(V83="SELL",-1,0))+IF(W83="BUY",1,IF(W83="SELL",-1,0))+IF(X83="BUY",1,IF(X83="SELL",-1,0)),0))</f>
        <v>-2</v>
      </c>
      <c r="Z83" s="32" t="str">
        <f aca="false">IF(Y83="","",IF(Y83&gt;=2,"STRONG BUY",IF(Y83=1,"BUY",IF(Y83=0,"HOLD",IF(Y83=-1,"SELL","STRONG SELL")))))</f>
        <v>STRONG SELL</v>
      </c>
    </row>
    <row r="84" customFormat="false" ht="15" hidden="false" customHeight="false" outlineLevel="0" collapsed="false">
      <c r="A84" s="24" t="n">
        <v>45884</v>
      </c>
      <c r="B84" s="25" t="n">
        <v>67.26</v>
      </c>
      <c r="C84" s="25" t="n">
        <v>67.51</v>
      </c>
      <c r="D84" s="25" t="n">
        <v>67.01</v>
      </c>
      <c r="E84" s="25" t="n">
        <v>67.26</v>
      </c>
      <c r="F84" s="26" t="n">
        <v>24943364</v>
      </c>
      <c r="G84" s="27" t="n">
        <f aca="false">E84-E83</f>
        <v>2.19000000000001</v>
      </c>
      <c r="H84" s="28" t="n">
        <f aca="false">G84/E83</f>
        <v>0.033656062701706</v>
      </c>
      <c r="I84" s="29" t="n">
        <f aca="false">MAX(G84,0)</f>
        <v>2.19000000000001</v>
      </c>
      <c r="J84" s="29" t="n">
        <f aca="false">MAX(-G84,0)</f>
        <v>0</v>
      </c>
      <c r="K84" s="29" t="n">
        <f aca="false">(K83*13+I84)/14</f>
        <v>0.49345233343388</v>
      </c>
      <c r="L84" s="29" t="n">
        <f aca="false">(L83*13+J84)/14</f>
        <v>0.705154618812085</v>
      </c>
      <c r="M84" s="31" t="n">
        <f aca="false">IF(L84=0,100,100-100/(1+K84/MAX(L84,0.000001)))</f>
        <v>41.1688195625132</v>
      </c>
      <c r="N84" s="30" t="n">
        <f aca="false">AVERAGE(E65:E84)</f>
        <v>69.129</v>
      </c>
      <c r="O84" s="30" t="n">
        <f aca="false">AVERAGE(E35:E84)</f>
        <v>73.6252</v>
      </c>
      <c r="Q84" s="30" t="n">
        <f aca="false">Q83+(2/13)*(E84-Q83)</f>
        <v>67.8958263946931</v>
      </c>
      <c r="R84" s="30" t="n">
        <f aca="false">R83+(2/27)*(E84-R83)</f>
        <v>69.9204217762501</v>
      </c>
      <c r="S84" s="33" t="n">
        <f aca="false">Q84-R84</f>
        <v>-2.02459538155696</v>
      </c>
      <c r="T84" s="33" t="n">
        <f aca="false">T83+(2/10)*(S84-T83)</f>
        <v>-1.78037971587728</v>
      </c>
      <c r="U84" s="33" t="n">
        <f aca="false">S84-T84</f>
        <v>-0.244215665679683</v>
      </c>
      <c r="V84" s="32" t="str">
        <f aca="false">IF(M84="","",IF(M84&lt;Assumptions!$B$5,"BUY",IF(M84&gt;Assumptions!$B$4,"SELL","HOLD")))</f>
        <v>HOLD</v>
      </c>
      <c r="W84" s="32" t="str">
        <f aca="false">IF(O84="","",IF(E84&gt;O84,"BUY","SELL"))</f>
        <v>SELL</v>
      </c>
      <c r="X84" s="32" t="str">
        <f aca="false">IF(T84="","",IF(S84&gt;T84,"BUY","SELL"))</f>
        <v>SELL</v>
      </c>
      <c r="Y84" s="34" t="n">
        <f aca="false">IF(OR(V84="",W84="",X84=""),"",IFERROR(IF(V84="BUY",1,IF(V84="SELL",-1,0))+IF(W84="BUY",1,IF(W84="SELL",-1,0))+IF(X84="BUY",1,IF(X84="SELL",-1,0)),0))</f>
        <v>-2</v>
      </c>
      <c r="Z84" s="32" t="str">
        <f aca="false">IF(Y84="","",IF(Y84&gt;=2,"STRONG BUY",IF(Y84=1,"BUY",IF(Y84=0,"HOLD",IF(Y84=-1,"SELL","STRONG SELL")))))</f>
        <v>STRONG SELL</v>
      </c>
    </row>
    <row r="85" customFormat="false" ht="15" hidden="false" customHeight="false" outlineLevel="0" collapsed="false">
      <c r="A85" s="24" t="n">
        <v>45887</v>
      </c>
      <c r="B85" s="25" t="n">
        <v>67.79</v>
      </c>
      <c r="C85" s="25" t="n">
        <v>68.05</v>
      </c>
      <c r="D85" s="25" t="n">
        <v>67.13</v>
      </c>
      <c r="E85" s="25" t="n">
        <v>67.59</v>
      </c>
      <c r="F85" s="26" t="n">
        <v>19533332</v>
      </c>
      <c r="G85" s="27" t="n">
        <f aca="false">E85-E84</f>
        <v>0.329999999999998</v>
      </c>
      <c r="H85" s="28" t="n">
        <f aca="false">G85/E84</f>
        <v>0.00490633363068686</v>
      </c>
      <c r="I85" s="29" t="n">
        <f aca="false">MAX(G85,0)</f>
        <v>0.329999999999998</v>
      </c>
      <c r="J85" s="29" t="n">
        <f aca="false">MAX(-G85,0)</f>
        <v>0</v>
      </c>
      <c r="K85" s="29" t="n">
        <f aca="false">(K84*13+I85)/14</f>
        <v>0.481777166760032</v>
      </c>
      <c r="L85" s="29" t="n">
        <f aca="false">(L84*13+J85)/14</f>
        <v>0.654786431754079</v>
      </c>
      <c r="M85" s="31" t="n">
        <f aca="false">IF(L85=0,100,100-100/(1+K85/MAX(L85,0.000001)))</f>
        <v>42.3889316347879</v>
      </c>
      <c r="N85" s="30" t="n">
        <f aca="false">AVERAGE(E66:E85)</f>
        <v>68.9535</v>
      </c>
      <c r="O85" s="30" t="n">
        <f aca="false">AVERAGE(E36:E85)</f>
        <v>73.5426</v>
      </c>
      <c r="Q85" s="30" t="n">
        <f aca="false">Q84+(2/13)*(E85-Q84)</f>
        <v>67.8487761801249</v>
      </c>
      <c r="R85" s="30" t="n">
        <f aca="false">R84+(2/27)*(E85-R84)</f>
        <v>69.7477979409723</v>
      </c>
      <c r="S85" s="33" t="n">
        <f aca="false">Q85-R85</f>
        <v>-1.89902176084736</v>
      </c>
      <c r="T85" s="33" t="n">
        <f aca="false">T84+(2/10)*(S85-T84)</f>
        <v>-1.8041081248713</v>
      </c>
      <c r="U85" s="33" t="n">
        <f aca="false">S85-T85</f>
        <v>-0.0949136359760647</v>
      </c>
      <c r="V85" s="32" t="str">
        <f aca="false">IF(M85="","",IF(M85&lt;Assumptions!$B$5,"BUY",IF(M85&gt;Assumptions!$B$4,"SELL","HOLD")))</f>
        <v>HOLD</v>
      </c>
      <c r="W85" s="32" t="str">
        <f aca="false">IF(O85="","",IF(E85&gt;O85,"BUY","SELL"))</f>
        <v>SELL</v>
      </c>
      <c r="X85" s="32" t="str">
        <f aca="false">IF(T85="","",IF(S85&gt;T85,"BUY","SELL"))</f>
        <v>SELL</v>
      </c>
      <c r="Y85" s="34" t="n">
        <f aca="false">IF(OR(V85="",W85="",X85=""),"",IFERROR(IF(V85="BUY",1,IF(V85="SELL",-1,0))+IF(W85="BUY",1,IF(W85="SELL",-1,0))+IF(X85="BUY",1,IF(X85="SELL",-1,0)),0))</f>
        <v>-2</v>
      </c>
      <c r="Z85" s="32" t="str">
        <f aca="false">IF(Y85="","",IF(Y85&gt;=2,"STRONG BUY",IF(Y85=1,"BUY",IF(Y85=0,"HOLD",IF(Y85=-1,"SELL","STRONG SELL")))))</f>
        <v>STRONG SELL</v>
      </c>
    </row>
    <row r="86" customFormat="false" ht="15" hidden="false" customHeight="false" outlineLevel="0" collapsed="false">
      <c r="A86" s="24" t="n">
        <v>45888</v>
      </c>
      <c r="B86" s="25" t="n">
        <v>67.22</v>
      </c>
      <c r="C86" s="25" t="n">
        <v>67.63</v>
      </c>
      <c r="D86" s="25" t="n">
        <v>67.17</v>
      </c>
      <c r="E86" s="25" t="n">
        <v>67.4</v>
      </c>
      <c r="F86" s="26" t="n">
        <v>24688069</v>
      </c>
      <c r="G86" s="27" t="n">
        <f aca="false">E86-E85</f>
        <v>-0.189999999999998</v>
      </c>
      <c r="H86" s="28" t="n">
        <f aca="false">G86/E85</f>
        <v>-0.00281106672584699</v>
      </c>
      <c r="I86" s="29" t="n">
        <f aca="false">MAX(G86,0)</f>
        <v>0</v>
      </c>
      <c r="J86" s="29" t="n">
        <f aca="false">MAX(-G86,0)</f>
        <v>0.189999999999998</v>
      </c>
      <c r="K86" s="29" t="n">
        <f aca="false">(K85*13+I86)/14</f>
        <v>0.447364511991458</v>
      </c>
      <c r="L86" s="29" t="n">
        <f aca="false">(L85*13+J86)/14</f>
        <v>0.621587400914502</v>
      </c>
      <c r="M86" s="31" t="n">
        <f aca="false">IF(L86=0,100,100-100/(1+K86/MAX(L86,0.000001)))</f>
        <v>41.8507611605551</v>
      </c>
      <c r="N86" s="30" t="n">
        <f aca="false">AVERAGE(E67:E86)</f>
        <v>68.7695</v>
      </c>
      <c r="O86" s="30" t="n">
        <f aca="false">AVERAGE(E37:E86)</f>
        <v>73.4414</v>
      </c>
      <c r="Q86" s="30" t="n">
        <f aca="false">Q85+(2/13)*(E86-Q85)</f>
        <v>67.7797336908749</v>
      </c>
      <c r="R86" s="30" t="n">
        <f aca="false">R85+(2/27)*(E86-R85)</f>
        <v>69.5738869823818</v>
      </c>
      <c r="S86" s="33" t="n">
        <f aca="false">Q86-R86</f>
        <v>-1.79415329150682</v>
      </c>
      <c r="T86" s="33" t="n">
        <f aca="false">T85+(2/10)*(S86-T85)</f>
        <v>-1.8021171581984</v>
      </c>
      <c r="U86" s="33" t="n">
        <f aca="false">S86-T86</f>
        <v>0.007963866691584</v>
      </c>
      <c r="V86" s="32" t="str">
        <f aca="false">IF(M86="","",IF(M86&lt;Assumptions!$B$5,"BUY",IF(M86&gt;Assumptions!$B$4,"SELL","HOLD")))</f>
        <v>HOLD</v>
      </c>
      <c r="W86" s="32" t="str">
        <f aca="false">IF(O86="","",IF(E86&gt;O86,"BUY","SELL"))</f>
        <v>SELL</v>
      </c>
      <c r="X86" s="32" t="str">
        <f aca="false">IF(T86="","",IF(S86&gt;T86,"BUY","SELL"))</f>
        <v>BUY</v>
      </c>
      <c r="Y86" s="34" t="n">
        <f aca="false">IF(OR(V86="",W86="",X86=""),"",IFERROR(IF(V86="BUY",1,IF(V86="SELL",-1,0))+IF(W86="BUY",1,IF(W86="SELL",-1,0))+IF(X86="BUY",1,IF(X86="SELL",-1,0)),0))</f>
        <v>0</v>
      </c>
      <c r="Z86" s="32" t="str">
        <f aca="false">IF(Y86="","",IF(Y86&gt;=2,"STRONG BUY",IF(Y86=1,"BUY",IF(Y86=0,"HOLD",IF(Y86=-1,"SELL","STRONG SELL")))))</f>
        <v>HOLD</v>
      </c>
    </row>
    <row r="87" customFormat="false" ht="15" hidden="false" customHeight="false" outlineLevel="0" collapsed="false">
      <c r="A87" s="24" t="n">
        <v>45889</v>
      </c>
      <c r="B87" s="25" t="n">
        <v>66.17</v>
      </c>
      <c r="C87" s="25" t="n">
        <v>67.09</v>
      </c>
      <c r="D87" s="25" t="n">
        <v>66.17</v>
      </c>
      <c r="E87" s="25" t="n">
        <v>66.63</v>
      </c>
      <c r="F87" s="26" t="n">
        <v>23089811</v>
      </c>
      <c r="G87" s="27" t="n">
        <f aca="false">E87-E86</f>
        <v>-0.77000000000001</v>
      </c>
      <c r="H87" s="28" t="n">
        <f aca="false">G87/E86</f>
        <v>-0.0114243323442138</v>
      </c>
      <c r="I87" s="29" t="n">
        <f aca="false">MAX(G87,0)</f>
        <v>0</v>
      </c>
      <c r="J87" s="29" t="n">
        <f aca="false">MAX(-G87,0)</f>
        <v>0.77000000000001</v>
      </c>
      <c r="K87" s="29" t="n">
        <f aca="false">(K86*13+I87)/14</f>
        <v>0.415409903992068</v>
      </c>
      <c r="L87" s="29" t="n">
        <f aca="false">(L86*13+J87)/14</f>
        <v>0.632188300849181</v>
      </c>
      <c r="M87" s="31" t="n">
        <f aca="false">IF(L87=0,100,100-100/(1+K87/MAX(L87,0.000001)))</f>
        <v>39.653552485327</v>
      </c>
      <c r="N87" s="30" t="n">
        <f aca="false">AVERAGE(E68:E87)</f>
        <v>68.5215</v>
      </c>
      <c r="O87" s="30" t="n">
        <f aca="false">AVERAGE(E38:E87)</f>
        <v>73.3066</v>
      </c>
      <c r="Q87" s="30" t="n">
        <f aca="false">Q86+(2/13)*(E87-Q86)</f>
        <v>67.6028515845865</v>
      </c>
      <c r="R87" s="30" t="n">
        <f aca="false">R86+(2/27)*(E87-R86)</f>
        <v>69.3558212799831</v>
      </c>
      <c r="S87" s="33" t="n">
        <f aca="false">Q87-R87</f>
        <v>-1.75296969539662</v>
      </c>
      <c r="T87" s="33" t="n">
        <f aca="false">T86+(2/10)*(S87-T86)</f>
        <v>-1.79228766563804</v>
      </c>
      <c r="U87" s="33" t="n">
        <f aca="false">S87-T87</f>
        <v>0.0393179702414284</v>
      </c>
      <c r="V87" s="32" t="str">
        <f aca="false">IF(M87="","",IF(M87&lt;Assumptions!$B$5,"BUY",IF(M87&gt;Assumptions!$B$4,"SELL","HOLD")))</f>
        <v>HOLD</v>
      </c>
      <c r="W87" s="32" t="str">
        <f aca="false">IF(O87="","",IF(E87&gt;O87,"BUY","SELL"))</f>
        <v>SELL</v>
      </c>
      <c r="X87" s="32" t="str">
        <f aca="false">IF(T87="","",IF(S87&gt;T87,"BUY","SELL"))</f>
        <v>BUY</v>
      </c>
      <c r="Y87" s="34" t="n">
        <f aca="false">IF(OR(V87="",W87="",X87=""),"",IFERROR(IF(V87="BUY",1,IF(V87="SELL",-1,0))+IF(W87="BUY",1,IF(W87="SELL",-1,0))+IF(X87="BUY",1,IF(X87="SELL",-1,0)),0))</f>
        <v>0</v>
      </c>
      <c r="Z87" s="32" t="str">
        <f aca="false">IF(Y87="","",IF(Y87&gt;=2,"STRONG BUY",IF(Y87=1,"BUY",IF(Y87=0,"HOLD",IF(Y87=-1,"SELL","STRONG SELL")))))</f>
        <v>HOLD</v>
      </c>
    </row>
    <row r="88" customFormat="false" ht="15" hidden="false" customHeight="false" outlineLevel="0" collapsed="false">
      <c r="A88" s="24" t="n">
        <v>45890</v>
      </c>
      <c r="B88" s="25" t="n">
        <v>67.34</v>
      </c>
      <c r="C88" s="25" t="n">
        <v>67.39</v>
      </c>
      <c r="D88" s="25" t="n">
        <v>67.19</v>
      </c>
      <c r="E88" s="25" t="n">
        <v>67.29</v>
      </c>
      <c r="F88" s="26" t="n">
        <v>34493664</v>
      </c>
      <c r="G88" s="27" t="n">
        <f aca="false">E88-E87</f>
        <v>0.660000000000011</v>
      </c>
      <c r="H88" s="28" t="n">
        <f aca="false">G88/E87</f>
        <v>0.00990544799639818</v>
      </c>
      <c r="I88" s="29" t="n">
        <f aca="false">MAX(G88,0)</f>
        <v>0.660000000000011</v>
      </c>
      <c r="J88" s="29" t="n">
        <f aca="false">MAX(-G88,0)</f>
        <v>0</v>
      </c>
      <c r="K88" s="29" t="n">
        <f aca="false">(K87*13+I88)/14</f>
        <v>0.432880625135493</v>
      </c>
      <c r="L88" s="29" t="n">
        <f aca="false">(L87*13+J88)/14</f>
        <v>0.587031993645668</v>
      </c>
      <c r="M88" s="31" t="n">
        <f aca="false">IF(L88=0,100,100-100/(1+K88/MAX(L88,0.000001)))</f>
        <v>42.4429129676622</v>
      </c>
      <c r="N88" s="30" t="n">
        <f aca="false">AVERAGE(E69:E88)</f>
        <v>68.382</v>
      </c>
      <c r="O88" s="30" t="n">
        <f aca="false">AVERAGE(E39:E88)</f>
        <v>73.1422</v>
      </c>
      <c r="Q88" s="30" t="n">
        <f aca="false">Q87+(2/13)*(E88-Q87)</f>
        <v>67.5547205715732</v>
      </c>
      <c r="R88" s="30" t="n">
        <f aca="false">R87+(2/27)*(E88-R87)</f>
        <v>69.2027974814658</v>
      </c>
      <c r="S88" s="33" t="n">
        <f aca="false">Q88-R88</f>
        <v>-1.64807690989265</v>
      </c>
      <c r="T88" s="33" t="n">
        <f aca="false">T87+(2/10)*(S88-T87)</f>
        <v>-1.76344551448897</v>
      </c>
      <c r="U88" s="33" t="n">
        <f aca="false">S88-T88</f>
        <v>0.115368604596314</v>
      </c>
      <c r="V88" s="32" t="str">
        <f aca="false">IF(M88="","",IF(M88&lt;Assumptions!$B$5,"BUY",IF(M88&gt;Assumptions!$B$4,"SELL","HOLD")))</f>
        <v>HOLD</v>
      </c>
      <c r="W88" s="32" t="str">
        <f aca="false">IF(O88="","",IF(E88&gt;O88,"BUY","SELL"))</f>
        <v>SELL</v>
      </c>
      <c r="X88" s="32" t="str">
        <f aca="false">IF(T88="","",IF(S88&gt;T88,"BUY","SELL"))</f>
        <v>BUY</v>
      </c>
      <c r="Y88" s="34" t="n">
        <f aca="false">IF(OR(V88="",W88="",X88=""),"",IFERROR(IF(V88="BUY",1,IF(V88="SELL",-1,0))+IF(W88="BUY",1,IF(W88="SELL",-1,0))+IF(X88="BUY",1,IF(X88="SELL",-1,0)),0))</f>
        <v>0</v>
      </c>
      <c r="Z88" s="32" t="str">
        <f aca="false">IF(Y88="","",IF(Y88&gt;=2,"STRONG BUY",IF(Y88=1,"BUY",IF(Y88=0,"HOLD",IF(Y88=-1,"SELL","STRONG SELL")))))</f>
        <v>HOLD</v>
      </c>
    </row>
    <row r="89" customFormat="false" ht="15" hidden="false" customHeight="false" outlineLevel="0" collapsed="false">
      <c r="A89" s="24" t="n">
        <v>45891</v>
      </c>
      <c r="B89" s="25" t="n">
        <v>66.78</v>
      </c>
      <c r="C89" s="25" t="n">
        <v>67.44</v>
      </c>
      <c r="D89" s="25" t="n">
        <v>66.4</v>
      </c>
      <c r="E89" s="25" t="n">
        <v>66.92</v>
      </c>
      <c r="F89" s="26" t="n">
        <v>12378772</v>
      </c>
      <c r="G89" s="27" t="n">
        <f aca="false">E89-E88</f>
        <v>-0.370000000000005</v>
      </c>
      <c r="H89" s="28" t="n">
        <f aca="false">G89/E88</f>
        <v>-0.00549858820032701</v>
      </c>
      <c r="I89" s="29" t="n">
        <f aca="false">MAX(G89,0)</f>
        <v>0</v>
      </c>
      <c r="J89" s="29" t="n">
        <f aca="false">MAX(-G89,0)</f>
        <v>0.370000000000005</v>
      </c>
      <c r="K89" s="29" t="n">
        <f aca="false">(K88*13+I89)/14</f>
        <v>0.401960580482957</v>
      </c>
      <c r="L89" s="29" t="n">
        <f aca="false">(L88*13+J89)/14</f>
        <v>0.571529708385264</v>
      </c>
      <c r="M89" s="31" t="n">
        <f aca="false">IF(L89=0,100,100-100/(1+K89/MAX(L89,0.000001)))</f>
        <v>41.2906615586558</v>
      </c>
      <c r="N89" s="30" t="n">
        <f aca="false">AVERAGE(E70:E89)</f>
        <v>68.243</v>
      </c>
      <c r="O89" s="30" t="n">
        <f aca="false">AVERAGE(E40:E89)</f>
        <v>72.987</v>
      </c>
      <c r="Q89" s="30" t="n">
        <f aca="false">Q88+(2/13)*(E89-Q88)</f>
        <v>67.4570712528696</v>
      </c>
      <c r="R89" s="30" t="n">
        <f aca="false">R88+(2/27)*(E89-R88)</f>
        <v>69.0337013717276</v>
      </c>
      <c r="S89" s="33" t="n">
        <f aca="false">Q89-R89</f>
        <v>-1.57663011885801</v>
      </c>
      <c r="T89" s="33" t="n">
        <f aca="false">T88+(2/10)*(S89-T88)</f>
        <v>-1.72608243536277</v>
      </c>
      <c r="U89" s="33" t="n">
        <f aca="false">S89-T89</f>
        <v>0.149452316504767</v>
      </c>
      <c r="V89" s="32" t="str">
        <f aca="false">IF(M89="","",IF(M89&lt;Assumptions!$B$5,"BUY",IF(M89&gt;Assumptions!$B$4,"SELL","HOLD")))</f>
        <v>HOLD</v>
      </c>
      <c r="W89" s="32" t="str">
        <f aca="false">IF(O89="","",IF(E89&gt;O89,"BUY","SELL"))</f>
        <v>SELL</v>
      </c>
      <c r="X89" s="32" t="str">
        <f aca="false">IF(T89="","",IF(S89&gt;T89,"BUY","SELL"))</f>
        <v>BUY</v>
      </c>
      <c r="Y89" s="34" t="n">
        <f aca="false">IF(OR(V89="",W89="",X89=""),"",IFERROR(IF(V89="BUY",1,IF(V89="SELL",-1,0))+IF(W89="BUY",1,IF(W89="SELL",-1,0))+IF(X89="BUY",1,IF(X89="SELL",-1,0)),0))</f>
        <v>0</v>
      </c>
      <c r="Z89" s="32" t="str">
        <f aca="false">IF(Y89="","",IF(Y89&gt;=2,"STRONG BUY",IF(Y89=1,"BUY",IF(Y89=0,"HOLD",IF(Y89=-1,"SELL","STRONG SELL")))))</f>
        <v>HOLD</v>
      </c>
    </row>
    <row r="90" customFormat="false" ht="15" hidden="false" customHeight="false" outlineLevel="0" collapsed="false">
      <c r="A90" s="24" t="n">
        <v>45894</v>
      </c>
      <c r="B90" s="25" t="n">
        <v>67.62</v>
      </c>
      <c r="C90" s="25" t="n">
        <v>67.75</v>
      </c>
      <c r="D90" s="25" t="n">
        <v>67.55</v>
      </c>
      <c r="E90" s="25" t="n">
        <v>67.65</v>
      </c>
      <c r="F90" s="26" t="n">
        <v>20792789</v>
      </c>
      <c r="G90" s="27" t="n">
        <f aca="false">E90-E89</f>
        <v>0.730000000000004</v>
      </c>
      <c r="H90" s="28" t="n">
        <f aca="false">G90/E89</f>
        <v>0.0109085475194262</v>
      </c>
      <c r="I90" s="29" t="n">
        <f aca="false">MAX(G90,0)</f>
        <v>0.730000000000004</v>
      </c>
      <c r="J90" s="29" t="n">
        <f aca="false">MAX(-G90,0)</f>
        <v>0</v>
      </c>
      <c r="K90" s="29" t="n">
        <f aca="false">(K89*13+I90)/14</f>
        <v>0.425391967591318</v>
      </c>
      <c r="L90" s="29" t="n">
        <f aca="false">(L89*13+J90)/14</f>
        <v>0.530706157786316</v>
      </c>
      <c r="M90" s="31" t="n">
        <f aca="false">IF(L90=0,100,100-100/(1+K90/MAX(L90,0.000001)))</f>
        <v>44.4925009578174</v>
      </c>
      <c r="N90" s="30" t="n">
        <f aca="false">AVERAGE(E71:E90)</f>
        <v>68.1585</v>
      </c>
      <c r="O90" s="30" t="n">
        <f aca="false">AVERAGE(E41:E90)</f>
        <v>72.8284</v>
      </c>
      <c r="Q90" s="30" t="n">
        <f aca="false">Q89+(2/13)*(E90-Q89)</f>
        <v>67.486752598582</v>
      </c>
      <c r="R90" s="30" t="n">
        <f aca="false">R89+(2/27)*(E90-R89)</f>
        <v>68.9312049738219</v>
      </c>
      <c r="S90" s="33" t="n">
        <f aca="false">Q90-R90</f>
        <v>-1.44445237523989</v>
      </c>
      <c r="T90" s="33" t="n">
        <f aca="false">T89+(2/10)*(S90-T89)</f>
        <v>-1.6697564233382</v>
      </c>
      <c r="U90" s="33" t="n">
        <f aca="false">S90-T90</f>
        <v>0.225304048098306</v>
      </c>
      <c r="V90" s="32" t="str">
        <f aca="false">IF(M90="","",IF(M90&lt;Assumptions!$B$5,"BUY",IF(M90&gt;Assumptions!$B$4,"SELL","HOLD")))</f>
        <v>HOLD</v>
      </c>
      <c r="W90" s="32" t="str">
        <f aca="false">IF(O90="","",IF(E90&gt;O90,"BUY","SELL"))</f>
        <v>SELL</v>
      </c>
      <c r="X90" s="32" t="str">
        <f aca="false">IF(T90="","",IF(S90&gt;T90,"BUY","SELL"))</f>
        <v>BUY</v>
      </c>
      <c r="Y90" s="34" t="n">
        <f aca="false">IF(OR(V90="",W90="",X90=""),"",IFERROR(IF(V90="BUY",1,IF(V90="SELL",-1,0))+IF(W90="BUY",1,IF(W90="SELL",-1,0))+IF(X90="BUY",1,IF(X90="SELL",-1,0)),0))</f>
        <v>0</v>
      </c>
      <c r="Z90" s="32" t="str">
        <f aca="false">IF(Y90="","",IF(Y90&gt;=2,"STRONG BUY",IF(Y90=1,"BUY",IF(Y90=0,"HOLD",IF(Y90=-1,"SELL","STRONG SELL")))))</f>
        <v>HOLD</v>
      </c>
    </row>
    <row r="91" customFormat="false" ht="15" hidden="false" customHeight="false" outlineLevel="0" collapsed="false">
      <c r="A91" s="24" t="n">
        <v>45895</v>
      </c>
      <c r="B91" s="25" t="n">
        <v>65.67</v>
      </c>
      <c r="C91" s="25" t="n">
        <v>65.71</v>
      </c>
      <c r="D91" s="25" t="n">
        <v>65.67</v>
      </c>
      <c r="E91" s="25" t="n">
        <v>65.69</v>
      </c>
      <c r="F91" s="26" t="n">
        <v>16057247</v>
      </c>
      <c r="G91" s="27" t="n">
        <f aca="false">E91-E90</f>
        <v>-1.96000000000001</v>
      </c>
      <c r="H91" s="28" t="n">
        <f aca="false">G91/E90</f>
        <v>-0.0289726533628974</v>
      </c>
      <c r="I91" s="29" t="n">
        <f aca="false">MAX(G91,0)</f>
        <v>0</v>
      </c>
      <c r="J91" s="29" t="n">
        <f aca="false">MAX(-G91,0)</f>
        <v>1.96000000000001</v>
      </c>
      <c r="K91" s="29" t="n">
        <f aca="false">(K90*13+I91)/14</f>
        <v>0.395006827049081</v>
      </c>
      <c r="L91" s="29" t="n">
        <f aca="false">(L90*13+J91)/14</f>
        <v>0.632798575087294</v>
      </c>
      <c r="M91" s="31" t="n">
        <f aca="false">IF(L91=0,100,100-100/(1+K91/MAX(L91,0.000001)))</f>
        <v>38.4320637182902</v>
      </c>
      <c r="N91" s="30" t="n">
        <f aca="false">AVERAGE(E72:E91)</f>
        <v>67.974</v>
      </c>
      <c r="O91" s="30" t="n">
        <f aca="false">AVERAGE(E42:E91)</f>
        <v>72.6326</v>
      </c>
      <c r="Q91" s="30" t="n">
        <f aca="false">Q90+(2/13)*(E91-Q90)</f>
        <v>67.2103291218771</v>
      </c>
      <c r="R91" s="30" t="n">
        <f aca="false">R90+(2/27)*(E91-R90)</f>
        <v>68.6911157165017</v>
      </c>
      <c r="S91" s="33" t="n">
        <f aca="false">Q91-R91</f>
        <v>-1.48078659462468</v>
      </c>
      <c r="T91" s="33" t="n">
        <f aca="false">T90+(2/10)*(S91-T90)</f>
        <v>-1.63196245759549</v>
      </c>
      <c r="U91" s="33" t="n">
        <f aca="false">S91-T91</f>
        <v>0.151175862970817</v>
      </c>
      <c r="V91" s="32" t="str">
        <f aca="false">IF(M91="","",IF(M91&lt;Assumptions!$B$5,"BUY",IF(M91&gt;Assumptions!$B$4,"SELL","HOLD")))</f>
        <v>HOLD</v>
      </c>
      <c r="W91" s="32" t="str">
        <f aca="false">IF(O91="","",IF(E91&gt;O91,"BUY","SELL"))</f>
        <v>SELL</v>
      </c>
      <c r="X91" s="32" t="str">
        <f aca="false">IF(T91="","",IF(S91&gt;T91,"BUY","SELL"))</f>
        <v>BUY</v>
      </c>
      <c r="Y91" s="34" t="n">
        <f aca="false">IF(OR(V91="",W91="",X91=""),"",IFERROR(IF(V91="BUY",1,IF(V91="SELL",-1,0))+IF(W91="BUY",1,IF(W91="SELL",-1,0))+IF(X91="BUY",1,IF(X91="SELL",-1,0)),0))</f>
        <v>0</v>
      </c>
      <c r="Z91" s="32" t="str">
        <f aca="false">IF(Y91="","",IF(Y91&gt;=2,"STRONG BUY",IF(Y91=1,"BUY",IF(Y91=0,"HOLD",IF(Y91=-1,"SELL","STRONG SELL")))))</f>
        <v>HOLD</v>
      </c>
    </row>
    <row r="92" customFormat="false" ht="15" hidden="false" customHeight="false" outlineLevel="0" collapsed="false">
      <c r="A92" s="24" t="n">
        <v>45896</v>
      </c>
      <c r="B92" s="25" t="n">
        <v>66.43</v>
      </c>
      <c r="C92" s="25" t="n">
        <v>66.85</v>
      </c>
      <c r="D92" s="25" t="n">
        <v>65.59</v>
      </c>
      <c r="E92" s="25" t="n">
        <v>66.22</v>
      </c>
      <c r="F92" s="26" t="n">
        <v>23388568</v>
      </c>
      <c r="G92" s="27" t="n">
        <f aca="false">E92-E91</f>
        <v>0.530000000000001</v>
      </c>
      <c r="H92" s="28" t="n">
        <f aca="false">G92/E91</f>
        <v>0.00806819911706502</v>
      </c>
      <c r="I92" s="29" t="n">
        <f aca="false">MAX(G92,0)</f>
        <v>0.530000000000001</v>
      </c>
      <c r="J92" s="29" t="n">
        <f aca="false">MAX(-G92,0)</f>
        <v>0</v>
      </c>
      <c r="K92" s="29" t="n">
        <f aca="false">(K91*13+I92)/14</f>
        <v>0.404649196545575</v>
      </c>
      <c r="L92" s="29" t="n">
        <f aca="false">(L91*13+J92)/14</f>
        <v>0.587598676866773</v>
      </c>
      <c r="M92" s="31" t="n">
        <f aca="false">IF(L92=0,100,100-100/(1+K92/MAX(L92,0.000001)))</f>
        <v>40.7810595908846</v>
      </c>
      <c r="N92" s="30" t="n">
        <f aca="false">AVERAGE(E73:E92)</f>
        <v>67.8475</v>
      </c>
      <c r="O92" s="30" t="n">
        <f aca="false">AVERAGE(E43:E92)</f>
        <v>72.4218</v>
      </c>
      <c r="Q92" s="30" t="n">
        <f aca="false">Q91+(2/13)*(E92-Q91)</f>
        <v>67.0579707954344</v>
      </c>
      <c r="R92" s="30" t="n">
        <f aca="false">R91+(2/27)*(E92-R91)</f>
        <v>68.508070107872</v>
      </c>
      <c r="S92" s="33" t="n">
        <f aca="false">Q92-R92</f>
        <v>-1.45009931243754</v>
      </c>
      <c r="T92" s="33" t="n">
        <f aca="false">T91+(2/10)*(S92-T91)</f>
        <v>-1.5955898285639</v>
      </c>
      <c r="U92" s="33" t="n">
        <f aca="false">S92-T92</f>
        <v>0.145490516126359</v>
      </c>
      <c r="V92" s="32" t="str">
        <f aca="false">IF(M92="","",IF(M92&lt;Assumptions!$B$5,"BUY",IF(M92&gt;Assumptions!$B$4,"SELL","HOLD")))</f>
        <v>HOLD</v>
      </c>
      <c r="W92" s="32" t="str">
        <f aca="false">IF(O92="","",IF(E92&gt;O92,"BUY","SELL"))</f>
        <v>SELL</v>
      </c>
      <c r="X92" s="32" t="str">
        <f aca="false">IF(T92="","",IF(S92&gt;T92,"BUY","SELL"))</f>
        <v>BUY</v>
      </c>
      <c r="Y92" s="34" t="n">
        <f aca="false">IF(OR(V92="",W92="",X92=""),"",IFERROR(IF(V92="BUY",1,IF(V92="SELL",-1,0))+IF(W92="BUY",1,IF(W92="SELL",-1,0))+IF(X92="BUY",1,IF(X92="SELL",-1,0)),0))</f>
        <v>0</v>
      </c>
      <c r="Z92" s="32" t="str">
        <f aca="false">IF(Y92="","",IF(Y92&gt;=2,"STRONG BUY",IF(Y92=1,"BUY",IF(Y92=0,"HOLD",IF(Y92=-1,"SELL","STRONG SELL")))))</f>
        <v>HOLD</v>
      </c>
    </row>
    <row r="93" customFormat="false" ht="15" hidden="false" customHeight="false" outlineLevel="0" collapsed="false">
      <c r="A93" s="24" t="n">
        <v>45897</v>
      </c>
      <c r="B93" s="25" t="n">
        <v>66.48</v>
      </c>
      <c r="C93" s="25" t="n">
        <v>67.16</v>
      </c>
      <c r="D93" s="25" t="n">
        <v>65.92</v>
      </c>
      <c r="E93" s="25" t="n">
        <v>66.54</v>
      </c>
      <c r="F93" s="26" t="n">
        <v>30024697</v>
      </c>
      <c r="G93" s="27" t="n">
        <f aca="false">E93-E92</f>
        <v>0.320000000000007</v>
      </c>
      <c r="H93" s="28" t="n">
        <f aca="false">G93/E92</f>
        <v>0.00483237692540029</v>
      </c>
      <c r="I93" s="29" t="n">
        <f aca="false">MAX(G93,0)</f>
        <v>0.320000000000007</v>
      </c>
      <c r="J93" s="29" t="n">
        <f aca="false">MAX(-G93,0)</f>
        <v>0</v>
      </c>
      <c r="K93" s="29" t="n">
        <f aca="false">(K92*13+I93)/14</f>
        <v>0.398602825363749</v>
      </c>
      <c r="L93" s="29" t="n">
        <f aca="false">(L92*13+J93)/14</f>
        <v>0.545627342804861</v>
      </c>
      <c r="M93" s="31" t="n">
        <f aca="false">IF(L93=0,100,100-100/(1+K93/MAX(L93,0.000001)))</f>
        <v>42.2145827152359</v>
      </c>
      <c r="N93" s="30" t="n">
        <f aca="false">AVERAGE(E74:E93)</f>
        <v>67.5965</v>
      </c>
      <c r="O93" s="30" t="n">
        <f aca="false">AVERAGE(E44:E93)</f>
        <v>72.2146</v>
      </c>
      <c r="Q93" s="30" t="n">
        <f aca="false">Q92+(2/13)*(E93-Q92)</f>
        <v>66.9782829807522</v>
      </c>
      <c r="R93" s="30" t="n">
        <f aca="false">R92+(2/27)*(E93-R92)</f>
        <v>68.3622871369185</v>
      </c>
      <c r="S93" s="33" t="n">
        <f aca="false">Q93-R93</f>
        <v>-1.38400415616628</v>
      </c>
      <c r="T93" s="33" t="n">
        <f aca="false">T92+(2/10)*(S93-T92)</f>
        <v>-1.55327269408438</v>
      </c>
      <c r="U93" s="33" t="n">
        <f aca="false">S93-T93</f>
        <v>0.169268537918095</v>
      </c>
      <c r="V93" s="32" t="str">
        <f aca="false">IF(M93="","",IF(M93&lt;Assumptions!$B$5,"BUY",IF(M93&gt;Assumptions!$B$4,"SELL","HOLD")))</f>
        <v>HOLD</v>
      </c>
      <c r="W93" s="32" t="str">
        <f aca="false">IF(O93="","",IF(E93&gt;O93,"BUY","SELL"))</f>
        <v>SELL</v>
      </c>
      <c r="X93" s="32" t="str">
        <f aca="false">IF(T93="","",IF(S93&gt;T93,"BUY","SELL"))</f>
        <v>BUY</v>
      </c>
      <c r="Y93" s="34" t="n">
        <f aca="false">IF(OR(V93="",W93="",X93=""),"",IFERROR(IF(V93="BUY",1,IF(V93="SELL",-1,0))+IF(W93="BUY",1,IF(W93="SELL",-1,0))+IF(X93="BUY",1,IF(X93="SELL",-1,0)),0))</f>
        <v>0</v>
      </c>
      <c r="Z93" s="32" t="str">
        <f aca="false">IF(Y93="","",IF(Y93&gt;=2,"STRONG BUY",IF(Y93=1,"BUY",IF(Y93=0,"HOLD",IF(Y93=-1,"SELL","STRONG SELL")))))</f>
        <v>HOLD</v>
      </c>
    </row>
    <row r="94" customFormat="false" ht="15" hidden="false" customHeight="false" outlineLevel="0" collapsed="false">
      <c r="A94" s="24" t="n">
        <v>45898</v>
      </c>
      <c r="B94" s="25" t="n">
        <v>65.27</v>
      </c>
      <c r="C94" s="25" t="n">
        <v>65.27</v>
      </c>
      <c r="D94" s="25" t="n">
        <v>65.13</v>
      </c>
      <c r="E94" s="25" t="n">
        <v>65.2</v>
      </c>
      <c r="F94" s="26" t="n">
        <v>35735184</v>
      </c>
      <c r="G94" s="27" t="n">
        <f aca="false">E94-E93</f>
        <v>-1.34</v>
      </c>
      <c r="H94" s="28" t="n">
        <f aca="false">G94/E93</f>
        <v>-0.0201382626991284</v>
      </c>
      <c r="I94" s="29" t="n">
        <f aca="false">MAX(G94,0)</f>
        <v>0</v>
      </c>
      <c r="J94" s="29" t="n">
        <f aca="false">MAX(-G94,0)</f>
        <v>1.34</v>
      </c>
      <c r="K94" s="29" t="n">
        <f aca="false">(K93*13+I94)/14</f>
        <v>0.370131194980624</v>
      </c>
      <c r="L94" s="29" t="n">
        <f aca="false">(L93*13+J94)/14</f>
        <v>0.602368246890228</v>
      </c>
      <c r="M94" s="31" t="n">
        <f aca="false">IF(L94=0,100,100-100/(1+K94/MAX(L94,0.000001)))</f>
        <v>38.0597848229693</v>
      </c>
      <c r="N94" s="30" t="n">
        <f aca="false">AVERAGE(E75:E94)</f>
        <v>67.292</v>
      </c>
      <c r="O94" s="30" t="n">
        <f aca="false">AVERAGE(E45:E94)</f>
        <v>71.9622</v>
      </c>
      <c r="Q94" s="30" t="n">
        <f aca="false">Q93+(2/13)*(E94-Q93)</f>
        <v>66.7047009837134</v>
      </c>
      <c r="R94" s="30" t="n">
        <f aca="false">R93+(2/27)*(E94-R93)</f>
        <v>68.1280436452949</v>
      </c>
      <c r="S94" s="33" t="n">
        <f aca="false">Q94-R94</f>
        <v>-1.4233426615815</v>
      </c>
      <c r="T94" s="33" t="n">
        <f aca="false">T93+(2/10)*(S94-T93)</f>
        <v>-1.5272866875838</v>
      </c>
      <c r="U94" s="33" t="n">
        <f aca="false">S94-T94</f>
        <v>0.103944026002303</v>
      </c>
      <c r="V94" s="32" t="str">
        <f aca="false">IF(M94="","",IF(M94&lt;Assumptions!$B$5,"BUY",IF(M94&gt;Assumptions!$B$4,"SELL","HOLD")))</f>
        <v>HOLD</v>
      </c>
      <c r="W94" s="32" t="str">
        <f aca="false">IF(O94="","",IF(E94&gt;O94,"BUY","SELL"))</f>
        <v>SELL</v>
      </c>
      <c r="X94" s="32" t="str">
        <f aca="false">IF(T94="","",IF(S94&gt;T94,"BUY","SELL"))</f>
        <v>BUY</v>
      </c>
      <c r="Y94" s="34" t="n">
        <f aca="false">IF(OR(V94="",W94="",X94=""),"",IFERROR(IF(V94="BUY",1,IF(V94="SELL",-1,0))+IF(W94="BUY",1,IF(W94="SELL",-1,0))+IF(X94="BUY",1,IF(X94="SELL",-1,0)),0))</f>
        <v>0</v>
      </c>
      <c r="Z94" s="32" t="str">
        <f aca="false">IF(Y94="","",IF(Y94&gt;=2,"STRONG BUY",IF(Y94=1,"BUY",IF(Y94=0,"HOLD",IF(Y94=-1,"SELL","STRONG SELL")))))</f>
        <v>HOLD</v>
      </c>
    </row>
    <row r="95" customFormat="false" ht="15" hidden="false" customHeight="false" outlineLevel="0" collapsed="false">
      <c r="A95" s="24" t="n">
        <v>45901</v>
      </c>
      <c r="B95" s="25" t="n">
        <v>64.17</v>
      </c>
      <c r="C95" s="25" t="n">
        <v>64.23</v>
      </c>
      <c r="D95" s="25" t="n">
        <v>64.17</v>
      </c>
      <c r="E95" s="25" t="n">
        <v>64.2</v>
      </c>
      <c r="F95" s="26" t="n">
        <v>20674059</v>
      </c>
      <c r="G95" s="27" t="n">
        <f aca="false">E95-E94</f>
        <v>-1</v>
      </c>
      <c r="H95" s="28" t="n">
        <f aca="false">G95/E94</f>
        <v>-0.0153374233128834</v>
      </c>
      <c r="I95" s="29" t="n">
        <f aca="false">MAX(G95,0)</f>
        <v>0</v>
      </c>
      <c r="J95" s="29" t="n">
        <f aca="false">MAX(-G95,0)</f>
        <v>1</v>
      </c>
      <c r="K95" s="29" t="n">
        <f aca="false">(K94*13+I95)/14</f>
        <v>0.343693252482008</v>
      </c>
      <c r="L95" s="29" t="n">
        <f aca="false">(L94*13+J95)/14</f>
        <v>0.630770514969498</v>
      </c>
      <c r="M95" s="31" t="n">
        <f aca="false">IF(L95=0,100,100-100/(1+K95/MAX(L95,0.000001)))</f>
        <v>35.269987860181</v>
      </c>
      <c r="N95" s="30" t="n">
        <f aca="false">AVERAGE(E76:E95)</f>
        <v>66.927</v>
      </c>
      <c r="O95" s="30" t="n">
        <f aca="false">AVERAGE(E46:E95)</f>
        <v>71.6532</v>
      </c>
      <c r="Q95" s="30" t="n">
        <f aca="false">Q94+(2/13)*(E95-Q94)</f>
        <v>66.3193623708344</v>
      </c>
      <c r="R95" s="30" t="n">
        <f aca="false">R94+(2/27)*(E95-R94)</f>
        <v>67.8370774493472</v>
      </c>
      <c r="S95" s="33" t="n">
        <f aca="false">Q95-R95</f>
        <v>-1.51771507851271</v>
      </c>
      <c r="T95" s="33" t="n">
        <f aca="false">T94+(2/10)*(S95-T94)</f>
        <v>-1.52537236576958</v>
      </c>
      <c r="U95" s="33" t="n">
        <f aca="false">S95-T95</f>
        <v>0.00765728725687609</v>
      </c>
      <c r="V95" s="32" t="str">
        <f aca="false">IF(M95="","",IF(M95&lt;Assumptions!$B$5,"BUY",IF(M95&gt;Assumptions!$B$4,"SELL","HOLD")))</f>
        <v>HOLD</v>
      </c>
      <c r="W95" s="32" t="str">
        <f aca="false">IF(O95="","",IF(E95&gt;O95,"BUY","SELL"))</f>
        <v>SELL</v>
      </c>
      <c r="X95" s="32" t="str">
        <f aca="false">IF(T95="","",IF(S95&gt;T95,"BUY","SELL"))</f>
        <v>BUY</v>
      </c>
      <c r="Y95" s="34" t="n">
        <f aca="false">IF(OR(V95="",W95="",X95=""),"",IFERROR(IF(V95="BUY",1,IF(V95="SELL",-1,0))+IF(W95="BUY",1,IF(W95="SELL",-1,0))+IF(X95="BUY",1,IF(X95="SELL",-1,0)),0))</f>
        <v>0</v>
      </c>
      <c r="Z95" s="32" t="str">
        <f aca="false">IF(Y95="","",IF(Y95&gt;=2,"STRONG BUY",IF(Y95=1,"BUY",IF(Y95=0,"HOLD",IF(Y95=-1,"SELL","STRONG SELL")))))</f>
        <v>HOLD</v>
      </c>
    </row>
    <row r="96" customFormat="false" ht="15" hidden="false" customHeight="false" outlineLevel="0" collapsed="false">
      <c r="A96" s="24" t="n">
        <v>45902</v>
      </c>
      <c r="B96" s="25" t="n">
        <v>64.22</v>
      </c>
      <c r="C96" s="25" t="n">
        <v>64.22</v>
      </c>
      <c r="D96" s="25" t="n">
        <v>63.9</v>
      </c>
      <c r="E96" s="25" t="n">
        <v>64.06</v>
      </c>
      <c r="F96" s="26" t="n">
        <v>21288701</v>
      </c>
      <c r="G96" s="27" t="n">
        <f aca="false">E96-E95</f>
        <v>-0.140000000000001</v>
      </c>
      <c r="H96" s="28" t="n">
        <f aca="false">G96/E95</f>
        <v>-0.00218068535825546</v>
      </c>
      <c r="I96" s="29" t="n">
        <f aca="false">MAX(G96,0)</f>
        <v>0</v>
      </c>
      <c r="J96" s="29" t="n">
        <f aca="false">MAX(-G96,0)</f>
        <v>0.140000000000001</v>
      </c>
      <c r="K96" s="29" t="n">
        <f aca="false">(K95*13+I96)/14</f>
        <v>0.319143734447579</v>
      </c>
      <c r="L96" s="29" t="n">
        <f aca="false">(L95*13+J96)/14</f>
        <v>0.595715478185962</v>
      </c>
      <c r="M96" s="31" t="n">
        <f aca="false">IF(L96=0,100,100-100/(1+K96/MAX(L96,0.000001)))</f>
        <v>34.8844641930076</v>
      </c>
      <c r="N96" s="30" t="n">
        <f aca="false">AVERAGE(E77:E96)</f>
        <v>66.5805</v>
      </c>
      <c r="O96" s="30" t="n">
        <f aca="false">AVERAGE(E47:E96)</f>
        <v>71.326</v>
      </c>
      <c r="Q96" s="30" t="n">
        <f aca="false">Q95+(2/13)*(E96-Q95)</f>
        <v>65.9717681599368</v>
      </c>
      <c r="R96" s="30" t="n">
        <f aca="false">R95+(2/27)*(E96-R95)</f>
        <v>67.5572939345807</v>
      </c>
      <c r="S96" s="33" t="n">
        <f aca="false">Q96-R96</f>
        <v>-1.58552577464387</v>
      </c>
      <c r="T96" s="33" t="n">
        <f aca="false">T95+(2/10)*(S96-T95)</f>
        <v>-1.53740304754444</v>
      </c>
      <c r="U96" s="33" t="n">
        <f aca="false">S96-T96</f>
        <v>-0.0481227270994282</v>
      </c>
      <c r="V96" s="32" t="str">
        <f aca="false">IF(M96="","",IF(M96&lt;Assumptions!$B$5,"BUY",IF(M96&gt;Assumptions!$B$4,"SELL","HOLD")))</f>
        <v>HOLD</v>
      </c>
      <c r="W96" s="32" t="str">
        <f aca="false">IF(O96="","",IF(E96&gt;O96,"BUY","SELL"))</f>
        <v>SELL</v>
      </c>
      <c r="X96" s="32" t="str">
        <f aca="false">IF(T96="","",IF(S96&gt;T96,"BUY","SELL"))</f>
        <v>SELL</v>
      </c>
      <c r="Y96" s="34" t="n">
        <f aca="false">IF(OR(V96="",W96="",X96=""),"",IFERROR(IF(V96="BUY",1,IF(V96="SELL",-1,0))+IF(W96="BUY",1,IF(W96="SELL",-1,0))+IF(X96="BUY",1,IF(X96="SELL",-1,0)),0))</f>
        <v>-2</v>
      </c>
      <c r="Z96" s="32" t="str">
        <f aca="false">IF(Y96="","",IF(Y96&gt;=2,"STRONG BUY",IF(Y96=1,"BUY",IF(Y96=0,"HOLD",IF(Y96=-1,"SELL","STRONG SELL")))))</f>
        <v>STRONG SELL</v>
      </c>
    </row>
    <row r="97" customFormat="false" ht="15" hidden="false" customHeight="false" outlineLevel="0" collapsed="false">
      <c r="A97" s="24" t="n">
        <v>45903</v>
      </c>
      <c r="B97" s="25" t="n">
        <v>63.72</v>
      </c>
      <c r="C97" s="25" t="n">
        <v>64.24</v>
      </c>
      <c r="D97" s="25" t="n">
        <v>62.96</v>
      </c>
      <c r="E97" s="25" t="n">
        <v>63.6</v>
      </c>
      <c r="F97" s="26" t="n">
        <v>24134343</v>
      </c>
      <c r="G97" s="27" t="n">
        <f aca="false">E97-E96</f>
        <v>-0.460000000000001</v>
      </c>
      <c r="H97" s="28" t="n">
        <f aca="false">G97/E96</f>
        <v>-0.00718076802997191</v>
      </c>
      <c r="I97" s="29" t="n">
        <f aca="false">MAX(G97,0)</f>
        <v>0</v>
      </c>
      <c r="J97" s="29" t="n">
        <f aca="false">MAX(-G97,0)</f>
        <v>0.460000000000001</v>
      </c>
      <c r="K97" s="29" t="n">
        <f aca="false">(K96*13+I97)/14</f>
        <v>0.296347753415609</v>
      </c>
      <c r="L97" s="29" t="n">
        <f aca="false">(L96*13+J97)/14</f>
        <v>0.586021515458393</v>
      </c>
      <c r="M97" s="31" t="n">
        <f aca="false">IF(L97=0,100,100-100/(1+K97/MAX(L97,0.000001)))</f>
        <v>33.5854572308236</v>
      </c>
      <c r="N97" s="30" t="n">
        <f aca="false">AVERAGE(E78:E97)</f>
        <v>66.3485</v>
      </c>
      <c r="O97" s="30" t="n">
        <f aca="false">AVERAGE(E48:E97)</f>
        <v>70.9944</v>
      </c>
      <c r="Q97" s="30" t="n">
        <f aca="false">Q96+(2/13)*(E97-Q96)</f>
        <v>65.6068807507158</v>
      </c>
      <c r="R97" s="30" t="n">
        <f aca="false">R96+(2/27)*(E97-R96)</f>
        <v>67.2641610505377</v>
      </c>
      <c r="S97" s="33" t="n">
        <f aca="false">Q97-R97</f>
        <v>-1.65728029982191</v>
      </c>
      <c r="T97" s="33" t="n">
        <f aca="false">T96+(2/10)*(S97-T96)</f>
        <v>-1.56137849799993</v>
      </c>
      <c r="U97" s="33" t="n">
        <f aca="false">S97-T97</f>
        <v>-0.0959018018219717</v>
      </c>
      <c r="V97" s="32" t="str">
        <f aca="false">IF(M97="","",IF(M97&lt;Assumptions!$B$5,"BUY",IF(M97&gt;Assumptions!$B$4,"SELL","HOLD")))</f>
        <v>HOLD</v>
      </c>
      <c r="W97" s="32" t="str">
        <f aca="false">IF(O97="","",IF(E97&gt;O97,"BUY","SELL"))</f>
        <v>SELL</v>
      </c>
      <c r="X97" s="32" t="str">
        <f aca="false">IF(T97="","",IF(S97&gt;T97,"BUY","SELL"))</f>
        <v>SELL</v>
      </c>
      <c r="Y97" s="34" t="n">
        <f aca="false">IF(OR(V97="",W97="",X97=""),"",IFERROR(IF(V97="BUY",1,IF(V97="SELL",-1,0))+IF(W97="BUY",1,IF(W97="SELL",-1,0))+IF(X97="BUY",1,IF(X97="SELL",-1,0)),0))</f>
        <v>-2</v>
      </c>
      <c r="Z97" s="32" t="str">
        <f aca="false">IF(Y97="","",IF(Y97&gt;=2,"STRONG BUY",IF(Y97=1,"BUY",IF(Y97=0,"HOLD",IF(Y97=-1,"SELL","STRONG SELL")))))</f>
        <v>STRONG SELL</v>
      </c>
    </row>
    <row r="98" customFormat="false" ht="15" hidden="false" customHeight="false" outlineLevel="0" collapsed="false">
      <c r="A98" s="24" t="n">
        <v>45904</v>
      </c>
      <c r="B98" s="25" t="n">
        <v>63.7</v>
      </c>
      <c r="C98" s="25" t="n">
        <v>64.06</v>
      </c>
      <c r="D98" s="25" t="n">
        <v>63.7</v>
      </c>
      <c r="E98" s="25" t="n">
        <v>63.88</v>
      </c>
      <c r="F98" s="26" t="n">
        <v>35237959</v>
      </c>
      <c r="G98" s="27" t="n">
        <f aca="false">E98-E97</f>
        <v>0.280000000000001</v>
      </c>
      <c r="H98" s="28" t="n">
        <f aca="false">G98/E97</f>
        <v>0.00440251572327046</v>
      </c>
      <c r="I98" s="29" t="n">
        <f aca="false">MAX(G98,0)</f>
        <v>0.280000000000001</v>
      </c>
      <c r="J98" s="29" t="n">
        <f aca="false">MAX(-G98,0)</f>
        <v>0</v>
      </c>
      <c r="K98" s="29" t="n">
        <f aca="false">(K97*13+I98)/14</f>
        <v>0.295180056743066</v>
      </c>
      <c r="L98" s="29" t="n">
        <f aca="false">(L97*13+J98)/14</f>
        <v>0.544162835782794</v>
      </c>
      <c r="M98" s="31" t="n">
        <f aca="false">IF(L98=0,100,100-100/(1+K98/MAX(L98,0.000001)))</f>
        <v>35.1679938403686</v>
      </c>
      <c r="N98" s="30" t="n">
        <f aca="false">AVERAGE(E79:E98)</f>
        <v>66.0585</v>
      </c>
      <c r="O98" s="30" t="n">
        <f aca="false">AVERAGE(E49:E98)</f>
        <v>70.677</v>
      </c>
      <c r="Q98" s="30" t="n">
        <f aca="false">Q97+(2/13)*(E98-Q97)</f>
        <v>65.3412067890672</v>
      </c>
      <c r="R98" s="30" t="n">
        <f aca="false">R97+(2/27)*(E98-R97)</f>
        <v>67.0134824542016</v>
      </c>
      <c r="S98" s="33" t="n">
        <f aca="false">Q98-R98</f>
        <v>-1.67227566513435</v>
      </c>
      <c r="T98" s="33" t="n">
        <f aca="false">T97+(2/10)*(S98-T97)</f>
        <v>-1.58355793142682</v>
      </c>
      <c r="U98" s="33" t="n">
        <f aca="false">S98-T98</f>
        <v>-0.0887177337075327</v>
      </c>
      <c r="V98" s="32" t="str">
        <f aca="false">IF(M98="","",IF(M98&lt;Assumptions!$B$5,"BUY",IF(M98&gt;Assumptions!$B$4,"SELL","HOLD")))</f>
        <v>HOLD</v>
      </c>
      <c r="W98" s="32" t="str">
        <f aca="false">IF(O98="","",IF(E98&gt;O98,"BUY","SELL"))</f>
        <v>SELL</v>
      </c>
      <c r="X98" s="32" t="str">
        <f aca="false">IF(T98="","",IF(S98&gt;T98,"BUY","SELL"))</f>
        <v>SELL</v>
      </c>
      <c r="Y98" s="34" t="n">
        <f aca="false">IF(OR(V98="",W98="",X98=""),"",IFERROR(IF(V98="BUY",1,IF(V98="SELL",-1,0))+IF(W98="BUY",1,IF(W98="SELL",-1,0))+IF(X98="BUY",1,IF(X98="SELL",-1,0)),0))</f>
        <v>-2</v>
      </c>
      <c r="Z98" s="32" t="str">
        <f aca="false">IF(Y98="","",IF(Y98&gt;=2,"STRONG BUY",IF(Y98=1,"BUY",IF(Y98=0,"HOLD",IF(Y98=-1,"SELL","STRONG SELL")))))</f>
        <v>STRONG SELL</v>
      </c>
    </row>
    <row r="99" customFormat="false" ht="15" hidden="false" customHeight="false" outlineLevel="0" collapsed="false">
      <c r="A99" s="24" t="n">
        <v>45905</v>
      </c>
      <c r="B99" s="25" t="n">
        <v>62.27</v>
      </c>
      <c r="C99" s="25" t="n">
        <v>62.79</v>
      </c>
      <c r="D99" s="25" t="n">
        <v>62.27</v>
      </c>
      <c r="E99" s="25" t="n">
        <v>62.53</v>
      </c>
      <c r="F99" s="26" t="n">
        <v>26328018</v>
      </c>
      <c r="G99" s="27" t="n">
        <f aca="false">E99-E98</f>
        <v>-1.35</v>
      </c>
      <c r="H99" s="28" t="n">
        <f aca="false">G99/E98</f>
        <v>-0.0211333750782718</v>
      </c>
      <c r="I99" s="29" t="n">
        <f aca="false">MAX(G99,0)</f>
        <v>0</v>
      </c>
      <c r="J99" s="29" t="n">
        <f aca="false">MAX(-G99,0)</f>
        <v>1.35</v>
      </c>
      <c r="K99" s="29" t="n">
        <f aca="false">(K98*13+I99)/14</f>
        <v>0.274095766975704</v>
      </c>
      <c r="L99" s="29" t="n">
        <f aca="false">(L98*13+J99)/14</f>
        <v>0.60172263322688</v>
      </c>
      <c r="M99" s="31" t="n">
        <f aca="false">IF(L99=0,100,100-100/(1+K99/MAX(L99,0.000001)))</f>
        <v>31.2959589467752</v>
      </c>
      <c r="N99" s="30" t="n">
        <f aca="false">AVERAGE(E80:E99)</f>
        <v>65.862</v>
      </c>
      <c r="O99" s="30" t="n">
        <f aca="false">AVERAGE(E50:E99)</f>
        <v>70.349</v>
      </c>
      <c r="Q99" s="30" t="n">
        <f aca="false">Q98+(2/13)*(E99-Q98)</f>
        <v>64.908713436903</v>
      </c>
      <c r="R99" s="30" t="n">
        <f aca="false">R98+(2/27)*(E99-R98)</f>
        <v>66.6813726427792</v>
      </c>
      <c r="S99" s="33" t="n">
        <f aca="false">Q99-R99</f>
        <v>-1.7726592058762</v>
      </c>
      <c r="T99" s="33" t="n">
        <f aca="false">T98+(2/10)*(S99-T98)</f>
        <v>-1.62137818631669</v>
      </c>
      <c r="U99" s="33" t="n">
        <f aca="false">S99-T99</f>
        <v>-0.151281019559502</v>
      </c>
      <c r="V99" s="32" t="str">
        <f aca="false">IF(M99="","",IF(M99&lt;Assumptions!$B$5,"BUY",IF(M99&gt;Assumptions!$B$4,"SELL","HOLD")))</f>
        <v>HOLD</v>
      </c>
      <c r="W99" s="32" t="str">
        <f aca="false">IF(O99="","",IF(E99&gt;O99,"BUY","SELL"))</f>
        <v>SELL</v>
      </c>
      <c r="X99" s="32" t="str">
        <f aca="false">IF(T99="","",IF(S99&gt;T99,"BUY","SELL"))</f>
        <v>SELL</v>
      </c>
      <c r="Y99" s="34" t="n">
        <f aca="false">IF(OR(V99="",W99="",X99=""),"",IFERROR(IF(V99="BUY",1,IF(V99="SELL",-1,0))+IF(W99="BUY",1,IF(W99="SELL",-1,0))+IF(X99="BUY",1,IF(X99="SELL",-1,0)),0))</f>
        <v>-2</v>
      </c>
      <c r="Z99" s="32" t="str">
        <f aca="false">IF(Y99="","",IF(Y99&gt;=2,"STRONG BUY",IF(Y99=1,"BUY",IF(Y99=0,"HOLD",IF(Y99=-1,"SELL","STRONG SELL")))))</f>
        <v>STRONG SELL</v>
      </c>
    </row>
    <row r="100" customFormat="false" ht="15" hidden="false" customHeight="false" outlineLevel="0" collapsed="false">
      <c r="A100" s="24" t="n">
        <v>45908</v>
      </c>
      <c r="B100" s="25" t="n">
        <v>61.38</v>
      </c>
      <c r="C100" s="25" t="n">
        <v>62.11</v>
      </c>
      <c r="D100" s="25" t="n">
        <v>61.31</v>
      </c>
      <c r="E100" s="25" t="n">
        <v>61.71</v>
      </c>
      <c r="F100" s="26" t="n">
        <v>6636335</v>
      </c>
      <c r="G100" s="27" t="n">
        <f aca="false">E100-E99</f>
        <v>-0.82</v>
      </c>
      <c r="H100" s="28" t="n">
        <f aca="false">G100/E99</f>
        <v>-0.0131137054213977</v>
      </c>
      <c r="I100" s="29" t="n">
        <f aca="false">MAX(G100,0)</f>
        <v>0</v>
      </c>
      <c r="J100" s="29" t="n">
        <f aca="false">MAX(-G100,0)</f>
        <v>0.82</v>
      </c>
      <c r="K100" s="29" t="n">
        <f aca="false">(K99*13+I100)/14</f>
        <v>0.254517497906011</v>
      </c>
      <c r="L100" s="29" t="n">
        <f aca="false">(L99*13+J100)/14</f>
        <v>0.617313873710674</v>
      </c>
      <c r="M100" s="31" t="n">
        <f aca="false">IF(L100=0,100,100-100/(1+K100/MAX(L100,0.000001)))</f>
        <v>29.1934319172347</v>
      </c>
      <c r="N100" s="30" t="n">
        <f aca="false">AVERAGE(E81:E100)</f>
        <v>65.556</v>
      </c>
      <c r="O100" s="30" t="n">
        <f aca="false">AVERAGE(E51:E100)</f>
        <v>69.9796</v>
      </c>
      <c r="Q100" s="30" t="n">
        <f aca="false">Q99+(2/13)*(E100-Q99)</f>
        <v>64.4166036773795</v>
      </c>
      <c r="R100" s="30" t="n">
        <f aca="false">R99+(2/27)*(E100-R99)</f>
        <v>66.3131228173882</v>
      </c>
      <c r="S100" s="33" t="n">
        <f aca="false">Q100-R100</f>
        <v>-1.89651914000869</v>
      </c>
      <c r="T100" s="33" t="n">
        <f aca="false">T99+(2/10)*(S100-T99)</f>
        <v>-1.67640637705509</v>
      </c>
      <c r="U100" s="33" t="n">
        <f aca="false">S100-T100</f>
        <v>-0.220112762953599</v>
      </c>
      <c r="V100" s="32" t="str">
        <f aca="false">IF(M100="","",IF(M100&lt;Assumptions!$B$5,"BUY",IF(M100&gt;Assumptions!$B$4,"SELL","HOLD")))</f>
        <v>BUY</v>
      </c>
      <c r="W100" s="32" t="str">
        <f aca="false">IF(O100="","",IF(E100&gt;O100,"BUY","SELL"))</f>
        <v>SELL</v>
      </c>
      <c r="X100" s="32" t="str">
        <f aca="false">IF(T100="","",IF(S100&gt;T100,"BUY","SELL"))</f>
        <v>SELL</v>
      </c>
      <c r="Y100" s="34" t="n">
        <f aca="false">IF(OR(V100="",W100="",X100=""),"",IFERROR(IF(V100="BUY",1,IF(V100="SELL",-1,0))+IF(W100="BUY",1,IF(W100="SELL",-1,0))+IF(X100="BUY",1,IF(X100="SELL",-1,0)),0))</f>
        <v>-1</v>
      </c>
      <c r="Z100" s="32" t="str">
        <f aca="false">IF(Y100="","",IF(Y100&gt;=2,"STRONG BUY",IF(Y100=1,"BUY",IF(Y100=0,"HOLD",IF(Y100=-1,"SELL","STRONG SELL")))))</f>
        <v>SELL</v>
      </c>
    </row>
    <row r="101" customFormat="false" ht="15" hidden="false" customHeight="false" outlineLevel="0" collapsed="false">
      <c r="A101" s="24" t="n">
        <v>45909</v>
      </c>
      <c r="B101" s="25" t="n">
        <v>63.92</v>
      </c>
      <c r="C101" s="25" t="n">
        <v>64</v>
      </c>
      <c r="D101" s="25" t="n">
        <v>63.4</v>
      </c>
      <c r="E101" s="25" t="n">
        <v>63.7</v>
      </c>
      <c r="F101" s="26" t="n">
        <v>22288900</v>
      </c>
      <c r="G101" s="27" t="n">
        <f aca="false">E101-E100</f>
        <v>1.99</v>
      </c>
      <c r="H101" s="28" t="n">
        <f aca="false">G101/E100</f>
        <v>0.0322476097877168</v>
      </c>
      <c r="I101" s="29" t="n">
        <f aca="false">MAX(G101,0)</f>
        <v>1.99</v>
      </c>
      <c r="J101" s="29" t="n">
        <f aca="false">MAX(-G101,0)</f>
        <v>0</v>
      </c>
      <c r="K101" s="29" t="n">
        <f aca="false">(K100*13+I101)/14</f>
        <v>0.378480533769867</v>
      </c>
      <c r="L101" s="29" t="n">
        <f aca="false">(L100*13+J101)/14</f>
        <v>0.573220025588483</v>
      </c>
      <c r="M101" s="31" t="n">
        <f aca="false">IF(L101=0,100,100-100/(1+K101/MAX(L101,0.000001)))</f>
        <v>39.7688674287471</v>
      </c>
      <c r="N101" s="30" t="n">
        <f aca="false">AVERAGE(E82:E101)</f>
        <v>65.4155</v>
      </c>
      <c r="O101" s="30" t="n">
        <f aca="false">AVERAGE(E52:E101)</f>
        <v>69.618</v>
      </c>
      <c r="Q101" s="30" t="n">
        <f aca="false">Q100+(2/13)*(E101-Q100)</f>
        <v>64.3063569577826</v>
      </c>
      <c r="R101" s="30" t="n">
        <f aca="false">R100+(2/27)*(E101-R100)</f>
        <v>66.1195581642483</v>
      </c>
      <c r="S101" s="33" t="n">
        <f aca="false">Q101-R101</f>
        <v>-1.81320120646568</v>
      </c>
      <c r="T101" s="33" t="n">
        <f aca="false">T100+(2/10)*(S101-T100)</f>
        <v>-1.70376534293721</v>
      </c>
      <c r="U101" s="33" t="n">
        <f aca="false">S101-T101</f>
        <v>-0.109435863528468</v>
      </c>
      <c r="V101" s="32" t="str">
        <f aca="false">IF(M101="","",IF(M101&lt;Assumptions!$B$5,"BUY",IF(M101&gt;Assumptions!$B$4,"SELL","HOLD")))</f>
        <v>HOLD</v>
      </c>
      <c r="W101" s="32" t="str">
        <f aca="false">IF(O101="","",IF(E101&gt;O101,"BUY","SELL"))</f>
        <v>SELL</v>
      </c>
      <c r="X101" s="32" t="str">
        <f aca="false">IF(T101="","",IF(S101&gt;T101,"BUY","SELL"))</f>
        <v>SELL</v>
      </c>
      <c r="Y101" s="34" t="n">
        <f aca="false">IF(OR(V101="",W101="",X101=""),"",IFERROR(IF(V101="BUY",1,IF(V101="SELL",-1,0))+IF(W101="BUY",1,IF(W101="SELL",-1,0))+IF(X101="BUY",1,IF(X101="SELL",-1,0)),0))</f>
        <v>-2</v>
      </c>
      <c r="Z101" s="32" t="str">
        <f aca="false">IF(Y101="","",IF(Y101&gt;=2,"STRONG BUY",IF(Y101=1,"BUY",IF(Y101=0,"HOLD",IF(Y101=-1,"SELL","STRONG SELL")))))</f>
        <v>STRONG SELL</v>
      </c>
    </row>
    <row r="102" customFormat="false" ht="15" hidden="false" customHeight="false" outlineLevel="0" collapsed="false">
      <c r="A102" s="24" t="n">
        <v>45910</v>
      </c>
      <c r="B102" s="25" t="n">
        <v>62.93</v>
      </c>
      <c r="C102" s="25" t="n">
        <v>62.93</v>
      </c>
      <c r="D102" s="25" t="n">
        <v>62.89</v>
      </c>
      <c r="E102" s="25" t="n">
        <v>62.91</v>
      </c>
      <c r="F102" s="26" t="n">
        <v>18390288</v>
      </c>
      <c r="G102" s="27" t="n">
        <f aca="false">E102-E101</f>
        <v>-0.790000000000006</v>
      </c>
      <c r="H102" s="28" t="n">
        <f aca="false">G102/E101</f>
        <v>-0.0124018838304554</v>
      </c>
      <c r="I102" s="29" t="n">
        <f aca="false">MAX(G102,0)</f>
        <v>0</v>
      </c>
      <c r="J102" s="29" t="n">
        <f aca="false">MAX(-G102,0)</f>
        <v>0.790000000000006</v>
      </c>
      <c r="K102" s="29" t="n">
        <f aca="false">(K101*13+I102)/14</f>
        <v>0.351446209929162</v>
      </c>
      <c r="L102" s="29" t="n">
        <f aca="false">(L101*13+J102)/14</f>
        <v>0.588704309475021</v>
      </c>
      <c r="M102" s="31" t="n">
        <f aca="false">IF(L102=0,100,100-100/(1+K102/MAX(L102,0.000001)))</f>
        <v>37.3819088194399</v>
      </c>
      <c r="N102" s="30" t="n">
        <f aca="false">AVERAGE(E83:E102)</f>
        <v>65.3025</v>
      </c>
      <c r="O102" s="30" t="n">
        <f aca="false">AVERAGE(E53:E102)</f>
        <v>69.2464</v>
      </c>
      <c r="Q102" s="30" t="n">
        <f aca="false">Q101+(2/13)*(E102-Q101)</f>
        <v>64.0915328104315</v>
      </c>
      <c r="R102" s="30" t="n">
        <f aca="false">R101+(2/27)*(E102-R101)</f>
        <v>65.8818131150447</v>
      </c>
      <c r="S102" s="33" t="n">
        <f aca="false">Q102-R102</f>
        <v>-1.79028030461328</v>
      </c>
      <c r="T102" s="33" t="n">
        <f aca="false">T101+(2/10)*(S102-T101)</f>
        <v>-1.72106833527242</v>
      </c>
      <c r="U102" s="33" t="n">
        <f aca="false">S102-T102</f>
        <v>-0.0692119693408528</v>
      </c>
      <c r="V102" s="32" t="str">
        <f aca="false">IF(M102="","",IF(M102&lt;Assumptions!$B$5,"BUY",IF(M102&gt;Assumptions!$B$4,"SELL","HOLD")))</f>
        <v>HOLD</v>
      </c>
      <c r="W102" s="32" t="str">
        <f aca="false">IF(O102="","",IF(E102&gt;O102,"BUY","SELL"))</f>
        <v>SELL</v>
      </c>
      <c r="X102" s="32" t="str">
        <f aca="false">IF(T102="","",IF(S102&gt;T102,"BUY","SELL"))</f>
        <v>SELL</v>
      </c>
      <c r="Y102" s="34" t="n">
        <f aca="false">IF(OR(V102="",W102="",X102=""),"",IFERROR(IF(V102="BUY",1,IF(V102="SELL",-1,0))+IF(W102="BUY",1,IF(W102="SELL",-1,0))+IF(X102="BUY",1,IF(X102="SELL",-1,0)),0))</f>
        <v>-2</v>
      </c>
      <c r="Z102" s="32" t="str">
        <f aca="false">IF(Y102="","",IF(Y102&gt;=2,"STRONG BUY",IF(Y102=1,"BUY",IF(Y102=0,"HOLD",IF(Y102=-1,"SELL","STRONG SELL")))))</f>
        <v>STRONG SELL</v>
      </c>
    </row>
    <row r="103" customFormat="false" ht="15" hidden="false" customHeight="false" outlineLevel="0" collapsed="false">
      <c r="A103" s="24" t="n">
        <v>45911</v>
      </c>
      <c r="B103" s="25" t="n">
        <v>62.55</v>
      </c>
      <c r="C103" s="25" t="n">
        <v>62.96</v>
      </c>
      <c r="D103" s="25" t="n">
        <v>62.08</v>
      </c>
      <c r="E103" s="25" t="n">
        <v>62.52</v>
      </c>
      <c r="F103" s="26" t="n">
        <v>29808119</v>
      </c>
      <c r="G103" s="27" t="n">
        <f aca="false">E103-E102</f>
        <v>-0.389999999999993</v>
      </c>
      <c r="H103" s="28" t="n">
        <f aca="false">G103/E102</f>
        <v>-0.00619933237958979</v>
      </c>
      <c r="I103" s="29" t="n">
        <f aca="false">MAX(G103,0)</f>
        <v>0</v>
      </c>
      <c r="J103" s="29" t="n">
        <f aca="false">MAX(-G103,0)</f>
        <v>0.389999999999993</v>
      </c>
      <c r="K103" s="29" t="n">
        <f aca="false">(K102*13+I103)/14</f>
        <v>0.326342909219937</v>
      </c>
      <c r="L103" s="29" t="n">
        <f aca="false">(L102*13+J103)/14</f>
        <v>0.574511144512519</v>
      </c>
      <c r="M103" s="31" t="n">
        <f aca="false">IF(L103=0,100,100-100/(1+K103/MAX(L103,0.000001)))</f>
        <v>36.2259466855723</v>
      </c>
      <c r="N103" s="30" t="n">
        <f aca="false">AVERAGE(E84:E103)</f>
        <v>65.175</v>
      </c>
      <c r="O103" s="30" t="n">
        <f aca="false">AVERAGE(E54:E103)</f>
        <v>68.9104</v>
      </c>
      <c r="Q103" s="30" t="n">
        <f aca="false">Q102+(2/13)*(E103-Q102)</f>
        <v>63.8497585319035</v>
      </c>
      <c r="R103" s="30" t="n">
        <f aca="false">R102+(2/27)*(E103-R102)</f>
        <v>65.6327899213377</v>
      </c>
      <c r="S103" s="33" t="n">
        <f aca="false">Q103-R103</f>
        <v>-1.78303138943417</v>
      </c>
      <c r="T103" s="33" t="n">
        <f aca="false">T102+(2/10)*(S103-T102)</f>
        <v>-1.73346094610477</v>
      </c>
      <c r="U103" s="33" t="n">
        <f aca="false">S103-T103</f>
        <v>-0.0495704433293986</v>
      </c>
      <c r="V103" s="32" t="str">
        <f aca="false">IF(M103="","",IF(M103&lt;Assumptions!$B$5,"BUY",IF(M103&gt;Assumptions!$B$4,"SELL","HOLD")))</f>
        <v>HOLD</v>
      </c>
      <c r="W103" s="32" t="str">
        <f aca="false">IF(O103="","",IF(E103&gt;O103,"BUY","SELL"))</f>
        <v>SELL</v>
      </c>
      <c r="X103" s="32" t="str">
        <f aca="false">IF(T103="","",IF(S103&gt;T103,"BUY","SELL"))</f>
        <v>SELL</v>
      </c>
      <c r="Y103" s="34" t="n">
        <f aca="false">IF(OR(V103="",W103="",X103=""),"",IFERROR(IF(V103="BUY",1,IF(V103="SELL",-1,0))+IF(W103="BUY",1,IF(W103="SELL",-1,0))+IF(X103="BUY",1,IF(X103="SELL",-1,0)),0))</f>
        <v>-2</v>
      </c>
      <c r="Z103" s="32" t="str">
        <f aca="false">IF(Y103="","",IF(Y103&gt;=2,"STRONG BUY",IF(Y103=1,"BUY",IF(Y103=0,"HOLD",IF(Y103=-1,"SELL","STRONG SELL")))))</f>
        <v>STRONG SELL</v>
      </c>
    </row>
    <row r="104" customFormat="false" ht="15" hidden="false" customHeight="false" outlineLevel="0" collapsed="false">
      <c r="A104" s="24" t="n">
        <v>45912</v>
      </c>
      <c r="B104" s="25" t="n">
        <v>62.25</v>
      </c>
      <c r="C104" s="25" t="n">
        <v>62.47</v>
      </c>
      <c r="D104" s="25" t="n">
        <v>62.25</v>
      </c>
      <c r="E104" s="25" t="n">
        <v>62.36</v>
      </c>
      <c r="F104" s="26" t="n">
        <v>18286892</v>
      </c>
      <c r="G104" s="27" t="n">
        <f aca="false">E104-E103</f>
        <v>-0.160000000000004</v>
      </c>
      <c r="H104" s="28" t="n">
        <f aca="false">G104/E103</f>
        <v>-0.0025591810620602</v>
      </c>
      <c r="I104" s="29" t="n">
        <f aca="false">MAX(G104,0)</f>
        <v>0</v>
      </c>
      <c r="J104" s="29" t="n">
        <f aca="false">MAX(-G104,0)</f>
        <v>0.160000000000004</v>
      </c>
      <c r="K104" s="29" t="n">
        <f aca="false">(K103*13+I104)/14</f>
        <v>0.303032701418512</v>
      </c>
      <c r="L104" s="29" t="n">
        <f aca="false">(L103*13+J104)/14</f>
        <v>0.544903205618768</v>
      </c>
      <c r="M104" s="31" t="n">
        <f aca="false">IF(L104=0,100,100-100/(1+K104/MAX(L104,0.000001)))</f>
        <v>35.7376894767106</v>
      </c>
      <c r="N104" s="30" t="n">
        <f aca="false">AVERAGE(E85:E104)</f>
        <v>64.93</v>
      </c>
      <c r="O104" s="30" t="n">
        <f aca="false">AVERAGE(E55:E104)</f>
        <v>68.586</v>
      </c>
      <c r="Q104" s="30" t="n">
        <f aca="false">Q103+(2/13)*(E104-Q103)</f>
        <v>63.6205649116107</v>
      </c>
      <c r="R104" s="30" t="n">
        <f aca="false">R103+(2/27)*(E104-R103)</f>
        <v>65.3903610382757</v>
      </c>
      <c r="S104" s="33" t="n">
        <f aca="false">Q104-R104</f>
        <v>-1.76979612666498</v>
      </c>
      <c r="T104" s="33" t="n">
        <f aca="false">T103+(2/10)*(S104-T103)</f>
        <v>-1.74072798221681</v>
      </c>
      <c r="U104" s="33" t="n">
        <f aca="false">S104-T104</f>
        <v>-0.0290681444481646</v>
      </c>
      <c r="V104" s="32" t="str">
        <f aca="false">IF(M104="","",IF(M104&lt;Assumptions!$B$5,"BUY",IF(M104&gt;Assumptions!$B$4,"SELL","HOLD")))</f>
        <v>HOLD</v>
      </c>
      <c r="W104" s="32" t="str">
        <f aca="false">IF(O104="","",IF(E104&gt;O104,"BUY","SELL"))</f>
        <v>SELL</v>
      </c>
      <c r="X104" s="32" t="str">
        <f aca="false">IF(T104="","",IF(S104&gt;T104,"BUY","SELL"))</f>
        <v>SELL</v>
      </c>
      <c r="Y104" s="34" t="n">
        <f aca="false">IF(OR(V104="",W104="",X104=""),"",IFERROR(IF(V104="BUY",1,IF(V104="SELL",-1,0))+IF(W104="BUY",1,IF(W104="SELL",-1,0))+IF(X104="BUY",1,IF(X104="SELL",-1,0)),0))</f>
        <v>-2</v>
      </c>
      <c r="Z104" s="32" t="str">
        <f aca="false">IF(Y104="","",IF(Y104&gt;=2,"STRONG BUY",IF(Y104=1,"BUY",IF(Y104=0,"HOLD",IF(Y104=-1,"SELL","STRONG SELL")))))</f>
        <v>STRONG SELL</v>
      </c>
    </row>
    <row r="105" customFormat="false" ht="15" hidden="false" customHeight="false" outlineLevel="0" collapsed="false">
      <c r="A105" s="24" t="n">
        <v>45915</v>
      </c>
      <c r="B105" s="25" t="n">
        <v>62.29</v>
      </c>
      <c r="C105" s="25" t="n">
        <v>62.37</v>
      </c>
      <c r="D105" s="25" t="n">
        <v>61.85</v>
      </c>
      <c r="E105" s="25" t="n">
        <v>62.11</v>
      </c>
      <c r="F105" s="26" t="n">
        <v>10381464</v>
      </c>
      <c r="G105" s="27" t="n">
        <f aca="false">E105-E104</f>
        <v>-0.25</v>
      </c>
      <c r="H105" s="28" t="n">
        <f aca="false">G105/E104</f>
        <v>-0.00400898011545863</v>
      </c>
      <c r="I105" s="29" t="n">
        <f aca="false">MAX(G105,0)</f>
        <v>0</v>
      </c>
      <c r="J105" s="29" t="n">
        <f aca="false">MAX(-G105,0)</f>
        <v>0.25</v>
      </c>
      <c r="K105" s="29" t="n">
        <f aca="false">(K104*13+I105)/14</f>
        <v>0.281387508460047</v>
      </c>
      <c r="L105" s="29" t="n">
        <f aca="false">(L104*13+J105)/14</f>
        <v>0.523838690931713</v>
      </c>
      <c r="M105" s="31" t="n">
        <f aca="false">IF(L105=0,100,100-100/(1+K105/MAX(L105,0.000001)))</f>
        <v>34.9451506511583</v>
      </c>
      <c r="N105" s="30" t="n">
        <f aca="false">AVERAGE(E86:E105)</f>
        <v>64.656</v>
      </c>
      <c r="O105" s="30" t="n">
        <f aca="false">AVERAGE(E56:E105)</f>
        <v>68.2462</v>
      </c>
      <c r="Q105" s="30" t="n">
        <f aca="false">Q104+(2/13)*(E105-Q104)</f>
        <v>63.3881703098244</v>
      </c>
      <c r="R105" s="30" t="n">
        <f aca="false">R104+(2/27)*(E105-R104)</f>
        <v>65.1473713317367</v>
      </c>
      <c r="S105" s="33" t="n">
        <f aca="false">Q105-R105</f>
        <v>-1.7592010219123</v>
      </c>
      <c r="T105" s="33" t="n">
        <f aca="false">T104+(2/10)*(S105-T104)</f>
        <v>-1.74442259015591</v>
      </c>
      <c r="U105" s="33" t="n">
        <f aca="false">S105-T105</f>
        <v>-0.0147784317563922</v>
      </c>
      <c r="V105" s="32" t="str">
        <f aca="false">IF(M105="","",IF(M105&lt;Assumptions!$B$5,"BUY",IF(M105&gt;Assumptions!$B$4,"SELL","HOLD")))</f>
        <v>HOLD</v>
      </c>
      <c r="W105" s="32" t="str">
        <f aca="false">IF(O105="","",IF(E105&gt;O105,"BUY","SELL"))</f>
        <v>SELL</v>
      </c>
      <c r="X105" s="32" t="str">
        <f aca="false">IF(T105="","",IF(S105&gt;T105,"BUY","SELL"))</f>
        <v>SELL</v>
      </c>
      <c r="Y105" s="34" t="n">
        <f aca="false">IF(OR(V105="",W105="",X105=""),"",IFERROR(IF(V105="BUY",1,IF(V105="SELL",-1,0))+IF(W105="BUY",1,IF(W105="SELL",-1,0))+IF(X105="BUY",1,IF(X105="SELL",-1,0)),0))</f>
        <v>-2</v>
      </c>
      <c r="Z105" s="32" t="str">
        <f aca="false">IF(Y105="","",IF(Y105&gt;=2,"STRONG BUY",IF(Y105=1,"BUY",IF(Y105=0,"HOLD",IF(Y105=-1,"SELL","STRONG SELL")))))</f>
        <v>STRONG SELL</v>
      </c>
    </row>
    <row r="106" customFormat="false" ht="15" hidden="false" customHeight="false" outlineLevel="0" collapsed="false">
      <c r="A106" s="24" t="n">
        <v>45916</v>
      </c>
      <c r="B106" s="25" t="n">
        <v>63</v>
      </c>
      <c r="C106" s="25" t="n">
        <v>63.71</v>
      </c>
      <c r="D106" s="25" t="n">
        <v>62.79</v>
      </c>
      <c r="E106" s="25" t="n">
        <v>63.25</v>
      </c>
      <c r="F106" s="26" t="n">
        <v>24777340</v>
      </c>
      <c r="G106" s="27" t="n">
        <f aca="false">E106-E105</f>
        <v>1.14</v>
      </c>
      <c r="H106" s="28" t="n">
        <f aca="false">G106/E105</f>
        <v>0.0183545322814362</v>
      </c>
      <c r="I106" s="29" t="n">
        <f aca="false">MAX(G106,0)</f>
        <v>1.14</v>
      </c>
      <c r="J106" s="29" t="n">
        <f aca="false">MAX(-G106,0)</f>
        <v>0</v>
      </c>
      <c r="K106" s="29" t="n">
        <f aca="false">(K105*13+I106)/14</f>
        <v>0.342716972141473</v>
      </c>
      <c r="L106" s="29" t="n">
        <f aca="false">(L105*13+J106)/14</f>
        <v>0.486421641579448</v>
      </c>
      <c r="M106" s="31" t="n">
        <f aca="false">IF(L106=0,100,100-100/(1+K106/MAX(L106,0.000001)))</f>
        <v>41.3340986018567</v>
      </c>
      <c r="N106" s="30" t="n">
        <f aca="false">AVERAGE(E87:E106)</f>
        <v>64.4485</v>
      </c>
      <c r="O106" s="30" t="n">
        <f aca="false">AVERAGE(E57:E106)</f>
        <v>67.9514</v>
      </c>
      <c r="Q106" s="30" t="n">
        <f aca="false">Q105+(2/13)*(E106-Q105)</f>
        <v>63.3669133390822</v>
      </c>
      <c r="R106" s="30" t="n">
        <f aca="false">R105+(2/27)*(E106-R105)</f>
        <v>65.0068253071636</v>
      </c>
      <c r="S106" s="33" t="n">
        <f aca="false">Q106-R106</f>
        <v>-1.63991196808144</v>
      </c>
      <c r="T106" s="33" t="n">
        <f aca="false">T105+(2/10)*(S106-T105)</f>
        <v>-1.72352046574102</v>
      </c>
      <c r="U106" s="33" t="n">
        <f aca="false">S106-T106</f>
        <v>0.0836084976595815</v>
      </c>
      <c r="V106" s="32" t="str">
        <f aca="false">IF(M106="","",IF(M106&lt;Assumptions!$B$5,"BUY",IF(M106&gt;Assumptions!$B$4,"SELL","HOLD")))</f>
        <v>HOLD</v>
      </c>
      <c r="W106" s="32" t="str">
        <f aca="false">IF(O106="","",IF(E106&gt;O106,"BUY","SELL"))</f>
        <v>SELL</v>
      </c>
      <c r="X106" s="32" t="str">
        <f aca="false">IF(T106="","",IF(S106&gt;T106,"BUY","SELL"))</f>
        <v>BUY</v>
      </c>
      <c r="Y106" s="34" t="n">
        <f aca="false">IF(OR(V106="",W106="",X106=""),"",IFERROR(IF(V106="BUY",1,IF(V106="SELL",-1,0))+IF(W106="BUY",1,IF(W106="SELL",-1,0))+IF(X106="BUY",1,IF(X106="SELL",-1,0)),0))</f>
        <v>0</v>
      </c>
      <c r="Z106" s="32" t="str">
        <f aca="false">IF(Y106="","",IF(Y106&gt;=2,"STRONG BUY",IF(Y106=1,"BUY",IF(Y106=0,"HOLD",IF(Y106=-1,"SELL","STRONG SELL")))))</f>
        <v>HOLD</v>
      </c>
    </row>
    <row r="107" customFormat="false" ht="15" hidden="false" customHeight="false" outlineLevel="0" collapsed="false">
      <c r="A107" s="24" t="n">
        <v>45917</v>
      </c>
      <c r="B107" s="25" t="n">
        <v>62.65</v>
      </c>
      <c r="C107" s="25" t="n">
        <v>63.55</v>
      </c>
      <c r="D107" s="25" t="n">
        <v>61.89</v>
      </c>
      <c r="E107" s="25" t="n">
        <v>62.72</v>
      </c>
      <c r="F107" s="26" t="n">
        <v>25543419</v>
      </c>
      <c r="G107" s="27" t="n">
        <f aca="false">E107-E106</f>
        <v>-0.530000000000001</v>
      </c>
      <c r="H107" s="28" t="n">
        <f aca="false">G107/E106</f>
        <v>-0.00837944664031622</v>
      </c>
      <c r="I107" s="29" t="n">
        <f aca="false">MAX(G107,0)</f>
        <v>0</v>
      </c>
      <c r="J107" s="29" t="n">
        <f aca="false">MAX(-G107,0)</f>
        <v>0.530000000000001</v>
      </c>
      <c r="K107" s="29" t="n">
        <f aca="false">(K106*13+I107)/14</f>
        <v>0.318237188417082</v>
      </c>
      <c r="L107" s="29" t="n">
        <f aca="false">(L106*13+J107)/14</f>
        <v>0.48953438146663</v>
      </c>
      <c r="M107" s="31" t="n">
        <f aca="false">IF(L107=0,100,100-100/(1+K107/MAX(L107,0.000001)))</f>
        <v>39.396928572628</v>
      </c>
      <c r="N107" s="30" t="n">
        <f aca="false">AVERAGE(E88:E107)</f>
        <v>64.253</v>
      </c>
      <c r="O107" s="30" t="n">
        <f aca="false">AVERAGE(E58:E107)</f>
        <v>67.691</v>
      </c>
      <c r="Q107" s="30" t="n">
        <f aca="false">Q106+(2/13)*(E107-Q106)</f>
        <v>63.2673882099926</v>
      </c>
      <c r="R107" s="30" t="n">
        <f aca="false">R106+(2/27)*(E107-R106)</f>
        <v>64.8374308399663</v>
      </c>
      <c r="S107" s="33" t="n">
        <f aca="false">Q107-R107</f>
        <v>-1.5700426299737</v>
      </c>
      <c r="T107" s="33" t="n">
        <f aca="false">T106+(2/10)*(S107-T106)</f>
        <v>-1.69282489858755</v>
      </c>
      <c r="U107" s="33" t="n">
        <f aca="false">S107-T107</f>
        <v>0.122782268613854</v>
      </c>
      <c r="V107" s="32" t="str">
        <f aca="false">IF(M107="","",IF(M107&lt;Assumptions!$B$5,"BUY",IF(M107&gt;Assumptions!$B$4,"SELL","HOLD")))</f>
        <v>HOLD</v>
      </c>
      <c r="W107" s="32" t="str">
        <f aca="false">IF(O107="","",IF(E107&gt;O107,"BUY","SELL"))</f>
        <v>SELL</v>
      </c>
      <c r="X107" s="32" t="str">
        <f aca="false">IF(T107="","",IF(S107&gt;T107,"BUY","SELL"))</f>
        <v>BUY</v>
      </c>
      <c r="Y107" s="34" t="n">
        <f aca="false">IF(OR(V107="",W107="",X107=""),"",IFERROR(IF(V107="BUY",1,IF(V107="SELL",-1,0))+IF(W107="BUY",1,IF(W107="SELL",-1,0))+IF(X107="BUY",1,IF(X107="SELL",-1,0)),0))</f>
        <v>0</v>
      </c>
      <c r="Z107" s="32" t="str">
        <f aca="false">IF(Y107="","",IF(Y107&gt;=2,"STRONG BUY",IF(Y107=1,"BUY",IF(Y107=0,"HOLD",IF(Y107=-1,"SELL","STRONG SELL")))))</f>
        <v>HOLD</v>
      </c>
    </row>
    <row r="108" customFormat="false" ht="15" hidden="false" customHeight="false" outlineLevel="0" collapsed="false">
      <c r="A108" s="24" t="n">
        <v>45918</v>
      </c>
      <c r="B108" s="25" t="n">
        <v>63.84</v>
      </c>
      <c r="C108" s="25" t="n">
        <v>63.84</v>
      </c>
      <c r="D108" s="25" t="n">
        <v>63.24</v>
      </c>
      <c r="E108" s="25" t="n">
        <v>63.54</v>
      </c>
      <c r="F108" s="26" t="n">
        <v>19733177</v>
      </c>
      <c r="G108" s="27" t="n">
        <f aca="false">E108-E107</f>
        <v>0.82</v>
      </c>
      <c r="H108" s="28" t="n">
        <f aca="false">G108/E107</f>
        <v>0.0130739795918367</v>
      </c>
      <c r="I108" s="29" t="n">
        <f aca="false">MAX(G108,0)</f>
        <v>0.82</v>
      </c>
      <c r="J108" s="29" t="n">
        <f aca="false">MAX(-G108,0)</f>
        <v>0</v>
      </c>
      <c r="K108" s="29" t="n">
        <f aca="false">(K107*13+I108)/14</f>
        <v>0.354077389244433</v>
      </c>
      <c r="L108" s="29" t="n">
        <f aca="false">(L107*13+J108)/14</f>
        <v>0.454567639933299</v>
      </c>
      <c r="M108" s="31" t="n">
        <f aca="false">IF(L108=0,100,100-100/(1+K108/MAX(L108,0.000001)))</f>
        <v>43.7865041481149</v>
      </c>
      <c r="N108" s="30" t="n">
        <f aca="false">AVERAGE(E89:E108)</f>
        <v>64.0655</v>
      </c>
      <c r="O108" s="30" t="n">
        <f aca="false">AVERAGE(E59:E108)</f>
        <v>67.457</v>
      </c>
      <c r="Q108" s="30" t="n">
        <f aca="false">Q107+(2/13)*(E108-Q107)</f>
        <v>63.3093284853784</v>
      </c>
      <c r="R108" s="30" t="n">
        <f aca="false">R107+(2/27)*(E108-R107)</f>
        <v>64.7413248518207</v>
      </c>
      <c r="S108" s="33" t="n">
        <f aca="false">Q108-R108</f>
        <v>-1.4319963664423</v>
      </c>
      <c r="T108" s="33" t="n">
        <f aca="false">T107+(2/10)*(S108-T107)</f>
        <v>-1.6406591921585</v>
      </c>
      <c r="U108" s="33" t="n">
        <f aca="false">S108-T108</f>
        <v>0.208662825716204</v>
      </c>
      <c r="V108" s="32" t="str">
        <f aca="false">IF(M108="","",IF(M108&lt;Assumptions!$B$5,"BUY",IF(M108&gt;Assumptions!$B$4,"SELL","HOLD")))</f>
        <v>HOLD</v>
      </c>
      <c r="W108" s="32" t="str">
        <f aca="false">IF(O108="","",IF(E108&gt;O108,"BUY","SELL"))</f>
        <v>SELL</v>
      </c>
      <c r="X108" s="32" t="str">
        <f aca="false">IF(T108="","",IF(S108&gt;T108,"BUY","SELL"))</f>
        <v>BUY</v>
      </c>
      <c r="Y108" s="34" t="n">
        <f aca="false">IF(OR(V108="",W108="",X108=""),"",IFERROR(IF(V108="BUY",1,IF(V108="SELL",-1,0))+IF(W108="BUY",1,IF(W108="SELL",-1,0))+IF(X108="BUY",1,IF(X108="SELL",-1,0)),0))</f>
        <v>0</v>
      </c>
      <c r="Z108" s="32" t="str">
        <f aca="false">IF(Y108="","",IF(Y108&gt;=2,"STRONG BUY",IF(Y108=1,"BUY",IF(Y108=0,"HOLD",IF(Y108=-1,"SELL","STRONG SELL")))))</f>
        <v>HOLD</v>
      </c>
    </row>
    <row r="109" customFormat="false" ht="15" hidden="false" customHeight="false" outlineLevel="0" collapsed="false">
      <c r="A109" s="24" t="n">
        <v>45919</v>
      </c>
      <c r="B109" s="25" t="n">
        <v>62.78</v>
      </c>
      <c r="C109" s="25" t="n">
        <v>62.93</v>
      </c>
      <c r="D109" s="25" t="n">
        <v>62.55</v>
      </c>
      <c r="E109" s="25" t="n">
        <v>62.74</v>
      </c>
      <c r="F109" s="26" t="n">
        <v>13411812</v>
      </c>
      <c r="G109" s="27" t="n">
        <f aca="false">E109-E108</f>
        <v>-0.799999999999997</v>
      </c>
      <c r="H109" s="28" t="n">
        <f aca="false">G109/E108</f>
        <v>-0.0125904941768964</v>
      </c>
      <c r="I109" s="29" t="n">
        <f aca="false">MAX(G109,0)</f>
        <v>0</v>
      </c>
      <c r="J109" s="29" t="n">
        <f aca="false">MAX(-G109,0)</f>
        <v>0.799999999999997</v>
      </c>
      <c r="K109" s="29" t="n">
        <f aca="false">(K108*13+I109)/14</f>
        <v>0.328786147155545</v>
      </c>
      <c r="L109" s="29" t="n">
        <f aca="false">(L108*13+J109)/14</f>
        <v>0.479241379938063</v>
      </c>
      <c r="M109" s="31" t="n">
        <f aca="false">IF(L109=0,100,100-100/(1+K109/MAX(L109,0.000001)))</f>
        <v>40.6899686125985</v>
      </c>
      <c r="N109" s="30" t="n">
        <f aca="false">AVERAGE(E90:E109)</f>
        <v>63.8565</v>
      </c>
      <c r="O109" s="30" t="n">
        <f aca="false">AVERAGE(E60:E109)</f>
        <v>67.2522</v>
      </c>
      <c r="Q109" s="30" t="n">
        <f aca="false">Q108+(2/13)*(E109-Q108)</f>
        <v>63.2217394876279</v>
      </c>
      <c r="R109" s="30" t="n">
        <f aca="false">R108+(2/27)*(E109-R108)</f>
        <v>64.5930785665006</v>
      </c>
      <c r="S109" s="33" t="n">
        <f aca="false">Q109-R109</f>
        <v>-1.37133907887277</v>
      </c>
      <c r="T109" s="33" t="n">
        <f aca="false">T108+(2/10)*(S109-T108)</f>
        <v>-1.58679516950136</v>
      </c>
      <c r="U109" s="33" t="n">
        <f aca="false">S109-T109</f>
        <v>0.21545609062859</v>
      </c>
      <c r="V109" s="32" t="str">
        <f aca="false">IF(M109="","",IF(M109&lt;Assumptions!$B$5,"BUY",IF(M109&gt;Assumptions!$B$4,"SELL","HOLD")))</f>
        <v>HOLD</v>
      </c>
      <c r="W109" s="32" t="str">
        <f aca="false">IF(O109="","",IF(E109&gt;O109,"BUY","SELL"))</f>
        <v>SELL</v>
      </c>
      <c r="X109" s="32" t="str">
        <f aca="false">IF(T109="","",IF(S109&gt;T109,"BUY","SELL"))</f>
        <v>BUY</v>
      </c>
      <c r="Y109" s="34" t="n">
        <f aca="false">IF(OR(V109="",W109="",X109=""),"",IFERROR(IF(V109="BUY",1,IF(V109="SELL",-1,0))+IF(W109="BUY",1,IF(W109="SELL",-1,0))+IF(X109="BUY",1,IF(X109="SELL",-1,0)),0))</f>
        <v>0</v>
      </c>
      <c r="Z109" s="32" t="str">
        <f aca="false">IF(Y109="","",IF(Y109&gt;=2,"STRONG BUY",IF(Y109=1,"BUY",IF(Y109=0,"HOLD",IF(Y109=-1,"SELL","STRONG SELL")))))</f>
        <v>HOLD</v>
      </c>
    </row>
    <row r="110" customFormat="false" ht="15" hidden="false" customHeight="false" outlineLevel="0" collapsed="false">
      <c r="A110" s="24" t="n">
        <v>45922</v>
      </c>
      <c r="B110" s="25" t="n">
        <v>63.48</v>
      </c>
      <c r="C110" s="25" t="n">
        <v>63.79</v>
      </c>
      <c r="D110" s="25" t="n">
        <v>63.17</v>
      </c>
      <c r="E110" s="25" t="n">
        <v>63.48</v>
      </c>
      <c r="F110" s="26" t="n">
        <v>17626196</v>
      </c>
      <c r="G110" s="27" t="n">
        <f aca="false">E110-E109</f>
        <v>0.739999999999995</v>
      </c>
      <c r="H110" s="28" t="n">
        <f aca="false">G110/E109</f>
        <v>0.0117947083200509</v>
      </c>
      <c r="I110" s="29" t="n">
        <f aca="false">MAX(G110,0)</f>
        <v>0.739999999999995</v>
      </c>
      <c r="J110" s="29" t="n">
        <f aca="false">MAX(-G110,0)</f>
        <v>0</v>
      </c>
      <c r="K110" s="29" t="n">
        <f aca="false">(K109*13+I110)/14</f>
        <v>0.358158565215863</v>
      </c>
      <c r="L110" s="29" t="n">
        <f aca="false">(L109*13+J110)/14</f>
        <v>0.44500985279963</v>
      </c>
      <c r="M110" s="31" t="n">
        <f aca="false">IF(L110=0,100,100-100/(1+K110/MAX(L110,0.000001)))</f>
        <v>44.5932082465118</v>
      </c>
      <c r="N110" s="30" t="n">
        <f aca="false">AVERAGE(E91:E110)</f>
        <v>63.648</v>
      </c>
      <c r="O110" s="30" t="n">
        <f aca="false">AVERAGE(E61:E110)</f>
        <v>67.055</v>
      </c>
      <c r="Q110" s="30" t="n">
        <f aca="false">Q109+(2/13)*(E110-Q109)</f>
        <v>63.2614718741467</v>
      </c>
      <c r="R110" s="30" t="n">
        <f aca="false">R109+(2/27)*(E110-R109)</f>
        <v>64.5106283023154</v>
      </c>
      <c r="S110" s="33" t="n">
        <f aca="false">Q110-R110</f>
        <v>-1.24915642816875</v>
      </c>
      <c r="T110" s="33" t="n">
        <f aca="false">T109+(2/10)*(S110-T109)</f>
        <v>-1.51926742123483</v>
      </c>
      <c r="U110" s="33" t="n">
        <f aca="false">S110-T110</f>
        <v>0.270110993066087</v>
      </c>
      <c r="V110" s="32" t="str">
        <f aca="false">IF(M110="","",IF(M110&lt;Assumptions!$B$5,"BUY",IF(M110&gt;Assumptions!$B$4,"SELL","HOLD")))</f>
        <v>HOLD</v>
      </c>
      <c r="W110" s="32" t="str">
        <f aca="false">IF(O110="","",IF(E110&gt;O110,"BUY","SELL"))</f>
        <v>SELL</v>
      </c>
      <c r="X110" s="32" t="str">
        <f aca="false">IF(T110="","",IF(S110&gt;T110,"BUY","SELL"))</f>
        <v>BUY</v>
      </c>
      <c r="Y110" s="34" t="n">
        <f aca="false">IF(OR(V110="",W110="",X110=""),"",IFERROR(IF(V110="BUY",1,IF(V110="SELL",-1,0))+IF(W110="BUY",1,IF(W110="SELL",-1,0))+IF(X110="BUY",1,IF(X110="SELL",-1,0)),0))</f>
        <v>0</v>
      </c>
      <c r="Z110" s="32" t="str">
        <f aca="false">IF(Y110="","",IF(Y110&gt;=2,"STRONG BUY",IF(Y110=1,"BUY",IF(Y110=0,"HOLD",IF(Y110=-1,"SELL","STRONG SELL")))))</f>
        <v>HOLD</v>
      </c>
    </row>
    <row r="111" customFormat="false" ht="15" hidden="false" customHeight="false" outlineLevel="0" collapsed="false">
      <c r="A111" s="24" t="n">
        <v>45923</v>
      </c>
      <c r="B111" s="25" t="n">
        <v>63.05</v>
      </c>
      <c r="C111" s="25" t="n">
        <v>63.51</v>
      </c>
      <c r="D111" s="25" t="n">
        <v>63.05</v>
      </c>
      <c r="E111" s="25" t="n">
        <v>63.28</v>
      </c>
      <c r="F111" s="26" t="n">
        <v>20138895</v>
      </c>
      <c r="G111" s="27" t="n">
        <f aca="false">E111-E110</f>
        <v>-0.199999999999996</v>
      </c>
      <c r="H111" s="28" t="n">
        <f aca="false">G111/E110</f>
        <v>-0.00315059861373654</v>
      </c>
      <c r="I111" s="29" t="n">
        <f aca="false">MAX(G111,0)</f>
        <v>0</v>
      </c>
      <c r="J111" s="29" t="n">
        <f aca="false">MAX(-G111,0)</f>
        <v>0.199999999999996</v>
      </c>
      <c r="K111" s="29" t="n">
        <f aca="false">(K110*13+I111)/14</f>
        <v>0.332575810557587</v>
      </c>
      <c r="L111" s="29" t="n">
        <f aca="false">(L110*13+J111)/14</f>
        <v>0.427509149028228</v>
      </c>
      <c r="M111" s="31" t="n">
        <f aca="false">IF(L111=0,100,100-100/(1+K111/MAX(L111,0.000001)))</f>
        <v>43.7550837394301</v>
      </c>
      <c r="N111" s="30" t="n">
        <f aca="false">AVERAGE(E92:E111)</f>
        <v>63.5275</v>
      </c>
      <c r="O111" s="30" t="n">
        <f aca="false">AVERAGE(E62:E111)</f>
        <v>66.8624</v>
      </c>
      <c r="Q111" s="30" t="n">
        <f aca="false">Q110+(2/13)*(E111-Q110)</f>
        <v>63.2643223550472</v>
      </c>
      <c r="R111" s="30" t="n">
        <f aca="false">R110+(2/27)*(E111-R110)</f>
        <v>64.419470650292</v>
      </c>
      <c r="S111" s="33" t="n">
        <f aca="false">Q111-R111</f>
        <v>-1.15514829524486</v>
      </c>
      <c r="T111" s="33" t="n">
        <f aca="false">T110+(2/10)*(S111-T110)</f>
        <v>-1.44644359603684</v>
      </c>
      <c r="U111" s="33" t="n">
        <f aca="false">S111-T111</f>
        <v>0.291295300791976</v>
      </c>
      <c r="V111" s="32" t="str">
        <f aca="false">IF(M111="","",IF(M111&lt;Assumptions!$B$5,"BUY",IF(M111&gt;Assumptions!$B$4,"SELL","HOLD")))</f>
        <v>HOLD</v>
      </c>
      <c r="W111" s="32" t="str">
        <f aca="false">IF(O111="","",IF(E111&gt;O111,"BUY","SELL"))</f>
        <v>SELL</v>
      </c>
      <c r="X111" s="32" t="str">
        <f aca="false">IF(T111="","",IF(S111&gt;T111,"BUY","SELL"))</f>
        <v>BUY</v>
      </c>
      <c r="Y111" s="34" t="n">
        <f aca="false">IF(OR(V111="",W111="",X111=""),"",IFERROR(IF(V111="BUY",1,IF(V111="SELL",-1,0))+IF(W111="BUY",1,IF(W111="SELL",-1,0))+IF(X111="BUY",1,IF(X111="SELL",-1,0)),0))</f>
        <v>0</v>
      </c>
      <c r="Z111" s="32" t="str">
        <f aca="false">IF(Y111="","",IF(Y111&gt;=2,"STRONG BUY",IF(Y111=1,"BUY",IF(Y111=0,"HOLD",IF(Y111=-1,"SELL","STRONG SELL")))))</f>
        <v>HOLD</v>
      </c>
    </row>
    <row r="112" customFormat="false" ht="15" hidden="false" customHeight="false" outlineLevel="0" collapsed="false">
      <c r="A112" s="24" t="n">
        <v>45924</v>
      </c>
      <c r="B112" s="25" t="n">
        <v>63.01</v>
      </c>
      <c r="C112" s="25" t="n">
        <v>63.98</v>
      </c>
      <c r="D112" s="25" t="n">
        <v>62.26</v>
      </c>
      <c r="E112" s="25" t="n">
        <v>63.12</v>
      </c>
      <c r="F112" s="26" t="n">
        <v>20663728</v>
      </c>
      <c r="G112" s="27" t="n">
        <f aca="false">E112-E111</f>
        <v>-0.160000000000004</v>
      </c>
      <c r="H112" s="28" t="n">
        <f aca="false">G112/E111</f>
        <v>-0.00252844500632117</v>
      </c>
      <c r="I112" s="29" t="n">
        <f aca="false">MAX(G112,0)</f>
        <v>0</v>
      </c>
      <c r="J112" s="29" t="n">
        <f aca="false">MAX(-G112,0)</f>
        <v>0.160000000000004</v>
      </c>
      <c r="K112" s="29" t="n">
        <f aca="false">(K111*13+I112)/14</f>
        <v>0.308820395517759</v>
      </c>
      <c r="L112" s="29" t="n">
        <f aca="false">(L111*13+J112)/14</f>
        <v>0.408401352669069</v>
      </c>
      <c r="M112" s="31" t="n">
        <f aca="false">IF(L112=0,100,100-100/(1+K112/MAX(L112,0.000001)))</f>
        <v>43.0578682671674</v>
      </c>
      <c r="N112" s="30" t="n">
        <f aca="false">AVERAGE(E93:E112)</f>
        <v>63.3725</v>
      </c>
      <c r="O112" s="30" t="n">
        <f aca="false">AVERAGE(E63:E112)</f>
        <v>66.6652</v>
      </c>
      <c r="Q112" s="30" t="n">
        <f aca="false">Q111+(2/13)*(E112-Q111)</f>
        <v>63.2421189158091</v>
      </c>
      <c r="R112" s="30" t="n">
        <f aca="false">R111+(2/27)*(E112-R111)</f>
        <v>64.3232135650852</v>
      </c>
      <c r="S112" s="33" t="n">
        <f aca="false">Q112-R112</f>
        <v>-1.08109464927608</v>
      </c>
      <c r="T112" s="33" t="n">
        <f aca="false">T111+(2/10)*(S112-T111)</f>
        <v>-1.37337380668469</v>
      </c>
      <c r="U112" s="33" t="n">
        <f aca="false">S112-T112</f>
        <v>0.292279157408612</v>
      </c>
      <c r="V112" s="32" t="str">
        <f aca="false">IF(M112="","",IF(M112&lt;Assumptions!$B$5,"BUY",IF(M112&gt;Assumptions!$B$4,"SELL","HOLD")))</f>
        <v>HOLD</v>
      </c>
      <c r="W112" s="32" t="str">
        <f aca="false">IF(O112="","",IF(E112&gt;O112,"BUY","SELL"))</f>
        <v>SELL</v>
      </c>
      <c r="X112" s="32" t="str">
        <f aca="false">IF(T112="","",IF(S112&gt;T112,"BUY","SELL"))</f>
        <v>BUY</v>
      </c>
      <c r="Y112" s="34" t="n">
        <f aca="false">IF(OR(V112="",W112="",X112=""),"",IFERROR(IF(V112="BUY",1,IF(V112="SELL",-1,0))+IF(W112="BUY",1,IF(W112="SELL",-1,0))+IF(X112="BUY",1,IF(X112="SELL",-1,0)),0))</f>
        <v>0</v>
      </c>
      <c r="Z112" s="32" t="str">
        <f aca="false">IF(Y112="","",IF(Y112&gt;=2,"STRONG BUY",IF(Y112=1,"BUY",IF(Y112=0,"HOLD",IF(Y112=-1,"SELL","STRONG SELL")))))</f>
        <v>HOLD</v>
      </c>
    </row>
    <row r="113" customFormat="false" ht="15" hidden="false" customHeight="false" outlineLevel="0" collapsed="false">
      <c r="A113" s="24" t="n">
        <v>45925</v>
      </c>
      <c r="B113" s="25" t="n">
        <v>62.89</v>
      </c>
      <c r="C113" s="25" t="n">
        <v>63.26</v>
      </c>
      <c r="D113" s="25" t="n">
        <v>62.82</v>
      </c>
      <c r="E113" s="25" t="n">
        <v>63.04</v>
      </c>
      <c r="F113" s="26" t="n">
        <v>17632683</v>
      </c>
      <c r="G113" s="27" t="n">
        <f aca="false">E113-E112</f>
        <v>-0.0799999999999983</v>
      </c>
      <c r="H113" s="28" t="n">
        <f aca="false">G113/E112</f>
        <v>-0.0012674271229404</v>
      </c>
      <c r="I113" s="29" t="n">
        <f aca="false">MAX(G113,0)</f>
        <v>0</v>
      </c>
      <c r="J113" s="29" t="n">
        <f aca="false">MAX(-G113,0)</f>
        <v>0.0799999999999983</v>
      </c>
      <c r="K113" s="29" t="n">
        <f aca="false">(K112*13+I113)/14</f>
        <v>0.286761795837919</v>
      </c>
      <c r="L113" s="29" t="n">
        <f aca="false">(L112*13+J113)/14</f>
        <v>0.384944113192707</v>
      </c>
      <c r="M113" s="31" t="n">
        <f aca="false">IF(L113=0,100,100-100/(1+K113/MAX(L113,0.000001)))</f>
        <v>42.6915696263206</v>
      </c>
      <c r="N113" s="30" t="n">
        <f aca="false">AVERAGE(E94:E113)</f>
        <v>63.1975</v>
      </c>
      <c r="O113" s="30" t="n">
        <f aca="false">AVERAGE(E64:E113)</f>
        <v>66.4376</v>
      </c>
      <c r="Q113" s="30" t="n">
        <f aca="false">Q112+(2/13)*(E113-Q112)</f>
        <v>63.2110236979923</v>
      </c>
      <c r="R113" s="30" t="n">
        <f aca="false">R112+(2/27)*(E113-R112)</f>
        <v>64.2281607084122</v>
      </c>
      <c r="S113" s="33" t="n">
        <f aca="false">Q113-R113</f>
        <v>-1.01713701041989</v>
      </c>
      <c r="T113" s="33" t="n">
        <f aca="false">T112+(2/10)*(S113-T112)</f>
        <v>-1.30212644743173</v>
      </c>
      <c r="U113" s="33" t="n">
        <f aca="false">S113-T113</f>
        <v>0.28498943701184</v>
      </c>
      <c r="V113" s="32" t="str">
        <f aca="false">IF(M113="","",IF(M113&lt;Assumptions!$B$5,"BUY",IF(M113&gt;Assumptions!$B$4,"SELL","HOLD")))</f>
        <v>HOLD</v>
      </c>
      <c r="W113" s="32" t="str">
        <f aca="false">IF(O113="","",IF(E113&gt;O113,"BUY","SELL"))</f>
        <v>SELL</v>
      </c>
      <c r="X113" s="32" t="str">
        <f aca="false">IF(T113="","",IF(S113&gt;T113,"BUY","SELL"))</f>
        <v>BUY</v>
      </c>
      <c r="Y113" s="34" t="n">
        <f aca="false">IF(OR(V113="",W113="",X113=""),"",IFERROR(IF(V113="BUY",1,IF(V113="SELL",-1,0))+IF(W113="BUY",1,IF(W113="SELL",-1,0))+IF(X113="BUY",1,IF(X113="SELL",-1,0)),0))</f>
        <v>0</v>
      </c>
      <c r="Z113" s="32" t="str">
        <f aca="false">IF(Y113="","",IF(Y113&gt;=2,"STRONG BUY",IF(Y113=1,"BUY",IF(Y113=0,"HOLD",IF(Y113=-1,"SELL","STRONG SELL")))))</f>
        <v>HOLD</v>
      </c>
    </row>
    <row r="114" customFormat="false" ht="15" hidden="false" customHeight="false" outlineLevel="0" collapsed="false">
      <c r="A114" s="24" t="n">
        <v>45926</v>
      </c>
      <c r="B114" s="25" t="n">
        <v>63.94</v>
      </c>
      <c r="C114" s="25" t="n">
        <v>64.04</v>
      </c>
      <c r="D114" s="25" t="n">
        <v>63.1</v>
      </c>
      <c r="E114" s="25" t="n">
        <v>63.57</v>
      </c>
      <c r="F114" s="26" t="n">
        <v>23516346</v>
      </c>
      <c r="G114" s="27" t="n">
        <f aca="false">E114-E113</f>
        <v>0.530000000000001</v>
      </c>
      <c r="H114" s="28" t="n">
        <f aca="false">G114/E113</f>
        <v>0.00840736040609139</v>
      </c>
      <c r="I114" s="29" t="n">
        <f aca="false">MAX(G114,0)</f>
        <v>0.530000000000001</v>
      </c>
      <c r="J114" s="29" t="n">
        <f aca="false">MAX(-G114,0)</f>
        <v>0</v>
      </c>
      <c r="K114" s="29" t="n">
        <f aca="false">(K113*13+I114)/14</f>
        <v>0.304135953278068</v>
      </c>
      <c r="L114" s="29" t="n">
        <f aca="false">(L113*13+J114)/14</f>
        <v>0.357448105107513</v>
      </c>
      <c r="M114" s="31" t="n">
        <f aca="false">IF(L114=0,100,100-100/(1+K114/MAX(L114,0.000001)))</f>
        <v>45.9708708852856</v>
      </c>
      <c r="N114" s="30" t="n">
        <f aca="false">AVERAGE(E95:E114)</f>
        <v>63.116</v>
      </c>
      <c r="O114" s="30" t="n">
        <f aca="false">AVERAGE(E65:E114)</f>
        <v>66.2406</v>
      </c>
      <c r="Q114" s="30" t="n">
        <f aca="false">Q113+(2/13)*(E114-Q113)</f>
        <v>63.2662508213781</v>
      </c>
      <c r="R114" s="30" t="n">
        <f aca="false">R113+(2/27)*(E114-R113)</f>
        <v>64.1794080633447</v>
      </c>
      <c r="S114" s="33" t="n">
        <f aca="false">Q114-R114</f>
        <v>-0.91315724196653</v>
      </c>
      <c r="T114" s="33" t="n">
        <f aca="false">T113+(2/10)*(S114-T113)</f>
        <v>-1.22433260633869</v>
      </c>
      <c r="U114" s="33" t="n">
        <f aca="false">S114-T114</f>
        <v>0.311175364372157</v>
      </c>
      <c r="V114" s="32" t="str">
        <f aca="false">IF(M114="","",IF(M114&lt;Assumptions!$B$5,"BUY",IF(M114&gt;Assumptions!$B$4,"SELL","HOLD")))</f>
        <v>HOLD</v>
      </c>
      <c r="W114" s="32" t="str">
        <f aca="false">IF(O114="","",IF(E114&gt;O114,"BUY","SELL"))</f>
        <v>SELL</v>
      </c>
      <c r="X114" s="32" t="str">
        <f aca="false">IF(T114="","",IF(S114&gt;T114,"BUY","SELL"))</f>
        <v>BUY</v>
      </c>
      <c r="Y114" s="34" t="n">
        <f aca="false">IF(OR(V114="",W114="",X114=""),"",IFERROR(IF(V114="BUY",1,IF(V114="SELL",-1,0))+IF(W114="BUY",1,IF(W114="SELL",-1,0))+IF(X114="BUY",1,IF(X114="SELL",-1,0)),0))</f>
        <v>0</v>
      </c>
      <c r="Z114" s="32" t="str">
        <f aca="false">IF(Y114="","",IF(Y114&gt;=2,"STRONG BUY",IF(Y114=1,"BUY",IF(Y114=0,"HOLD",IF(Y114=-1,"SELL","STRONG SELL")))))</f>
        <v>HOLD</v>
      </c>
    </row>
    <row r="115" customFormat="false" ht="15" hidden="false" customHeight="false" outlineLevel="0" collapsed="false">
      <c r="A115" s="24" t="n">
        <v>45929</v>
      </c>
      <c r="B115" s="25" t="n">
        <v>62.37</v>
      </c>
      <c r="C115" s="25" t="n">
        <v>62.88</v>
      </c>
      <c r="D115" s="25" t="n">
        <v>62.02</v>
      </c>
      <c r="E115" s="25" t="n">
        <v>62.45</v>
      </c>
      <c r="F115" s="26" t="n">
        <v>22353714</v>
      </c>
      <c r="G115" s="27" t="n">
        <f aca="false">E115-E114</f>
        <v>-1.12</v>
      </c>
      <c r="H115" s="28" t="n">
        <f aca="false">G115/E114</f>
        <v>-0.0176183734465943</v>
      </c>
      <c r="I115" s="29" t="n">
        <f aca="false">MAX(G115,0)</f>
        <v>0</v>
      </c>
      <c r="J115" s="29" t="n">
        <f aca="false">MAX(-G115,0)</f>
        <v>1.12</v>
      </c>
      <c r="K115" s="29" t="n">
        <f aca="false">(K114*13+I115)/14</f>
        <v>0.282411956615349</v>
      </c>
      <c r="L115" s="29" t="n">
        <f aca="false">(L114*13+J115)/14</f>
        <v>0.411916097599834</v>
      </c>
      <c r="M115" s="31" t="n">
        <f aca="false">IF(L115=0,100,100-100/(1+K115/MAX(L115,0.000001)))</f>
        <v>40.6741388167826</v>
      </c>
      <c r="N115" s="30" t="n">
        <f aca="false">AVERAGE(E96:E115)</f>
        <v>63.0285</v>
      </c>
      <c r="O115" s="30" t="n">
        <f aca="false">AVERAGE(E66:E115)</f>
        <v>66.0676</v>
      </c>
      <c r="Q115" s="30" t="n">
        <f aca="false">Q114+(2/13)*(E115-Q114)</f>
        <v>63.1406737719354</v>
      </c>
      <c r="R115" s="30" t="n">
        <f aca="false">R114+(2/27)*(E115-R114)</f>
        <v>64.0513037623562</v>
      </c>
      <c r="S115" s="33" t="n">
        <f aca="false">Q115-R115</f>
        <v>-0.910629990420823</v>
      </c>
      <c r="T115" s="33" t="n">
        <f aca="false">T114+(2/10)*(S115-T114)</f>
        <v>-1.16159208315511</v>
      </c>
      <c r="U115" s="33" t="n">
        <f aca="false">S115-T115</f>
        <v>0.250962092734292</v>
      </c>
      <c r="V115" s="32" t="str">
        <f aca="false">IF(M115="","",IF(M115&lt;Assumptions!$B$5,"BUY",IF(M115&gt;Assumptions!$B$4,"SELL","HOLD")))</f>
        <v>HOLD</v>
      </c>
      <c r="W115" s="32" t="str">
        <f aca="false">IF(O115="","",IF(E115&gt;O115,"BUY","SELL"))</f>
        <v>SELL</v>
      </c>
      <c r="X115" s="32" t="str">
        <f aca="false">IF(T115="","",IF(S115&gt;T115,"BUY","SELL"))</f>
        <v>BUY</v>
      </c>
      <c r="Y115" s="34" t="n">
        <f aca="false">IF(OR(V115="",W115="",X115=""),"",IFERROR(IF(V115="BUY",1,IF(V115="SELL",-1,0))+IF(W115="BUY",1,IF(W115="SELL",-1,0))+IF(X115="BUY",1,IF(X115="SELL",-1,0)),0))</f>
        <v>0</v>
      </c>
      <c r="Z115" s="32" t="str">
        <f aca="false">IF(Y115="","",IF(Y115&gt;=2,"STRONG BUY",IF(Y115=1,"BUY",IF(Y115=0,"HOLD",IF(Y115=-1,"SELL","STRONG SELL")))))</f>
        <v>HOLD</v>
      </c>
    </row>
    <row r="116" customFormat="false" ht="15" hidden="false" customHeight="false" outlineLevel="0" collapsed="false">
      <c r="A116" s="24" t="n">
        <v>45930</v>
      </c>
      <c r="B116" s="25" t="n">
        <v>61.72</v>
      </c>
      <c r="C116" s="25" t="n">
        <v>61.86</v>
      </c>
      <c r="D116" s="25" t="n">
        <v>61.24</v>
      </c>
      <c r="E116" s="25" t="n">
        <v>61.55</v>
      </c>
      <c r="F116" s="26" t="n">
        <v>30408056</v>
      </c>
      <c r="G116" s="27" t="n">
        <f aca="false">E116-E115</f>
        <v>-0.900000000000006</v>
      </c>
      <c r="H116" s="28" t="n">
        <f aca="false">G116/E115</f>
        <v>-0.0144115292233788</v>
      </c>
      <c r="I116" s="29" t="n">
        <f aca="false">MAX(G116,0)</f>
        <v>0</v>
      </c>
      <c r="J116" s="29" t="n">
        <f aca="false">MAX(-G116,0)</f>
        <v>0.900000000000006</v>
      </c>
      <c r="K116" s="29" t="n">
        <f aca="false">(K115*13+I116)/14</f>
        <v>0.262239673999967</v>
      </c>
      <c r="L116" s="29" t="n">
        <f aca="false">(L115*13+J116)/14</f>
        <v>0.44677923348556</v>
      </c>
      <c r="M116" s="31" t="n">
        <f aca="false">IF(L116=0,100,100-100/(1+K116/MAX(L116,0.000001)))</f>
        <v>36.9862737412711</v>
      </c>
      <c r="N116" s="30" t="n">
        <f aca="false">AVERAGE(E97:E116)</f>
        <v>62.903</v>
      </c>
      <c r="O116" s="30" t="n">
        <f aca="false">AVERAGE(E67:E116)</f>
        <v>65.877</v>
      </c>
      <c r="Q116" s="30" t="n">
        <f aca="false">Q115+(2/13)*(E116-Q115)</f>
        <v>62.8959547300991</v>
      </c>
      <c r="R116" s="30" t="n">
        <f aca="false">R115+(2/27)*(E116-R115)</f>
        <v>63.8660220021816</v>
      </c>
      <c r="S116" s="33" t="n">
        <f aca="false">Q116-R116</f>
        <v>-0.970067272082495</v>
      </c>
      <c r="T116" s="33" t="n">
        <f aca="false">T115+(2/10)*(S116-T115)</f>
        <v>-1.12328712094059</v>
      </c>
      <c r="U116" s="33" t="n">
        <f aca="false">S116-T116</f>
        <v>0.153219848858095</v>
      </c>
      <c r="V116" s="32" t="str">
        <f aca="false">IF(M116="","",IF(M116&lt;Assumptions!$B$5,"BUY",IF(M116&gt;Assumptions!$B$4,"SELL","HOLD")))</f>
        <v>HOLD</v>
      </c>
      <c r="W116" s="32" t="str">
        <f aca="false">IF(O116="","",IF(E116&gt;O116,"BUY","SELL"))</f>
        <v>SELL</v>
      </c>
      <c r="X116" s="32" t="str">
        <f aca="false">IF(T116="","",IF(S116&gt;T116,"BUY","SELL"))</f>
        <v>BUY</v>
      </c>
      <c r="Y116" s="34" t="n">
        <f aca="false">IF(OR(V116="",W116="",X116=""),"",IFERROR(IF(V116="BUY",1,IF(V116="SELL",-1,0))+IF(W116="BUY",1,IF(W116="SELL",-1,0))+IF(X116="BUY",1,IF(X116="SELL",-1,0)),0))</f>
        <v>0</v>
      </c>
      <c r="Z116" s="32" t="str">
        <f aca="false">IF(Y116="","",IF(Y116&gt;=2,"STRONG BUY",IF(Y116=1,"BUY",IF(Y116=0,"HOLD",IF(Y116=-1,"SELL","STRONG SELL")))))</f>
        <v>HOLD</v>
      </c>
    </row>
    <row r="117" customFormat="false" ht="15" hidden="false" customHeight="false" outlineLevel="0" collapsed="false">
      <c r="A117" s="24" t="n">
        <v>45931</v>
      </c>
      <c r="B117" s="25" t="n">
        <v>63.51</v>
      </c>
      <c r="C117" s="25" t="n">
        <v>63.96</v>
      </c>
      <c r="D117" s="25" t="n">
        <v>62.98</v>
      </c>
      <c r="E117" s="25" t="n">
        <v>63.47</v>
      </c>
      <c r="F117" s="26" t="n">
        <v>20476036</v>
      </c>
      <c r="G117" s="27" t="n">
        <f aca="false">E117-E116</f>
        <v>1.92</v>
      </c>
      <c r="H117" s="28" t="n">
        <f aca="false">G117/E116</f>
        <v>0.0311941510966694</v>
      </c>
      <c r="I117" s="29" t="n">
        <f aca="false">MAX(G117,0)</f>
        <v>1.92</v>
      </c>
      <c r="J117" s="29" t="n">
        <f aca="false">MAX(-G117,0)</f>
        <v>0</v>
      </c>
      <c r="K117" s="29" t="n">
        <f aca="false">(K116*13+I117)/14</f>
        <v>0.380651125857112</v>
      </c>
      <c r="L117" s="29" t="n">
        <f aca="false">(L116*13+J117)/14</f>
        <v>0.414866431093735</v>
      </c>
      <c r="M117" s="31" t="n">
        <f aca="false">IF(L117=0,100,100-100/(1+K117/MAX(L117,0.000001)))</f>
        <v>47.8494940219945</v>
      </c>
      <c r="N117" s="30" t="n">
        <f aca="false">AVERAGE(E98:E117)</f>
        <v>62.8965</v>
      </c>
      <c r="O117" s="30" t="n">
        <f aca="false">AVERAGE(E68:E117)</f>
        <v>65.7146</v>
      </c>
      <c r="Q117" s="30" t="n">
        <f aca="false">Q116+(2/13)*(E117-Q116)</f>
        <v>62.984269387007</v>
      </c>
      <c r="R117" s="30" t="n">
        <f aca="false">R116+(2/27)*(E117-R116)</f>
        <v>63.8366870390571</v>
      </c>
      <c r="S117" s="33" t="n">
        <f aca="false">Q117-R117</f>
        <v>-0.8524176520501</v>
      </c>
      <c r="T117" s="33" t="n">
        <f aca="false">T116+(2/10)*(S117-T116)</f>
        <v>-1.06911322716249</v>
      </c>
      <c r="U117" s="33" t="n">
        <f aca="false">S117-T117</f>
        <v>0.216695575112392</v>
      </c>
      <c r="V117" s="32" t="str">
        <f aca="false">IF(M117="","",IF(M117&lt;Assumptions!$B$5,"BUY",IF(M117&gt;Assumptions!$B$4,"SELL","HOLD")))</f>
        <v>HOLD</v>
      </c>
      <c r="W117" s="32" t="str">
        <f aca="false">IF(O117="","",IF(E117&gt;O117,"BUY","SELL"))</f>
        <v>SELL</v>
      </c>
      <c r="X117" s="32" t="str">
        <f aca="false">IF(T117="","",IF(S117&gt;T117,"BUY","SELL"))</f>
        <v>BUY</v>
      </c>
      <c r="Y117" s="34" t="n">
        <f aca="false">IF(OR(V117="",W117="",X117=""),"",IFERROR(IF(V117="BUY",1,IF(V117="SELL",-1,0))+IF(W117="BUY",1,IF(W117="SELL",-1,0))+IF(X117="BUY",1,IF(X117="SELL",-1,0)),0))</f>
        <v>0</v>
      </c>
      <c r="Z117" s="32" t="str">
        <f aca="false">IF(Y117="","",IF(Y117&gt;=2,"STRONG BUY",IF(Y117=1,"BUY",IF(Y117=0,"HOLD",IF(Y117=-1,"SELL","STRONG SELL")))))</f>
        <v>HOLD</v>
      </c>
    </row>
    <row r="118" customFormat="false" ht="15" hidden="false" customHeight="false" outlineLevel="0" collapsed="false">
      <c r="A118" s="24" t="n">
        <v>45932</v>
      </c>
      <c r="B118" s="25" t="n">
        <v>63.95</v>
      </c>
      <c r="C118" s="25" t="n">
        <v>64.31</v>
      </c>
      <c r="D118" s="25" t="n">
        <v>63.61</v>
      </c>
      <c r="E118" s="25" t="n">
        <v>63.96</v>
      </c>
      <c r="F118" s="26" t="n">
        <v>8210155</v>
      </c>
      <c r="G118" s="27" t="n">
        <f aca="false">E118-E117</f>
        <v>0.490000000000002</v>
      </c>
      <c r="H118" s="28" t="n">
        <f aca="false">G118/E117</f>
        <v>0.00772018276351035</v>
      </c>
      <c r="I118" s="29" t="n">
        <f aca="false">MAX(G118,0)</f>
        <v>0.490000000000002</v>
      </c>
      <c r="J118" s="29" t="n">
        <f aca="false">MAX(-G118,0)</f>
        <v>0</v>
      </c>
      <c r="K118" s="29" t="n">
        <f aca="false">(K117*13+I118)/14</f>
        <v>0.388461759724461</v>
      </c>
      <c r="L118" s="29" t="n">
        <f aca="false">(L117*13+J118)/14</f>
        <v>0.385233114587039</v>
      </c>
      <c r="M118" s="31" t="n">
        <f aca="false">IF(L118=0,100,100-100/(1+K118/MAX(L118,0.000001)))</f>
        <v>50.2086510615891</v>
      </c>
      <c r="N118" s="30" t="n">
        <f aca="false">AVERAGE(E99:E118)</f>
        <v>62.9005</v>
      </c>
      <c r="O118" s="30" t="n">
        <f aca="false">AVERAGE(E69:E118)</f>
        <v>65.5922</v>
      </c>
      <c r="Q118" s="30" t="n">
        <f aca="false">Q117+(2/13)*(E118-Q117)</f>
        <v>63.1343817890059</v>
      </c>
      <c r="R118" s="30" t="n">
        <f aca="false">R117+(2/27)*(E118-R117)</f>
        <v>63.8458213324603</v>
      </c>
      <c r="S118" s="33" t="n">
        <f aca="false">Q118-R118</f>
        <v>-0.711439543454354</v>
      </c>
      <c r="T118" s="33" t="n">
        <f aca="false">T117+(2/10)*(S118-T117)</f>
        <v>-0.997578490420865</v>
      </c>
      <c r="U118" s="33" t="n">
        <f aca="false">S118-T118</f>
        <v>0.286138946966511</v>
      </c>
      <c r="V118" s="32" t="str">
        <f aca="false">IF(M118="","",IF(M118&lt;Assumptions!$B$5,"BUY",IF(M118&gt;Assumptions!$B$4,"SELL","HOLD")))</f>
        <v>HOLD</v>
      </c>
      <c r="W118" s="32" t="str">
        <f aca="false">IF(O118="","",IF(E118&gt;O118,"BUY","SELL"))</f>
        <v>SELL</v>
      </c>
      <c r="X118" s="32" t="str">
        <f aca="false">IF(T118="","",IF(S118&gt;T118,"BUY","SELL"))</f>
        <v>BUY</v>
      </c>
      <c r="Y118" s="34" t="n">
        <f aca="false">IF(OR(V118="",W118="",X118=""),"",IFERROR(IF(V118="BUY",1,IF(V118="SELL",-1,0))+IF(W118="BUY",1,IF(W118="SELL",-1,0))+IF(X118="BUY",1,IF(X118="SELL",-1,0)),0))</f>
        <v>0</v>
      </c>
      <c r="Z118" s="32" t="str">
        <f aca="false">IF(Y118="","",IF(Y118&gt;=2,"STRONG BUY",IF(Y118=1,"BUY",IF(Y118=0,"HOLD",IF(Y118=-1,"SELL","STRONG SELL")))))</f>
        <v>HOLD</v>
      </c>
    </row>
    <row r="119" customFormat="false" ht="15" hidden="false" customHeight="false" outlineLevel="0" collapsed="false">
      <c r="A119" s="24" t="n">
        <v>45933</v>
      </c>
      <c r="B119" s="25" t="n">
        <v>63.79</v>
      </c>
      <c r="C119" s="25" t="n">
        <v>63.79</v>
      </c>
      <c r="D119" s="25" t="n">
        <v>63.45</v>
      </c>
      <c r="E119" s="25" t="n">
        <v>63.62</v>
      </c>
      <c r="F119" s="26" t="n">
        <v>28812141</v>
      </c>
      <c r="G119" s="27" t="n">
        <f aca="false">E119-E118</f>
        <v>-0.340000000000003</v>
      </c>
      <c r="H119" s="28" t="n">
        <f aca="false">G119/E118</f>
        <v>-0.00531582238899317</v>
      </c>
      <c r="I119" s="29" t="n">
        <f aca="false">MAX(G119,0)</f>
        <v>0</v>
      </c>
      <c r="J119" s="29" t="n">
        <f aca="false">MAX(-G119,0)</f>
        <v>0.340000000000003</v>
      </c>
      <c r="K119" s="29" t="n">
        <f aca="false">(K118*13+I119)/14</f>
        <v>0.360714491172714</v>
      </c>
      <c r="L119" s="29" t="n">
        <f aca="false">(L118*13+J119)/14</f>
        <v>0.382002177830822</v>
      </c>
      <c r="M119" s="31" t="n">
        <f aca="false">IF(L119=0,100,100-100/(1+K119/MAX(L119,0.000001)))</f>
        <v>48.5669039388419</v>
      </c>
      <c r="N119" s="30" t="n">
        <f aca="false">AVERAGE(E100:E119)</f>
        <v>62.955</v>
      </c>
      <c r="O119" s="30" t="n">
        <f aca="false">AVERAGE(E70:E119)</f>
        <v>65.4706</v>
      </c>
      <c r="Q119" s="30" t="n">
        <f aca="false">Q118+(2/13)*(E119-Q118)</f>
        <v>63.209092283005</v>
      </c>
      <c r="R119" s="30" t="n">
        <f aca="false">R118+(2/27)*(E119-R118)</f>
        <v>63.8290938263521</v>
      </c>
      <c r="S119" s="33" t="n">
        <f aca="false">Q119-R119</f>
        <v>-0.620001543347094</v>
      </c>
      <c r="T119" s="33" t="n">
        <f aca="false">T118+(2/10)*(S119-T118)</f>
        <v>-0.922063101006111</v>
      </c>
      <c r="U119" s="33" t="n">
        <f aca="false">S119-T119</f>
        <v>0.302061557659017</v>
      </c>
      <c r="V119" s="32" t="str">
        <f aca="false">IF(M119="","",IF(M119&lt;Assumptions!$B$5,"BUY",IF(M119&gt;Assumptions!$B$4,"SELL","HOLD")))</f>
        <v>HOLD</v>
      </c>
      <c r="W119" s="32" t="str">
        <f aca="false">IF(O119="","",IF(E119&gt;O119,"BUY","SELL"))</f>
        <v>SELL</v>
      </c>
      <c r="X119" s="32" t="str">
        <f aca="false">IF(T119="","",IF(S119&gt;T119,"BUY","SELL"))</f>
        <v>BUY</v>
      </c>
      <c r="Y119" s="34" t="n">
        <f aca="false">IF(OR(V119="",W119="",X119=""),"",IFERROR(IF(V119="BUY",1,IF(V119="SELL",-1,0))+IF(W119="BUY",1,IF(W119="SELL",-1,0))+IF(X119="BUY",1,IF(X119="SELL",-1,0)),0))</f>
        <v>0</v>
      </c>
      <c r="Z119" s="32" t="str">
        <f aca="false">IF(Y119="","",IF(Y119&gt;=2,"STRONG BUY",IF(Y119=1,"BUY",IF(Y119=0,"HOLD",IF(Y119=-1,"SELL","STRONG SELL")))))</f>
        <v>HOLD</v>
      </c>
    </row>
    <row r="120" customFormat="false" ht="15" hidden="false" customHeight="false" outlineLevel="0" collapsed="false">
      <c r="A120" s="24" t="n">
        <v>45936</v>
      </c>
      <c r="B120" s="25" t="n">
        <v>64.38</v>
      </c>
      <c r="C120" s="25" t="n">
        <v>64.68</v>
      </c>
      <c r="D120" s="25" t="n">
        <v>63.8</v>
      </c>
      <c r="E120" s="25" t="n">
        <v>64.24</v>
      </c>
      <c r="F120" s="26" t="n">
        <v>25775386</v>
      </c>
      <c r="G120" s="27" t="n">
        <f aca="false">E120-E119</f>
        <v>0.619999999999997</v>
      </c>
      <c r="H120" s="28" t="n">
        <f aca="false">G120/E119</f>
        <v>0.00974536309336683</v>
      </c>
      <c r="I120" s="29" t="n">
        <f aca="false">MAX(G120,0)</f>
        <v>0.619999999999997</v>
      </c>
      <c r="J120" s="29" t="n">
        <f aca="false">MAX(-G120,0)</f>
        <v>0</v>
      </c>
      <c r="K120" s="29" t="n">
        <f aca="false">(K119*13+I120)/14</f>
        <v>0.379234884660377</v>
      </c>
      <c r="L120" s="29" t="n">
        <f aca="false">(L119*13+J120)/14</f>
        <v>0.354716307985764</v>
      </c>
      <c r="M120" s="31" t="n">
        <f aca="false">IF(L120=0,100,100-100/(1+K120/MAX(L120,0.000001)))</f>
        <v>51.6703138383232</v>
      </c>
      <c r="N120" s="30" t="n">
        <f aca="false">AVERAGE(E101:E120)</f>
        <v>63.0815</v>
      </c>
      <c r="O120" s="30" t="n">
        <f aca="false">AVERAGE(E71:E120)</f>
        <v>65.3686</v>
      </c>
      <c r="Q120" s="30" t="n">
        <f aca="false">Q119+(2/13)*(E120-Q119)</f>
        <v>63.367693470235</v>
      </c>
      <c r="R120" s="30" t="n">
        <f aca="false">R119+(2/27)*(E120-R119)</f>
        <v>63.8595313206964</v>
      </c>
      <c r="S120" s="33" t="n">
        <f aca="false">Q120-R120</f>
        <v>-0.49183785046138</v>
      </c>
      <c r="T120" s="33" t="n">
        <f aca="false">T119+(2/10)*(S120-T119)</f>
        <v>-0.836018050897165</v>
      </c>
      <c r="U120" s="33" t="n">
        <f aca="false">S120-T120</f>
        <v>0.344180200435785</v>
      </c>
      <c r="V120" s="32" t="str">
        <f aca="false">IF(M120="","",IF(M120&lt;Assumptions!$B$5,"BUY",IF(M120&gt;Assumptions!$B$4,"SELL","HOLD")))</f>
        <v>HOLD</v>
      </c>
      <c r="W120" s="32" t="str">
        <f aca="false">IF(O120="","",IF(E120&gt;O120,"BUY","SELL"))</f>
        <v>SELL</v>
      </c>
      <c r="X120" s="32" t="str">
        <f aca="false">IF(T120="","",IF(S120&gt;T120,"BUY","SELL"))</f>
        <v>BUY</v>
      </c>
      <c r="Y120" s="34" t="n">
        <f aca="false">IF(OR(V120="",W120="",X120=""),"",IFERROR(IF(V120="BUY",1,IF(V120="SELL",-1,0))+IF(W120="BUY",1,IF(W120="SELL",-1,0))+IF(X120="BUY",1,IF(X120="SELL",-1,0)),0))</f>
        <v>0</v>
      </c>
      <c r="Z120" s="32" t="str">
        <f aca="false">IF(Y120="","",IF(Y120&gt;=2,"STRONG BUY",IF(Y120=1,"BUY",IF(Y120=0,"HOLD",IF(Y120=-1,"SELL","STRONG SELL")))))</f>
        <v>HOLD</v>
      </c>
    </row>
    <row r="121" customFormat="false" ht="15" hidden="false" customHeight="false" outlineLevel="0" collapsed="false">
      <c r="A121" s="24" t="n">
        <v>45937</v>
      </c>
      <c r="B121" s="25" t="n">
        <v>64.07</v>
      </c>
      <c r="C121" s="25" t="n">
        <v>64.31</v>
      </c>
      <c r="D121" s="25" t="n">
        <v>64.07</v>
      </c>
      <c r="E121" s="25" t="n">
        <v>64.19</v>
      </c>
      <c r="F121" s="26" t="n">
        <v>25006025</v>
      </c>
      <c r="G121" s="27" t="n">
        <f aca="false">E121-E120</f>
        <v>-0.0499999999999972</v>
      </c>
      <c r="H121" s="28" t="n">
        <f aca="false">G121/E120</f>
        <v>-0.000778331257783268</v>
      </c>
      <c r="I121" s="29" t="n">
        <f aca="false">MAX(G121,0)</f>
        <v>0</v>
      </c>
      <c r="J121" s="29" t="n">
        <f aca="false">MAX(-G121,0)</f>
        <v>0.0499999999999972</v>
      </c>
      <c r="K121" s="29" t="n">
        <f aca="false">(K120*13+I121)/14</f>
        <v>0.352146678613208</v>
      </c>
      <c r="L121" s="29" t="n">
        <f aca="false">(L120*13+J121)/14</f>
        <v>0.332950857415352</v>
      </c>
      <c r="M121" s="31" t="n">
        <f aca="false">IF(L121=0,100,100-100/(1+K121/MAX(L121,0.000001)))</f>
        <v>51.4009553522212</v>
      </c>
      <c r="N121" s="30" t="n">
        <f aca="false">AVERAGE(E102:E121)</f>
        <v>63.106</v>
      </c>
      <c r="O121" s="30" t="n">
        <f aca="false">AVERAGE(E72:E121)</f>
        <v>65.2648</v>
      </c>
      <c r="Q121" s="30" t="n">
        <f aca="false">Q120+(2/13)*(E121-Q120)</f>
        <v>63.4942021671219</v>
      </c>
      <c r="R121" s="30" t="n">
        <f aca="false">R120+(2/27)*(E121-R120)</f>
        <v>63.8840104821263</v>
      </c>
      <c r="S121" s="33" t="n">
        <f aca="false">Q121-R121</f>
        <v>-0.389808315004359</v>
      </c>
      <c r="T121" s="33" t="n">
        <f aca="false">T120+(2/10)*(S121-T120)</f>
        <v>-0.746776103718603</v>
      </c>
      <c r="U121" s="33" t="n">
        <f aca="false">S121-T121</f>
        <v>0.356967788714244</v>
      </c>
      <c r="V121" s="32" t="str">
        <f aca="false">IF(M121="","",IF(M121&lt;Assumptions!$B$5,"BUY",IF(M121&gt;Assumptions!$B$4,"SELL","HOLD")))</f>
        <v>HOLD</v>
      </c>
      <c r="W121" s="32" t="str">
        <f aca="false">IF(O121="","",IF(E121&gt;O121,"BUY","SELL"))</f>
        <v>SELL</v>
      </c>
      <c r="X121" s="32" t="str">
        <f aca="false">IF(T121="","",IF(S121&gt;T121,"BUY","SELL"))</f>
        <v>BUY</v>
      </c>
      <c r="Y121" s="34" t="n">
        <f aca="false">IF(OR(V121="",W121="",X121=""),"",IFERROR(IF(V121="BUY",1,IF(V121="SELL",-1,0))+IF(W121="BUY",1,IF(W121="SELL",-1,0))+IF(X121="BUY",1,IF(X121="SELL",-1,0)),0))</f>
        <v>0</v>
      </c>
      <c r="Z121" s="32" t="str">
        <f aca="false">IF(Y121="","",IF(Y121&gt;=2,"STRONG BUY",IF(Y121=1,"BUY",IF(Y121=0,"HOLD",IF(Y121=-1,"SELL","STRONG SELL")))))</f>
        <v>HOLD</v>
      </c>
    </row>
    <row r="122" customFormat="false" ht="15" hidden="false" customHeight="false" outlineLevel="0" collapsed="false">
      <c r="A122" s="24" t="n">
        <v>45938</v>
      </c>
      <c r="B122" s="25" t="n">
        <v>62.02</v>
      </c>
      <c r="C122" s="25" t="n">
        <v>62.28</v>
      </c>
      <c r="D122" s="25" t="n">
        <v>61.84</v>
      </c>
      <c r="E122" s="25" t="n">
        <v>62.06</v>
      </c>
      <c r="F122" s="26" t="n">
        <v>31470642</v>
      </c>
      <c r="G122" s="27" t="n">
        <f aca="false">E122-E121</f>
        <v>-2.13</v>
      </c>
      <c r="H122" s="28" t="n">
        <f aca="false">G122/E121</f>
        <v>-0.0331827387443526</v>
      </c>
      <c r="I122" s="29" t="n">
        <f aca="false">MAX(G122,0)</f>
        <v>0</v>
      </c>
      <c r="J122" s="29" t="n">
        <f aca="false">MAX(-G122,0)</f>
        <v>2.13</v>
      </c>
      <c r="K122" s="29" t="n">
        <f aca="false">(K121*13+I122)/14</f>
        <v>0.32699334442655</v>
      </c>
      <c r="L122" s="29" t="n">
        <f aca="false">(L121*13+J122)/14</f>
        <v>0.461311510457112</v>
      </c>
      <c r="M122" s="31" t="n">
        <f aca="false">IF(L122=0,100,100-100/(1+K122/MAX(L122,0.000001)))</f>
        <v>41.4805696553534</v>
      </c>
      <c r="N122" s="30" t="n">
        <f aca="false">AVERAGE(E103:E122)</f>
        <v>63.0635</v>
      </c>
      <c r="O122" s="30" t="n">
        <f aca="false">AVERAGE(E73:E122)</f>
        <v>65.131</v>
      </c>
      <c r="Q122" s="30" t="n">
        <f aca="false">Q121+(2/13)*(E122-Q121)</f>
        <v>63.2735556798724</v>
      </c>
      <c r="R122" s="30" t="n">
        <f aca="false">R121+(2/27)*(E122-R121)</f>
        <v>63.7488985945614</v>
      </c>
      <c r="S122" s="33" t="n">
        <f aca="false">Q122-R122</f>
        <v>-0.475342914688973</v>
      </c>
      <c r="T122" s="33" t="n">
        <f aca="false">T121+(2/10)*(S122-T121)</f>
        <v>-0.692489465912677</v>
      </c>
      <c r="U122" s="33" t="n">
        <f aca="false">S122-T122</f>
        <v>0.217146551223704</v>
      </c>
      <c r="V122" s="32" t="str">
        <f aca="false">IF(M122="","",IF(M122&lt;Assumptions!$B$5,"BUY",IF(M122&gt;Assumptions!$B$4,"SELL","HOLD")))</f>
        <v>HOLD</v>
      </c>
      <c r="W122" s="32" t="str">
        <f aca="false">IF(O122="","",IF(E122&gt;O122,"BUY","SELL"))</f>
        <v>SELL</v>
      </c>
      <c r="X122" s="32" t="str">
        <f aca="false">IF(T122="","",IF(S122&gt;T122,"BUY","SELL"))</f>
        <v>BUY</v>
      </c>
      <c r="Y122" s="34" t="n">
        <f aca="false">IF(OR(V122="",W122="",X122=""),"",IFERROR(IF(V122="BUY",1,IF(V122="SELL",-1,0))+IF(W122="BUY",1,IF(W122="SELL",-1,0))+IF(X122="BUY",1,IF(X122="SELL",-1,0)),0))</f>
        <v>0</v>
      </c>
      <c r="Z122" s="32" t="str">
        <f aca="false">IF(Y122="","",IF(Y122&gt;=2,"STRONG BUY",IF(Y122=1,"BUY",IF(Y122=0,"HOLD",IF(Y122=-1,"SELL","STRONG SELL")))))</f>
        <v>HOLD</v>
      </c>
    </row>
    <row r="123" customFormat="false" ht="15" hidden="false" customHeight="false" outlineLevel="0" collapsed="false">
      <c r="A123" s="24" t="n">
        <v>45939</v>
      </c>
      <c r="B123" s="25" t="n">
        <v>61.92</v>
      </c>
      <c r="C123" s="25" t="n">
        <v>62.52</v>
      </c>
      <c r="D123" s="25" t="n">
        <v>61.92</v>
      </c>
      <c r="E123" s="25" t="n">
        <v>62.22</v>
      </c>
      <c r="F123" s="26" t="n">
        <v>20901588</v>
      </c>
      <c r="G123" s="27" t="n">
        <f aca="false">E123-E122</f>
        <v>0.159999999999997</v>
      </c>
      <c r="H123" s="28" t="n">
        <f aca="false">G123/E122</f>
        <v>0.00257815017724777</v>
      </c>
      <c r="I123" s="29" t="n">
        <f aca="false">MAX(G123,0)</f>
        <v>0.159999999999997</v>
      </c>
      <c r="J123" s="29" t="n">
        <f aca="false">MAX(-G123,0)</f>
        <v>0</v>
      </c>
      <c r="K123" s="29" t="n">
        <f aca="false">(K122*13+I123)/14</f>
        <v>0.315065248396082</v>
      </c>
      <c r="L123" s="29" t="n">
        <f aca="false">(L122*13+J123)/14</f>
        <v>0.428360688281604</v>
      </c>
      <c r="M123" s="31" t="n">
        <f aca="false">IF(L123=0,100,100-100/(1+K123/MAX(L123,0.000001)))</f>
        <v>42.3801797666738</v>
      </c>
      <c r="N123" s="30" t="n">
        <f aca="false">AVERAGE(E104:E123)</f>
        <v>63.0485</v>
      </c>
      <c r="O123" s="30" t="n">
        <f aca="false">AVERAGE(E74:E123)</f>
        <v>64.9442</v>
      </c>
      <c r="Q123" s="30" t="n">
        <f aca="false">Q122+(2/13)*(E123-Q122)</f>
        <v>63.1114701906613</v>
      </c>
      <c r="R123" s="30" t="n">
        <f aca="false">R122+(2/27)*(E123-R122)</f>
        <v>63.6356468468161</v>
      </c>
      <c r="S123" s="33" t="n">
        <f aca="false">Q123-R123</f>
        <v>-0.524176656154822</v>
      </c>
      <c r="T123" s="33" t="n">
        <f aca="false">T122+(2/10)*(S123-T122)</f>
        <v>-0.658826903961106</v>
      </c>
      <c r="U123" s="33" t="n">
        <f aca="false">S123-T123</f>
        <v>0.134650247806284</v>
      </c>
      <c r="V123" s="32" t="str">
        <f aca="false">IF(M123="","",IF(M123&lt;Assumptions!$B$5,"BUY",IF(M123&gt;Assumptions!$B$4,"SELL","HOLD")))</f>
        <v>HOLD</v>
      </c>
      <c r="W123" s="32" t="str">
        <f aca="false">IF(O123="","",IF(E123&gt;O123,"BUY","SELL"))</f>
        <v>SELL</v>
      </c>
      <c r="X123" s="32" t="str">
        <f aca="false">IF(T123="","",IF(S123&gt;T123,"BUY","SELL"))</f>
        <v>BUY</v>
      </c>
      <c r="Y123" s="34" t="n">
        <f aca="false">IF(OR(V123="",W123="",X123=""),"",IFERROR(IF(V123="BUY",1,IF(V123="SELL",-1,0))+IF(W123="BUY",1,IF(W123="SELL",-1,0))+IF(X123="BUY",1,IF(X123="SELL",-1,0)),0))</f>
        <v>0</v>
      </c>
      <c r="Z123" s="32" t="str">
        <f aca="false">IF(Y123="","",IF(Y123&gt;=2,"STRONG BUY",IF(Y123=1,"BUY",IF(Y123=0,"HOLD",IF(Y123=-1,"SELL","STRONG SELL")))))</f>
        <v>HOLD</v>
      </c>
    </row>
    <row r="124" customFormat="false" ht="15" hidden="false" customHeight="false" outlineLevel="0" collapsed="false">
      <c r="A124" s="24" t="n">
        <v>45940</v>
      </c>
      <c r="B124" s="25" t="n">
        <v>62.56</v>
      </c>
      <c r="C124" s="25" t="n">
        <v>62.71</v>
      </c>
      <c r="D124" s="25" t="n">
        <v>61.51</v>
      </c>
      <c r="E124" s="25" t="n">
        <v>62.11</v>
      </c>
      <c r="F124" s="26" t="n">
        <v>28235467</v>
      </c>
      <c r="G124" s="27" t="n">
        <f aca="false">E124-E123</f>
        <v>-0.109999999999999</v>
      </c>
      <c r="H124" s="28" t="n">
        <f aca="false">G124/E123</f>
        <v>-0.00176792028286724</v>
      </c>
      <c r="I124" s="29" t="n">
        <f aca="false">MAX(G124,0)</f>
        <v>0</v>
      </c>
      <c r="J124" s="29" t="n">
        <f aca="false">MAX(-G124,0)</f>
        <v>0.109999999999999</v>
      </c>
      <c r="K124" s="29" t="n">
        <f aca="false">(K123*13+I124)/14</f>
        <v>0.292560587796362</v>
      </c>
      <c r="L124" s="29" t="n">
        <f aca="false">(L123*13+J124)/14</f>
        <v>0.405620639118632</v>
      </c>
      <c r="M124" s="31" t="n">
        <f aca="false">IF(L124=0,100,100-100/(1+K124/MAX(L124,0.000001)))</f>
        <v>41.9032446760391</v>
      </c>
      <c r="N124" s="30" t="n">
        <f aca="false">AVERAGE(E105:E124)</f>
        <v>63.036</v>
      </c>
      <c r="O124" s="30" t="n">
        <f aca="false">AVERAGE(E75:E124)</f>
        <v>64.7606</v>
      </c>
      <c r="Q124" s="30" t="n">
        <f aca="false">Q123+(2/13)*(E124-Q123)</f>
        <v>62.9573978536364</v>
      </c>
      <c r="R124" s="30" t="n">
        <f aca="false">R123+(2/27)*(E124-R123)</f>
        <v>63.5226359692741</v>
      </c>
      <c r="S124" s="33" t="n">
        <f aca="false">Q124-R124</f>
        <v>-0.565238115637698</v>
      </c>
      <c r="T124" s="33" t="n">
        <f aca="false">T123+(2/10)*(S124-T123)</f>
        <v>-0.640109146296424</v>
      </c>
      <c r="U124" s="33" t="n">
        <f aca="false">S124-T124</f>
        <v>0.0748710306587268</v>
      </c>
      <c r="V124" s="32" t="str">
        <f aca="false">IF(M124="","",IF(M124&lt;Assumptions!$B$5,"BUY",IF(M124&gt;Assumptions!$B$4,"SELL","HOLD")))</f>
        <v>HOLD</v>
      </c>
      <c r="W124" s="32" t="str">
        <f aca="false">IF(O124="","",IF(E124&gt;O124,"BUY","SELL"))</f>
        <v>SELL</v>
      </c>
      <c r="X124" s="32" t="str">
        <f aca="false">IF(T124="","",IF(S124&gt;T124,"BUY","SELL"))</f>
        <v>BUY</v>
      </c>
      <c r="Y124" s="34" t="n">
        <f aca="false">IF(OR(V124="",W124="",X124=""),"",IFERROR(IF(V124="BUY",1,IF(V124="SELL",-1,0))+IF(W124="BUY",1,IF(W124="SELL",-1,0))+IF(X124="BUY",1,IF(X124="SELL",-1,0)),0))</f>
        <v>0</v>
      </c>
      <c r="Z124" s="32" t="str">
        <f aca="false">IF(Y124="","",IF(Y124&gt;=2,"STRONG BUY",IF(Y124=1,"BUY",IF(Y124=0,"HOLD",IF(Y124=-1,"SELL","STRONG SELL")))))</f>
        <v>HOLD</v>
      </c>
    </row>
    <row r="125" customFormat="false" ht="15" hidden="false" customHeight="false" outlineLevel="0" collapsed="false">
      <c r="A125" s="24" t="n">
        <v>45943</v>
      </c>
      <c r="B125" s="25" t="n">
        <v>62.74</v>
      </c>
      <c r="C125" s="25" t="n">
        <v>63.04</v>
      </c>
      <c r="D125" s="25" t="n">
        <v>61.84</v>
      </c>
      <c r="E125" s="25" t="n">
        <v>62.44</v>
      </c>
      <c r="F125" s="26" t="n">
        <v>23845099</v>
      </c>
      <c r="G125" s="27" t="n">
        <f aca="false">E125-E124</f>
        <v>0.329999999999998</v>
      </c>
      <c r="H125" s="28" t="n">
        <f aca="false">G125/E124</f>
        <v>0.00531315408146834</v>
      </c>
      <c r="I125" s="29" t="n">
        <f aca="false">MAX(G125,0)</f>
        <v>0.329999999999998</v>
      </c>
      <c r="J125" s="29" t="n">
        <f aca="false">MAX(-G125,0)</f>
        <v>0</v>
      </c>
      <c r="K125" s="29" t="n">
        <f aca="false">(K124*13+I125)/14</f>
        <v>0.295234831525193</v>
      </c>
      <c r="L125" s="29" t="n">
        <f aca="false">(L124*13+J125)/14</f>
        <v>0.376647736324444</v>
      </c>
      <c r="M125" s="31" t="n">
        <f aca="false">IF(L125=0,100,100-100/(1+K125/MAX(L125,0.000001)))</f>
        <v>43.9414334665793</v>
      </c>
      <c r="N125" s="30" t="n">
        <f aca="false">AVERAGE(E106:E125)</f>
        <v>63.0525</v>
      </c>
      <c r="O125" s="30" t="n">
        <f aca="false">AVERAGE(E76:E125)</f>
        <v>64.5794</v>
      </c>
      <c r="Q125" s="30" t="n">
        <f aca="false">Q124+(2/13)*(E125-Q124)</f>
        <v>62.8777981838462</v>
      </c>
      <c r="R125" s="30" t="n">
        <f aca="false">R124+(2/27)*(E125-R124)</f>
        <v>63.4424407122909</v>
      </c>
      <c r="S125" s="33" t="n">
        <f aca="false">Q125-R125</f>
        <v>-0.564642528444651</v>
      </c>
      <c r="T125" s="33" t="n">
        <f aca="false">T124+(2/10)*(S125-T124)</f>
        <v>-0.62501582272607</v>
      </c>
      <c r="U125" s="33" t="n">
        <f aca="false">S125-T125</f>
        <v>0.0603732942814188</v>
      </c>
      <c r="V125" s="32" t="str">
        <f aca="false">IF(M125="","",IF(M125&lt;Assumptions!$B$5,"BUY",IF(M125&gt;Assumptions!$B$4,"SELL","HOLD")))</f>
        <v>HOLD</v>
      </c>
      <c r="W125" s="32" t="str">
        <f aca="false">IF(O125="","",IF(E125&gt;O125,"BUY","SELL"))</f>
        <v>SELL</v>
      </c>
      <c r="X125" s="32" t="str">
        <f aca="false">IF(T125="","",IF(S125&gt;T125,"BUY","SELL"))</f>
        <v>BUY</v>
      </c>
      <c r="Y125" s="34" t="n">
        <f aca="false">IF(OR(V125="",W125="",X125=""),"",IFERROR(IF(V125="BUY",1,IF(V125="SELL",-1,0))+IF(W125="BUY",1,IF(W125="SELL",-1,0))+IF(X125="BUY",1,IF(X125="SELL",-1,0)),0))</f>
        <v>0</v>
      </c>
      <c r="Z125" s="32" t="str">
        <f aca="false">IF(Y125="","",IF(Y125&gt;=2,"STRONG BUY",IF(Y125=1,"BUY",IF(Y125=0,"HOLD",IF(Y125=-1,"SELL","STRONG SELL")))))</f>
        <v>HOLD</v>
      </c>
    </row>
    <row r="126" customFormat="false" ht="15" hidden="false" customHeight="false" outlineLevel="0" collapsed="false">
      <c r="A126" s="24" t="n">
        <v>45944</v>
      </c>
      <c r="B126" s="25" t="n">
        <v>61.7</v>
      </c>
      <c r="C126" s="25" t="n">
        <v>62.46</v>
      </c>
      <c r="D126" s="25" t="n">
        <v>60.98</v>
      </c>
      <c r="E126" s="25" t="n">
        <v>61.72</v>
      </c>
      <c r="F126" s="26" t="n">
        <v>13780866</v>
      </c>
      <c r="G126" s="27" t="n">
        <f aca="false">E126-E125</f>
        <v>-0.719999999999999</v>
      </c>
      <c r="H126" s="28" t="n">
        <f aca="false">G126/E125</f>
        <v>-0.0115310698270339</v>
      </c>
      <c r="I126" s="29" t="n">
        <f aca="false">MAX(G126,0)</f>
        <v>0</v>
      </c>
      <c r="J126" s="29" t="n">
        <f aca="false">MAX(-G126,0)</f>
        <v>0.719999999999999</v>
      </c>
      <c r="K126" s="29" t="n">
        <f aca="false">(K125*13+I126)/14</f>
        <v>0.274146629273393</v>
      </c>
      <c r="L126" s="29" t="n">
        <f aca="false">(L125*13+J126)/14</f>
        <v>0.401172898015555</v>
      </c>
      <c r="M126" s="31" t="n">
        <f aca="false">IF(L126=0,100,100-100/(1+K126/MAX(L126,0.000001)))</f>
        <v>40.5950987932997</v>
      </c>
      <c r="N126" s="30" t="n">
        <f aca="false">AVERAGE(E107:E126)</f>
        <v>62.976</v>
      </c>
      <c r="O126" s="30" t="n">
        <f aca="false">AVERAGE(E77:E126)</f>
        <v>64.394</v>
      </c>
      <c r="Q126" s="30" t="n">
        <f aca="false">Q125+(2/13)*(E126-Q125)</f>
        <v>62.6996753863314</v>
      </c>
      <c r="R126" s="30" t="n">
        <f aca="false">R125+(2/27)*(E126-R125)</f>
        <v>63.3148525113804</v>
      </c>
      <c r="S126" s="33" t="n">
        <f aca="false">Q126-R126</f>
        <v>-0.615177125049016</v>
      </c>
      <c r="T126" s="33" t="n">
        <f aca="false">T125+(2/10)*(S126-T125)</f>
        <v>-0.623048083190659</v>
      </c>
      <c r="U126" s="33" t="n">
        <f aca="false">S126-T126</f>
        <v>0.00787095814164318</v>
      </c>
      <c r="V126" s="32" t="str">
        <f aca="false">IF(M126="","",IF(M126&lt;Assumptions!$B$5,"BUY",IF(M126&gt;Assumptions!$B$4,"SELL","HOLD")))</f>
        <v>HOLD</v>
      </c>
      <c r="W126" s="32" t="str">
        <f aca="false">IF(O126="","",IF(E126&gt;O126,"BUY","SELL"))</f>
        <v>SELL</v>
      </c>
      <c r="X126" s="32" t="str">
        <f aca="false">IF(T126="","",IF(S126&gt;T126,"BUY","SELL"))</f>
        <v>BUY</v>
      </c>
      <c r="Y126" s="34" t="n">
        <f aca="false">IF(OR(V126="",W126="",X126=""),"",IFERROR(IF(V126="BUY",1,IF(V126="SELL",-1,0))+IF(W126="BUY",1,IF(W126="SELL",-1,0))+IF(X126="BUY",1,IF(X126="SELL",-1,0)),0))</f>
        <v>0</v>
      </c>
      <c r="Z126" s="32" t="str">
        <f aca="false">IF(Y126="","",IF(Y126&gt;=2,"STRONG BUY",IF(Y126=1,"BUY",IF(Y126=0,"HOLD",IF(Y126=-1,"SELL","STRONG SELL")))))</f>
        <v>HOLD</v>
      </c>
    </row>
    <row r="127" customFormat="false" ht="15" hidden="false" customHeight="false" outlineLevel="0" collapsed="false">
      <c r="A127" s="24" t="n">
        <v>45945</v>
      </c>
      <c r="B127" s="25" t="n">
        <v>61.57</v>
      </c>
      <c r="C127" s="25" t="n">
        <v>61.57</v>
      </c>
      <c r="D127" s="25" t="n">
        <v>61.47</v>
      </c>
      <c r="E127" s="25" t="n">
        <v>61.52</v>
      </c>
      <c r="F127" s="26" t="n">
        <v>27176167</v>
      </c>
      <c r="G127" s="27" t="n">
        <f aca="false">E127-E126</f>
        <v>-0.199999999999996</v>
      </c>
      <c r="H127" s="28" t="n">
        <f aca="false">G127/E126</f>
        <v>-0.00324044069993512</v>
      </c>
      <c r="I127" s="29" t="n">
        <f aca="false">MAX(G127,0)</f>
        <v>0</v>
      </c>
      <c r="J127" s="29" t="n">
        <f aca="false">MAX(-G127,0)</f>
        <v>0.199999999999996</v>
      </c>
      <c r="K127" s="29" t="n">
        <f aca="false">(K126*13+I127)/14</f>
        <v>0.254564727182437</v>
      </c>
      <c r="L127" s="29" t="n">
        <f aca="false">(L126*13+J127)/14</f>
        <v>0.386803405300158</v>
      </c>
      <c r="M127" s="31" t="n">
        <f aca="false">IF(L127=0,100,100-100/(1+K127/MAX(L127,0.000001)))</f>
        <v>39.6908911262979</v>
      </c>
      <c r="N127" s="30" t="n">
        <f aca="false">AVERAGE(E108:E127)</f>
        <v>62.916</v>
      </c>
      <c r="O127" s="30" t="n">
        <f aca="false">AVERAGE(E78:E127)</f>
        <v>64.2596</v>
      </c>
      <c r="Q127" s="30" t="n">
        <f aca="false">Q126+(2/13)*(E127-Q126)</f>
        <v>62.5181868653574</v>
      </c>
      <c r="R127" s="30" t="n">
        <f aca="false">R126+(2/27)*(E127-R126)</f>
        <v>63.1819004735004</v>
      </c>
      <c r="S127" s="33" t="n">
        <f aca="false">Q127-R127</f>
        <v>-0.663713608143048</v>
      </c>
      <c r="T127" s="33" t="n">
        <f aca="false">T126+(2/10)*(S127-T126)</f>
        <v>-0.631181188181137</v>
      </c>
      <c r="U127" s="33" t="n">
        <f aca="false">S127-T127</f>
        <v>-0.0325324199619116</v>
      </c>
      <c r="V127" s="32" t="str">
        <f aca="false">IF(M127="","",IF(M127&lt;Assumptions!$B$5,"BUY",IF(M127&gt;Assumptions!$B$4,"SELL","HOLD")))</f>
        <v>HOLD</v>
      </c>
      <c r="W127" s="32" t="str">
        <f aca="false">IF(O127="","",IF(E127&gt;O127,"BUY","SELL"))</f>
        <v>SELL</v>
      </c>
      <c r="X127" s="32" t="str">
        <f aca="false">IF(T127="","",IF(S127&gt;T127,"BUY","SELL"))</f>
        <v>SELL</v>
      </c>
      <c r="Y127" s="34" t="n">
        <f aca="false">IF(OR(V127="",W127="",X127=""),"",IFERROR(IF(V127="BUY",1,IF(V127="SELL",-1,0))+IF(W127="BUY",1,IF(W127="SELL",-1,0))+IF(X127="BUY",1,IF(X127="SELL",-1,0)),0))</f>
        <v>-2</v>
      </c>
      <c r="Z127" s="32" t="str">
        <f aca="false">IF(Y127="","",IF(Y127&gt;=2,"STRONG BUY",IF(Y127=1,"BUY",IF(Y127=0,"HOLD",IF(Y127=-1,"SELL","STRONG SELL")))))</f>
        <v>STRONG SELL</v>
      </c>
    </row>
    <row r="128" customFormat="false" ht="15" hidden="false" customHeight="false" outlineLevel="0" collapsed="false">
      <c r="A128" s="24" t="n">
        <v>45946</v>
      </c>
      <c r="B128" s="25" t="n">
        <v>62.3</v>
      </c>
      <c r="C128" s="25" t="n">
        <v>62.88</v>
      </c>
      <c r="D128" s="25" t="n">
        <v>62.3</v>
      </c>
      <c r="E128" s="25" t="n">
        <v>62.59</v>
      </c>
      <c r="F128" s="26" t="n">
        <v>7824160</v>
      </c>
      <c r="G128" s="27" t="n">
        <f aca="false">E128-E127</f>
        <v>1.07</v>
      </c>
      <c r="H128" s="28" t="n">
        <f aca="false">G128/E127</f>
        <v>0.0173927178153446</v>
      </c>
      <c r="I128" s="29" t="n">
        <f aca="false">MAX(G128,0)</f>
        <v>1.07</v>
      </c>
      <c r="J128" s="29" t="n">
        <f aca="false">MAX(-G128,0)</f>
        <v>0</v>
      </c>
      <c r="K128" s="29" t="n">
        <f aca="false">(K127*13+I128)/14</f>
        <v>0.312810103812263</v>
      </c>
      <c r="L128" s="29" t="n">
        <f aca="false">(L127*13+J128)/14</f>
        <v>0.359174590635861</v>
      </c>
      <c r="M128" s="31" t="n">
        <f aca="false">IF(L128=0,100,100-100/(1+K128/MAX(L128,0.000001)))</f>
        <v>46.5501828236076</v>
      </c>
      <c r="N128" s="30" t="n">
        <f aca="false">AVERAGE(E109:E128)</f>
        <v>62.8685</v>
      </c>
      <c r="O128" s="30" t="n">
        <f aca="false">AVERAGE(E79:E128)</f>
        <v>64.1178</v>
      </c>
      <c r="Q128" s="30" t="n">
        <f aca="false">Q127+(2/13)*(E128-Q127)</f>
        <v>62.5292350399178</v>
      </c>
      <c r="R128" s="30" t="n">
        <f aca="false">R127+(2/27)*(E128-R127)</f>
        <v>63.1380559939819</v>
      </c>
      <c r="S128" s="33" t="n">
        <f aca="false">Q128-R128</f>
        <v>-0.608820954064093</v>
      </c>
      <c r="T128" s="33" t="n">
        <f aca="false">T127+(2/10)*(S128-T127)</f>
        <v>-0.626709141357728</v>
      </c>
      <c r="U128" s="33" t="n">
        <f aca="false">S128-T128</f>
        <v>0.0178881872936348</v>
      </c>
      <c r="V128" s="32" t="str">
        <f aca="false">IF(M128="","",IF(M128&lt;Assumptions!$B$5,"BUY",IF(M128&gt;Assumptions!$B$4,"SELL","HOLD")))</f>
        <v>HOLD</v>
      </c>
      <c r="W128" s="32" t="str">
        <f aca="false">IF(O128="","",IF(E128&gt;O128,"BUY","SELL"))</f>
        <v>SELL</v>
      </c>
      <c r="X128" s="32" t="str">
        <f aca="false">IF(T128="","",IF(S128&gt;T128,"BUY","SELL"))</f>
        <v>BUY</v>
      </c>
      <c r="Y128" s="34" t="n">
        <f aca="false">IF(OR(V128="",W128="",X128=""),"",IFERROR(IF(V128="BUY",1,IF(V128="SELL",-1,0))+IF(W128="BUY",1,IF(W128="SELL",-1,0))+IF(X128="BUY",1,IF(X128="SELL",-1,0)),0))</f>
        <v>0</v>
      </c>
      <c r="Z128" s="32" t="str">
        <f aca="false">IF(Y128="","",IF(Y128&gt;=2,"STRONG BUY",IF(Y128=1,"BUY",IF(Y128=0,"HOLD",IF(Y128=-1,"SELL","STRONG SELL")))))</f>
        <v>HOLD</v>
      </c>
    </row>
    <row r="129" customFormat="false" ht="15" hidden="false" customHeight="false" outlineLevel="0" collapsed="false">
      <c r="A129" s="24" t="n">
        <v>45947</v>
      </c>
      <c r="B129" s="25" t="n">
        <v>62.86</v>
      </c>
      <c r="C129" s="25" t="n">
        <v>63.16</v>
      </c>
      <c r="D129" s="25" t="n">
        <v>61.74</v>
      </c>
      <c r="E129" s="25" t="n">
        <v>62.45</v>
      </c>
      <c r="F129" s="26" t="n">
        <v>32489631</v>
      </c>
      <c r="G129" s="27" t="n">
        <f aca="false">E129-E128</f>
        <v>-0.140000000000001</v>
      </c>
      <c r="H129" s="28" t="n">
        <f aca="false">G129/E128</f>
        <v>-0.00223677903818502</v>
      </c>
      <c r="I129" s="29" t="n">
        <f aca="false">MAX(G129,0)</f>
        <v>0</v>
      </c>
      <c r="J129" s="29" t="n">
        <f aca="false">MAX(-G129,0)</f>
        <v>0.140000000000001</v>
      </c>
      <c r="K129" s="29" t="n">
        <f aca="false">(K128*13+I129)/14</f>
        <v>0.29046652496853</v>
      </c>
      <c r="L129" s="29" t="n">
        <f aca="false">(L128*13+J129)/14</f>
        <v>0.3435192627333</v>
      </c>
      <c r="M129" s="31" t="n">
        <f aca="false">IF(L129=0,100,100-100/(1+K129/MAX(L129,0.000001)))</f>
        <v>45.8159363511062</v>
      </c>
      <c r="N129" s="30" t="n">
        <f aca="false">AVERAGE(E110:E129)</f>
        <v>62.854</v>
      </c>
      <c r="O129" s="30" t="n">
        <f aca="false">AVERAGE(E80:E129)</f>
        <v>64.0376</v>
      </c>
      <c r="Q129" s="30" t="n">
        <f aca="false">Q128+(2/13)*(E129-Q128)</f>
        <v>62.5170450337766</v>
      </c>
      <c r="R129" s="30" t="n">
        <f aca="false">R128+(2/27)*(E129-R128)</f>
        <v>63.0870888833165</v>
      </c>
      <c r="S129" s="33" t="n">
        <f aca="false">Q129-R129</f>
        <v>-0.570043849539964</v>
      </c>
      <c r="T129" s="33" t="n">
        <f aca="false">T128+(2/10)*(S129-T128)</f>
        <v>-0.615376082994175</v>
      </c>
      <c r="U129" s="33" t="n">
        <f aca="false">S129-T129</f>
        <v>0.0453322334542114</v>
      </c>
      <c r="V129" s="32" t="str">
        <f aca="false">IF(M129="","",IF(M129&lt;Assumptions!$B$5,"BUY",IF(M129&gt;Assumptions!$B$4,"SELL","HOLD")))</f>
        <v>HOLD</v>
      </c>
      <c r="W129" s="32" t="str">
        <f aca="false">IF(O129="","",IF(E129&gt;O129,"BUY","SELL"))</f>
        <v>SELL</v>
      </c>
      <c r="X129" s="32" t="str">
        <f aca="false">IF(T129="","",IF(S129&gt;T129,"BUY","SELL"))</f>
        <v>BUY</v>
      </c>
      <c r="Y129" s="34" t="n">
        <f aca="false">IF(OR(V129="",W129="",X129=""),"",IFERROR(IF(V129="BUY",1,IF(V129="SELL",-1,0))+IF(W129="BUY",1,IF(W129="SELL",-1,0))+IF(X129="BUY",1,IF(X129="SELL",-1,0)),0))</f>
        <v>0</v>
      </c>
      <c r="Z129" s="32" t="str">
        <f aca="false">IF(Y129="","",IF(Y129&gt;=2,"STRONG BUY",IF(Y129=1,"BUY",IF(Y129=0,"HOLD",IF(Y129=-1,"SELL","STRONG SELL")))))</f>
        <v>HOLD</v>
      </c>
    </row>
    <row r="130" customFormat="false" ht="15" hidden="false" customHeight="false" outlineLevel="0" collapsed="false">
      <c r="A130" s="24" t="n">
        <v>45950</v>
      </c>
      <c r="B130" s="25" t="n">
        <v>62.02</v>
      </c>
      <c r="C130" s="25" t="n">
        <v>62.11</v>
      </c>
      <c r="D130" s="25" t="n">
        <v>62.01</v>
      </c>
      <c r="E130" s="25" t="n">
        <v>62.06</v>
      </c>
      <c r="F130" s="26" t="n">
        <v>24545263</v>
      </c>
      <c r="G130" s="27" t="n">
        <f aca="false">E130-E129</f>
        <v>-0.390000000000001</v>
      </c>
      <c r="H130" s="28" t="n">
        <f aca="false">G130/E129</f>
        <v>-0.00624499599679745</v>
      </c>
      <c r="I130" s="29" t="n">
        <f aca="false">MAX(G130,0)</f>
        <v>0</v>
      </c>
      <c r="J130" s="29" t="n">
        <f aca="false">MAX(-G130,0)</f>
        <v>0.390000000000001</v>
      </c>
      <c r="K130" s="29" t="n">
        <f aca="false">(K129*13+I130)/14</f>
        <v>0.269718916042206</v>
      </c>
      <c r="L130" s="29" t="n">
        <f aca="false">(L129*13+J130)/14</f>
        <v>0.346839315395207</v>
      </c>
      <c r="M130" s="31" t="n">
        <f aca="false">IF(L130=0,100,100-100/(1+K130/MAX(L130,0.000001)))</f>
        <v>43.745894919511</v>
      </c>
      <c r="N130" s="30" t="n">
        <f aca="false">AVERAGE(E111:E130)</f>
        <v>62.783</v>
      </c>
      <c r="O130" s="30" t="n">
        <f aca="false">AVERAGE(E81:E130)</f>
        <v>63.9222</v>
      </c>
      <c r="Q130" s="30" t="n">
        <f aca="false">Q129+(2/13)*(E130-Q129)</f>
        <v>62.4467304131956</v>
      </c>
      <c r="R130" s="30" t="n">
        <f aca="false">R129+(2/27)*(E130-R129)</f>
        <v>63.0110082252931</v>
      </c>
      <c r="S130" s="33" t="n">
        <f aca="false">Q130-R130</f>
        <v>-0.564277812097522</v>
      </c>
      <c r="T130" s="33" t="n">
        <f aca="false">T129+(2/10)*(S130-T129)</f>
        <v>-0.605156428814845</v>
      </c>
      <c r="U130" s="33" t="n">
        <f aca="false">S130-T130</f>
        <v>0.0408786167173224</v>
      </c>
      <c r="V130" s="32" t="str">
        <f aca="false">IF(M130="","",IF(M130&lt;Assumptions!$B$5,"BUY",IF(M130&gt;Assumptions!$B$4,"SELL","HOLD")))</f>
        <v>HOLD</v>
      </c>
      <c r="W130" s="32" t="str">
        <f aca="false">IF(O130="","",IF(E130&gt;O130,"BUY","SELL"))</f>
        <v>SELL</v>
      </c>
      <c r="X130" s="32" t="str">
        <f aca="false">IF(T130="","",IF(S130&gt;T130,"BUY","SELL"))</f>
        <v>BUY</v>
      </c>
      <c r="Y130" s="34" t="n">
        <f aca="false">IF(OR(V130="",W130="",X130=""),"",IFERROR(IF(V130="BUY",1,IF(V130="SELL",-1,0))+IF(W130="BUY",1,IF(W130="SELL",-1,0))+IF(X130="BUY",1,IF(X130="SELL",-1,0)),0))</f>
        <v>0</v>
      </c>
      <c r="Z130" s="32" t="str">
        <f aca="false">IF(Y130="","",IF(Y130&gt;=2,"STRONG BUY",IF(Y130=1,"BUY",IF(Y130=0,"HOLD",IF(Y130=-1,"SELL","STRONG SELL")))))</f>
        <v>HOLD</v>
      </c>
    </row>
    <row r="131" customFormat="false" ht="15" hidden="false" customHeight="false" outlineLevel="0" collapsed="false">
      <c r="A131" s="24" t="n">
        <v>45951</v>
      </c>
      <c r="B131" s="25" t="n">
        <v>62.41</v>
      </c>
      <c r="C131" s="25" t="n">
        <v>62.41</v>
      </c>
      <c r="D131" s="25" t="n">
        <v>62.41</v>
      </c>
      <c r="E131" s="25" t="n">
        <v>62.41</v>
      </c>
      <c r="F131" s="26" t="n">
        <v>28413580</v>
      </c>
      <c r="G131" s="27" t="n">
        <f aca="false">E131-E130</f>
        <v>0.349999999999994</v>
      </c>
      <c r="H131" s="28" t="n">
        <f aca="false">G131/E130</f>
        <v>0.00563970351272953</v>
      </c>
      <c r="I131" s="29" t="n">
        <f aca="false">MAX(G131,0)</f>
        <v>0.349999999999994</v>
      </c>
      <c r="J131" s="29" t="n">
        <f aca="false">MAX(-G131,0)</f>
        <v>0</v>
      </c>
      <c r="K131" s="29" t="n">
        <f aca="false">(K130*13+I131)/14</f>
        <v>0.275453279182048</v>
      </c>
      <c r="L131" s="29" t="n">
        <f aca="false">(L130*13+J131)/14</f>
        <v>0.322065078581264</v>
      </c>
      <c r="M131" s="31" t="n">
        <f aca="false">IF(L131=0,100,100-100/(1+K131/MAX(L131,0.000001)))</f>
        <v>46.099550851149</v>
      </c>
      <c r="N131" s="30" t="n">
        <f aca="false">AVERAGE(E112:E131)</f>
        <v>62.7395</v>
      </c>
      <c r="O131" s="30" t="n">
        <f aca="false">AVERAGE(E82:E131)</f>
        <v>63.8402</v>
      </c>
      <c r="Q131" s="30" t="n">
        <f aca="false">Q130+(2/13)*(E131-Q130)</f>
        <v>62.4410795803962</v>
      </c>
      <c r="R131" s="30" t="n">
        <f aca="false">R130+(2/27)*(E131-R130)</f>
        <v>62.9664890974936</v>
      </c>
      <c r="S131" s="33" t="n">
        <f aca="false">Q131-R131</f>
        <v>-0.525409517097351</v>
      </c>
      <c r="T131" s="33" t="n">
        <f aca="false">T130+(2/10)*(S131-T130)</f>
        <v>-0.589207046471346</v>
      </c>
      <c r="U131" s="33" t="n">
        <f aca="false">S131-T131</f>
        <v>0.0637975293739946</v>
      </c>
      <c r="V131" s="32" t="str">
        <f aca="false">IF(M131="","",IF(M131&lt;Assumptions!$B$5,"BUY",IF(M131&gt;Assumptions!$B$4,"SELL","HOLD")))</f>
        <v>HOLD</v>
      </c>
      <c r="W131" s="32" t="str">
        <f aca="false">IF(O131="","",IF(E131&gt;O131,"BUY","SELL"))</f>
        <v>SELL</v>
      </c>
      <c r="X131" s="32" t="str">
        <f aca="false">IF(T131="","",IF(S131&gt;T131,"BUY","SELL"))</f>
        <v>BUY</v>
      </c>
      <c r="Y131" s="34" t="n">
        <f aca="false">IF(OR(V131="",W131="",X131=""),"",IFERROR(IF(V131="BUY",1,IF(V131="SELL",-1,0))+IF(W131="BUY",1,IF(W131="SELL",-1,0))+IF(X131="BUY",1,IF(X131="SELL",-1,0)),0))</f>
        <v>0</v>
      </c>
      <c r="Z131" s="32" t="str">
        <f aca="false">IF(Y131="","",IF(Y131&gt;=2,"STRONG BUY",IF(Y131=1,"BUY",IF(Y131=0,"HOLD",IF(Y131=-1,"SELL","STRONG SELL")))))</f>
        <v>HOLD</v>
      </c>
    </row>
    <row r="132" customFormat="false" ht="15" hidden="false" customHeight="false" outlineLevel="0" collapsed="false">
      <c r="A132" s="24" t="n">
        <v>45952</v>
      </c>
      <c r="B132" s="25" t="n">
        <v>62.31</v>
      </c>
      <c r="C132" s="25" t="n">
        <v>62.79</v>
      </c>
      <c r="D132" s="25" t="n">
        <v>61.31</v>
      </c>
      <c r="E132" s="25" t="n">
        <v>62.05</v>
      </c>
      <c r="F132" s="26" t="n">
        <v>8114112</v>
      </c>
      <c r="G132" s="27" t="n">
        <f aca="false">E132-E131</f>
        <v>-0.359999999999999</v>
      </c>
      <c r="H132" s="28" t="n">
        <f aca="false">G132/E131</f>
        <v>-0.00576830636116006</v>
      </c>
      <c r="I132" s="29" t="n">
        <f aca="false">MAX(G132,0)</f>
        <v>0</v>
      </c>
      <c r="J132" s="29" t="n">
        <f aca="false">MAX(-G132,0)</f>
        <v>0.359999999999999</v>
      </c>
      <c r="K132" s="29" t="n">
        <f aca="false">(K131*13+I132)/14</f>
        <v>0.255778044954759</v>
      </c>
      <c r="L132" s="29" t="n">
        <f aca="false">(L131*13+J132)/14</f>
        <v>0.324774715825459</v>
      </c>
      <c r="M132" s="31" t="n">
        <f aca="false">IF(L132=0,100,100-100/(1+K132/MAX(L132,0.000001)))</f>
        <v>44.0576743810525</v>
      </c>
      <c r="N132" s="30" t="n">
        <f aca="false">AVERAGE(E113:E132)</f>
        <v>62.686</v>
      </c>
      <c r="O132" s="30" t="n">
        <f aca="false">AVERAGE(E83:E132)</f>
        <v>63.7778</v>
      </c>
      <c r="Q132" s="30" t="n">
        <f aca="false">Q131+(2/13)*(E132-Q131)</f>
        <v>62.3809134911045</v>
      </c>
      <c r="R132" s="30" t="n">
        <f aca="false">R131+(2/27)*(E132-R131)</f>
        <v>62.8986010161978</v>
      </c>
      <c r="S132" s="33" t="n">
        <f aca="false">Q132-R132</f>
        <v>-0.517687525093258</v>
      </c>
      <c r="T132" s="33" t="n">
        <f aca="false">T131+(2/10)*(S132-T131)</f>
        <v>-0.574903142195729</v>
      </c>
      <c r="U132" s="33" t="n">
        <f aca="false">S132-T132</f>
        <v>0.0572156171024703</v>
      </c>
      <c r="V132" s="32" t="str">
        <f aca="false">IF(M132="","",IF(M132&lt;Assumptions!$B$5,"BUY",IF(M132&gt;Assumptions!$B$4,"SELL","HOLD")))</f>
        <v>HOLD</v>
      </c>
      <c r="W132" s="32" t="str">
        <f aca="false">IF(O132="","",IF(E132&gt;O132,"BUY","SELL"))</f>
        <v>SELL</v>
      </c>
      <c r="X132" s="32" t="str">
        <f aca="false">IF(T132="","",IF(S132&gt;T132,"BUY","SELL"))</f>
        <v>BUY</v>
      </c>
      <c r="Y132" s="34" t="n">
        <f aca="false">IF(OR(V132="",W132="",X132=""),"",IFERROR(IF(V132="BUY",1,IF(V132="SELL",-1,0))+IF(W132="BUY",1,IF(W132="SELL",-1,0))+IF(X132="BUY",1,IF(X132="SELL",-1,0)),0))</f>
        <v>0</v>
      </c>
      <c r="Z132" s="32" t="str">
        <f aca="false">IF(Y132="","",IF(Y132&gt;=2,"STRONG BUY",IF(Y132=1,"BUY",IF(Y132=0,"HOLD",IF(Y132=-1,"SELL","STRONG SELL")))))</f>
        <v>HOLD</v>
      </c>
    </row>
    <row r="133" customFormat="false" ht="15" hidden="false" customHeight="false" outlineLevel="0" collapsed="false">
      <c r="A133" s="24" t="n">
        <v>45953</v>
      </c>
      <c r="B133" s="25" t="n">
        <v>62.91</v>
      </c>
      <c r="C133" s="25" t="n">
        <v>63.21</v>
      </c>
      <c r="D133" s="25" t="n">
        <v>62.91</v>
      </c>
      <c r="E133" s="25" t="n">
        <v>63.06</v>
      </c>
      <c r="F133" s="26" t="n">
        <v>25353139</v>
      </c>
      <c r="G133" s="27" t="n">
        <f aca="false">E133-E132</f>
        <v>1.01000000000001</v>
      </c>
      <c r="H133" s="28" t="n">
        <f aca="false">G133/E132</f>
        <v>0.0162771958098309</v>
      </c>
      <c r="I133" s="29" t="n">
        <f aca="false">MAX(G133,0)</f>
        <v>1.01000000000001</v>
      </c>
      <c r="J133" s="29" t="n">
        <f aca="false">MAX(-G133,0)</f>
        <v>0</v>
      </c>
      <c r="K133" s="29" t="n">
        <f aca="false">(K132*13+I133)/14</f>
        <v>0.309651041743705</v>
      </c>
      <c r="L133" s="29" t="n">
        <f aca="false">(L132*13+J133)/14</f>
        <v>0.301576521837926</v>
      </c>
      <c r="M133" s="31" t="n">
        <f aca="false">IF(L133=0,100,100-100/(1+K133/MAX(L133,0.000001)))</f>
        <v>50.6605166706214</v>
      </c>
      <c r="N133" s="30" t="n">
        <f aca="false">AVERAGE(E114:E133)</f>
        <v>62.687</v>
      </c>
      <c r="O133" s="30" t="n">
        <f aca="false">AVERAGE(E84:E133)</f>
        <v>63.7376</v>
      </c>
      <c r="Q133" s="30" t="n">
        <f aca="false">Q132+(2/13)*(E133-Q132)</f>
        <v>62.4853883386269</v>
      </c>
      <c r="R133" s="30" t="n">
        <f aca="false">R132+(2/27)*(E133-R132)</f>
        <v>62.9105564964794</v>
      </c>
      <c r="S133" s="33" t="n">
        <f aca="false">Q133-R133</f>
        <v>-0.425168157852525</v>
      </c>
      <c r="T133" s="33" t="n">
        <f aca="false">T132+(2/10)*(S133-T132)</f>
        <v>-0.544956145327088</v>
      </c>
      <c r="U133" s="33" t="n">
        <f aca="false">S133-T133</f>
        <v>0.119787987474563</v>
      </c>
      <c r="V133" s="32" t="str">
        <f aca="false">IF(M133="","",IF(M133&lt;Assumptions!$B$5,"BUY",IF(M133&gt;Assumptions!$B$4,"SELL","HOLD")))</f>
        <v>HOLD</v>
      </c>
      <c r="W133" s="32" t="str">
        <f aca="false">IF(O133="","",IF(E133&gt;O133,"BUY","SELL"))</f>
        <v>SELL</v>
      </c>
      <c r="X133" s="32" t="str">
        <f aca="false">IF(T133="","",IF(S133&gt;T133,"BUY","SELL"))</f>
        <v>BUY</v>
      </c>
      <c r="Y133" s="34" t="n">
        <f aca="false">IF(OR(V133="",W133="",X133=""),"",IFERROR(IF(V133="BUY",1,IF(V133="SELL",-1,0))+IF(W133="BUY",1,IF(W133="SELL",-1,0))+IF(X133="BUY",1,IF(X133="SELL",-1,0)),0))</f>
        <v>0</v>
      </c>
      <c r="Z133" s="32" t="str">
        <f aca="false">IF(Y133="","",IF(Y133&gt;=2,"STRONG BUY",IF(Y133=1,"BUY",IF(Y133=0,"HOLD",IF(Y133=-1,"SELL","STRONG SELL")))))</f>
        <v>HOLD</v>
      </c>
    </row>
    <row r="134" customFormat="false" ht="15" hidden="false" customHeight="false" outlineLevel="0" collapsed="false">
      <c r="A134" s="24" t="n">
        <v>45954</v>
      </c>
      <c r="B134" s="25" t="n">
        <v>62.55</v>
      </c>
      <c r="C134" s="25" t="n">
        <v>63.37</v>
      </c>
      <c r="D134" s="25" t="n">
        <v>62.43</v>
      </c>
      <c r="E134" s="25" t="n">
        <v>62.9</v>
      </c>
      <c r="F134" s="26" t="n">
        <v>15842855</v>
      </c>
      <c r="G134" s="27" t="n">
        <f aca="false">E134-E133</f>
        <v>-0.160000000000004</v>
      </c>
      <c r="H134" s="28" t="n">
        <f aca="false">G134/E133</f>
        <v>-0.00253726609578185</v>
      </c>
      <c r="I134" s="29" t="n">
        <f aca="false">MAX(G134,0)</f>
        <v>0</v>
      </c>
      <c r="J134" s="29" t="n">
        <f aca="false">MAX(-G134,0)</f>
        <v>0.160000000000004</v>
      </c>
      <c r="K134" s="29" t="n">
        <f aca="false">(K133*13+I134)/14</f>
        <v>0.287533110190583</v>
      </c>
      <c r="L134" s="29" t="n">
        <f aca="false">(L133*13+J134)/14</f>
        <v>0.291463913135217</v>
      </c>
      <c r="M134" s="31" t="n">
        <f aca="false">IF(L134=0,100,100-100/(1+K134/MAX(L134,0.000001)))</f>
        <v>49.6605506776136</v>
      </c>
      <c r="N134" s="30" t="n">
        <f aca="false">AVERAGE(E115:E134)</f>
        <v>62.6535</v>
      </c>
      <c r="O134" s="30" t="n">
        <f aca="false">AVERAGE(E85:E134)</f>
        <v>63.6504</v>
      </c>
      <c r="Q134" s="30" t="n">
        <f aca="false">Q133+(2/13)*(E134-Q133)</f>
        <v>62.5491747480689</v>
      </c>
      <c r="R134" s="30" t="n">
        <f aca="false">R133+(2/27)*(E134-R133)</f>
        <v>62.9097745337772</v>
      </c>
      <c r="S134" s="33" t="n">
        <f aca="false">Q134-R134</f>
        <v>-0.360599785708331</v>
      </c>
      <c r="T134" s="33" t="n">
        <f aca="false">T133+(2/10)*(S134-T133)</f>
        <v>-0.508084873403336</v>
      </c>
      <c r="U134" s="33" t="n">
        <f aca="false">S134-T134</f>
        <v>0.147485087695005</v>
      </c>
      <c r="V134" s="32" t="str">
        <f aca="false">IF(M134="","",IF(M134&lt;Assumptions!$B$5,"BUY",IF(M134&gt;Assumptions!$B$4,"SELL","HOLD")))</f>
        <v>HOLD</v>
      </c>
      <c r="W134" s="32" t="str">
        <f aca="false">IF(O134="","",IF(E134&gt;O134,"BUY","SELL"))</f>
        <v>SELL</v>
      </c>
      <c r="X134" s="32" t="str">
        <f aca="false">IF(T134="","",IF(S134&gt;T134,"BUY","SELL"))</f>
        <v>BUY</v>
      </c>
      <c r="Y134" s="34" t="n">
        <f aca="false">IF(OR(V134="",W134="",X134=""),"",IFERROR(IF(V134="BUY",1,IF(V134="SELL",-1,0))+IF(W134="BUY",1,IF(W134="SELL",-1,0))+IF(X134="BUY",1,IF(X134="SELL",-1,0)),0))</f>
        <v>0</v>
      </c>
      <c r="Z134" s="32" t="str">
        <f aca="false">IF(Y134="","",IF(Y134&gt;=2,"STRONG BUY",IF(Y134=1,"BUY",IF(Y134=0,"HOLD",IF(Y134=-1,"SELL","STRONG SELL")))))</f>
        <v>HOLD</v>
      </c>
    </row>
    <row r="135" customFormat="false" ht="15" hidden="false" customHeight="false" outlineLevel="0" collapsed="false">
      <c r="A135" s="24" t="n">
        <v>45957</v>
      </c>
      <c r="B135" s="25" t="n">
        <v>63.2</v>
      </c>
      <c r="C135" s="25" t="n">
        <v>63.56</v>
      </c>
      <c r="D135" s="25" t="n">
        <v>62.94</v>
      </c>
      <c r="E135" s="25" t="n">
        <v>63.25</v>
      </c>
      <c r="F135" s="26" t="n">
        <v>30837906</v>
      </c>
      <c r="G135" s="27" t="n">
        <f aca="false">E135-E134</f>
        <v>0.350000000000001</v>
      </c>
      <c r="H135" s="28" t="n">
        <f aca="false">G135/E134</f>
        <v>0.00556438791732912</v>
      </c>
      <c r="I135" s="29" t="n">
        <f aca="false">MAX(G135,0)</f>
        <v>0.350000000000001</v>
      </c>
      <c r="J135" s="29" t="n">
        <f aca="false">MAX(-G135,0)</f>
        <v>0</v>
      </c>
      <c r="K135" s="29" t="n">
        <f aca="false">(K134*13+I135)/14</f>
        <v>0.291995030891256</v>
      </c>
      <c r="L135" s="29" t="n">
        <f aca="false">(L134*13+J135)/14</f>
        <v>0.270645062196988</v>
      </c>
      <c r="M135" s="31" t="n">
        <f aca="false">IF(L135=0,100,100-100/(1+K135/MAX(L135,0.000001)))</f>
        <v>51.897302463559</v>
      </c>
      <c r="N135" s="30" t="n">
        <f aca="false">AVERAGE(E116:E135)</f>
        <v>62.6935</v>
      </c>
      <c r="O135" s="30" t="n">
        <f aca="false">AVERAGE(E86:E135)</f>
        <v>63.5636</v>
      </c>
      <c r="Q135" s="30" t="n">
        <f aca="false">Q134+(2/13)*(E135-Q134)</f>
        <v>62.6569940175968</v>
      </c>
      <c r="R135" s="30" t="n">
        <f aca="false">R134+(2/27)*(E135-R134)</f>
        <v>62.9349764201641</v>
      </c>
      <c r="S135" s="33" t="n">
        <f aca="false">Q135-R135</f>
        <v>-0.277982402567346</v>
      </c>
      <c r="T135" s="33" t="n">
        <f aca="false">T134+(2/10)*(S135-T134)</f>
        <v>-0.462064379236138</v>
      </c>
      <c r="U135" s="33" t="n">
        <f aca="false">S135-T135</f>
        <v>0.184081976668792</v>
      </c>
      <c r="V135" s="32" t="str">
        <f aca="false">IF(M135="","",IF(M135&lt;Assumptions!$B$5,"BUY",IF(M135&gt;Assumptions!$B$4,"SELL","HOLD")))</f>
        <v>HOLD</v>
      </c>
      <c r="W135" s="32" t="str">
        <f aca="false">IF(O135="","",IF(E135&gt;O135,"BUY","SELL"))</f>
        <v>SELL</v>
      </c>
      <c r="X135" s="32" t="str">
        <f aca="false">IF(T135="","",IF(S135&gt;T135,"BUY","SELL"))</f>
        <v>BUY</v>
      </c>
      <c r="Y135" s="34" t="n">
        <f aca="false">IF(OR(V135="",W135="",X135=""),"",IFERROR(IF(V135="BUY",1,IF(V135="SELL",-1,0))+IF(W135="BUY",1,IF(W135="SELL",-1,0))+IF(X135="BUY",1,IF(X135="SELL",-1,0)),0))</f>
        <v>0</v>
      </c>
      <c r="Z135" s="32" t="str">
        <f aca="false">IF(Y135="","",IF(Y135&gt;=2,"STRONG BUY",IF(Y135=1,"BUY",IF(Y135=0,"HOLD",IF(Y135=-1,"SELL","STRONG SELL")))))</f>
        <v>HOLD</v>
      </c>
    </row>
    <row r="136" customFormat="false" ht="15" hidden="false" customHeight="false" outlineLevel="0" collapsed="false">
      <c r="A136" s="24" t="n">
        <v>45958</v>
      </c>
      <c r="B136" s="25" t="n">
        <v>62.65</v>
      </c>
      <c r="C136" s="25" t="n">
        <v>63.1</v>
      </c>
      <c r="D136" s="25" t="n">
        <v>62.08</v>
      </c>
      <c r="E136" s="25" t="n">
        <v>62.59</v>
      </c>
      <c r="F136" s="26" t="n">
        <v>29988399</v>
      </c>
      <c r="G136" s="27" t="n">
        <f aca="false">E136-E135</f>
        <v>-0.659999999999997</v>
      </c>
      <c r="H136" s="28" t="n">
        <f aca="false">G136/E135</f>
        <v>-0.0104347826086956</v>
      </c>
      <c r="I136" s="29" t="n">
        <f aca="false">MAX(G136,0)</f>
        <v>0</v>
      </c>
      <c r="J136" s="29" t="n">
        <f aca="false">MAX(-G136,0)</f>
        <v>0.659999999999997</v>
      </c>
      <c r="K136" s="29" t="n">
        <f aca="false">(K135*13+I136)/14</f>
        <v>0.271138242970452</v>
      </c>
      <c r="L136" s="29" t="n">
        <f aca="false">(L135*13+J136)/14</f>
        <v>0.298456129182917</v>
      </c>
      <c r="M136" s="31" t="n">
        <f aca="false">IF(L136=0,100,100-100/(1+K136/MAX(L136,0.000001)))</f>
        <v>47.6019876996687</v>
      </c>
      <c r="N136" s="30" t="n">
        <f aca="false">AVERAGE(E117:E136)</f>
        <v>62.7455</v>
      </c>
      <c r="O136" s="30" t="n">
        <f aca="false">AVERAGE(E87:E136)</f>
        <v>63.4674</v>
      </c>
      <c r="Q136" s="30" t="n">
        <f aca="false">Q135+(2/13)*(E136-Q135)</f>
        <v>62.6466872456588</v>
      </c>
      <c r="R136" s="30" t="n">
        <f aca="false">R135+(2/27)*(E136-R135)</f>
        <v>62.9094226112631</v>
      </c>
      <c r="S136" s="33" t="n">
        <f aca="false">Q136-R136</f>
        <v>-0.262735365604264</v>
      </c>
      <c r="T136" s="33" t="n">
        <f aca="false">T135+(2/10)*(S136-T135)</f>
        <v>-0.422198576509764</v>
      </c>
      <c r="U136" s="33" t="n">
        <f aca="false">S136-T136</f>
        <v>0.159463210905499</v>
      </c>
      <c r="V136" s="32" t="str">
        <f aca="false">IF(M136="","",IF(M136&lt;Assumptions!$B$5,"BUY",IF(M136&gt;Assumptions!$B$4,"SELL","HOLD")))</f>
        <v>HOLD</v>
      </c>
      <c r="W136" s="32" t="str">
        <f aca="false">IF(O136="","",IF(E136&gt;O136,"BUY","SELL"))</f>
        <v>SELL</v>
      </c>
      <c r="X136" s="32" t="str">
        <f aca="false">IF(T136="","",IF(S136&gt;T136,"BUY","SELL"))</f>
        <v>BUY</v>
      </c>
      <c r="Y136" s="34" t="n">
        <f aca="false">IF(OR(V136="",W136="",X136=""),"",IFERROR(IF(V136="BUY",1,IF(V136="SELL",-1,0))+IF(W136="BUY",1,IF(W136="SELL",-1,0))+IF(X136="BUY",1,IF(X136="SELL",-1,0)),0))</f>
        <v>0</v>
      </c>
      <c r="Z136" s="32" t="str">
        <f aca="false">IF(Y136="","",IF(Y136&gt;=2,"STRONG BUY",IF(Y136=1,"BUY",IF(Y136=0,"HOLD",IF(Y136=-1,"SELL","STRONG SELL")))))</f>
        <v>HOLD</v>
      </c>
    </row>
    <row r="137" customFormat="false" ht="15" hidden="false" customHeight="false" outlineLevel="0" collapsed="false">
      <c r="A137" s="24" t="n">
        <v>45959</v>
      </c>
      <c r="B137" s="25" t="n">
        <v>61.42</v>
      </c>
      <c r="C137" s="25" t="n">
        <v>61.8</v>
      </c>
      <c r="D137" s="25" t="n">
        <v>61.08</v>
      </c>
      <c r="E137" s="25" t="n">
        <v>61.44</v>
      </c>
      <c r="F137" s="26" t="n">
        <v>14947612</v>
      </c>
      <c r="G137" s="27" t="n">
        <f aca="false">E137-E136</f>
        <v>-1.15000000000001</v>
      </c>
      <c r="H137" s="28" t="n">
        <f aca="false">G137/E136</f>
        <v>-0.018373542099377</v>
      </c>
      <c r="I137" s="29" t="n">
        <f aca="false">MAX(G137,0)</f>
        <v>0</v>
      </c>
      <c r="J137" s="29" t="n">
        <f aca="false">MAX(-G137,0)</f>
        <v>1.15000000000001</v>
      </c>
      <c r="K137" s="29" t="n">
        <f aca="false">(K136*13+I137)/14</f>
        <v>0.25177122561542</v>
      </c>
      <c r="L137" s="29" t="n">
        <f aca="false">(L136*13+J137)/14</f>
        <v>0.359280691384137</v>
      </c>
      <c r="M137" s="31" t="n">
        <f aca="false">IF(L137=0,100,100-100/(1+K137/MAX(L137,0.000001)))</f>
        <v>41.2029188700839</v>
      </c>
      <c r="N137" s="30" t="n">
        <f aca="false">AVERAGE(E118:E137)</f>
        <v>62.644</v>
      </c>
      <c r="O137" s="30" t="n">
        <f aca="false">AVERAGE(E88:E137)</f>
        <v>63.3636</v>
      </c>
      <c r="Q137" s="30" t="n">
        <f aca="false">Q136+(2/13)*(E137-Q136)</f>
        <v>62.461043054019</v>
      </c>
      <c r="R137" s="30" t="n">
        <f aca="false">R136+(2/27)*(E137-R136)</f>
        <v>62.8005764919103</v>
      </c>
      <c r="S137" s="33" t="n">
        <f aca="false">Q137-R137</f>
        <v>-0.339533437891262</v>
      </c>
      <c r="T137" s="33" t="n">
        <f aca="false">T136+(2/10)*(S137-T136)</f>
        <v>-0.405665548786063</v>
      </c>
      <c r="U137" s="33" t="n">
        <f aca="false">S137-T137</f>
        <v>0.0661321108948011</v>
      </c>
      <c r="V137" s="32" t="str">
        <f aca="false">IF(M137="","",IF(M137&lt;Assumptions!$B$5,"BUY",IF(M137&gt;Assumptions!$B$4,"SELL","HOLD")))</f>
        <v>HOLD</v>
      </c>
      <c r="W137" s="32" t="str">
        <f aca="false">IF(O137="","",IF(E137&gt;O137,"BUY","SELL"))</f>
        <v>SELL</v>
      </c>
      <c r="X137" s="32" t="str">
        <f aca="false">IF(T137="","",IF(S137&gt;T137,"BUY","SELL"))</f>
        <v>BUY</v>
      </c>
      <c r="Y137" s="34" t="n">
        <f aca="false">IF(OR(V137="",W137="",X137=""),"",IFERROR(IF(V137="BUY",1,IF(V137="SELL",-1,0))+IF(W137="BUY",1,IF(W137="SELL",-1,0))+IF(X137="BUY",1,IF(X137="SELL",-1,0)),0))</f>
        <v>0</v>
      </c>
      <c r="Z137" s="32" t="str">
        <f aca="false">IF(Y137="","",IF(Y137&gt;=2,"STRONG BUY",IF(Y137=1,"BUY",IF(Y137=0,"HOLD",IF(Y137=-1,"SELL","STRONG SELL")))))</f>
        <v>HOLD</v>
      </c>
    </row>
    <row r="138" customFormat="false" ht="15" hidden="false" customHeight="false" outlineLevel="0" collapsed="false">
      <c r="A138" s="24" t="n">
        <v>45960</v>
      </c>
      <c r="B138" s="25" t="n">
        <v>62.32</v>
      </c>
      <c r="C138" s="25" t="n">
        <v>62.32</v>
      </c>
      <c r="D138" s="25" t="n">
        <v>61.9</v>
      </c>
      <c r="E138" s="25" t="n">
        <v>62.11</v>
      </c>
      <c r="F138" s="26" t="n">
        <v>33451059</v>
      </c>
      <c r="G138" s="27" t="n">
        <f aca="false">E138-E137</f>
        <v>0.670000000000002</v>
      </c>
      <c r="H138" s="28" t="n">
        <f aca="false">G138/E137</f>
        <v>0.0109049479166667</v>
      </c>
      <c r="I138" s="29" t="n">
        <f aca="false">MAX(G138,0)</f>
        <v>0.670000000000002</v>
      </c>
      <c r="J138" s="29" t="n">
        <f aca="false">MAX(-G138,0)</f>
        <v>0</v>
      </c>
      <c r="K138" s="29" t="n">
        <f aca="false">(K137*13+I138)/14</f>
        <v>0.281644709500033</v>
      </c>
      <c r="L138" s="29" t="n">
        <f aca="false">(L137*13+J138)/14</f>
        <v>0.333617784856699</v>
      </c>
      <c r="M138" s="31" t="n">
        <f aca="false">IF(L138=0,100,100-100/(1+K138/MAX(L138,0.000001)))</f>
        <v>45.7763494578842</v>
      </c>
      <c r="N138" s="30" t="n">
        <f aca="false">AVERAGE(E119:E138)</f>
        <v>62.5515</v>
      </c>
      <c r="O138" s="30" t="n">
        <f aca="false">AVERAGE(E89:E138)</f>
        <v>63.26</v>
      </c>
      <c r="Q138" s="30" t="n">
        <f aca="false">Q137+(2/13)*(E138-Q137)</f>
        <v>62.4070364303238</v>
      </c>
      <c r="R138" s="30" t="n">
        <f aca="false">R137+(2/27)*(E138-R137)</f>
        <v>62.7494226776947</v>
      </c>
      <c r="S138" s="33" t="n">
        <f aca="false">Q138-R138</f>
        <v>-0.342386247370918</v>
      </c>
      <c r="T138" s="33" t="n">
        <f aca="false">T137+(2/10)*(S138-T137)</f>
        <v>-0.393009688503034</v>
      </c>
      <c r="U138" s="33" t="n">
        <f aca="false">S138-T138</f>
        <v>0.0506234411321164</v>
      </c>
      <c r="V138" s="32" t="str">
        <f aca="false">IF(M138="","",IF(M138&lt;Assumptions!$B$5,"BUY",IF(M138&gt;Assumptions!$B$4,"SELL","HOLD")))</f>
        <v>HOLD</v>
      </c>
      <c r="W138" s="32" t="str">
        <f aca="false">IF(O138="","",IF(E138&gt;O138,"BUY","SELL"))</f>
        <v>SELL</v>
      </c>
      <c r="X138" s="32" t="str">
        <f aca="false">IF(T138="","",IF(S138&gt;T138,"BUY","SELL"))</f>
        <v>BUY</v>
      </c>
      <c r="Y138" s="34" t="n">
        <f aca="false">IF(OR(V138="",W138="",X138=""),"",IFERROR(IF(V138="BUY",1,IF(V138="SELL",-1,0))+IF(W138="BUY",1,IF(W138="SELL",-1,0))+IF(X138="BUY",1,IF(X138="SELL",-1,0)),0))</f>
        <v>0</v>
      </c>
      <c r="Z138" s="32" t="str">
        <f aca="false">IF(Y138="","",IF(Y138&gt;=2,"STRONG BUY",IF(Y138=1,"BUY",IF(Y138=0,"HOLD",IF(Y138=-1,"SELL","STRONG SELL")))))</f>
        <v>HOLD</v>
      </c>
    </row>
    <row r="139" customFormat="false" ht="15" hidden="false" customHeight="false" outlineLevel="0" collapsed="false">
      <c r="A139" s="24" t="n">
        <v>45961</v>
      </c>
      <c r="B139" s="25" t="n">
        <v>62.37</v>
      </c>
      <c r="C139" s="25" t="n">
        <v>62.37</v>
      </c>
      <c r="D139" s="25" t="n">
        <v>62.35</v>
      </c>
      <c r="E139" s="25" t="n">
        <v>62.36</v>
      </c>
      <c r="F139" s="26" t="n">
        <v>23728347</v>
      </c>
      <c r="G139" s="27" t="n">
        <f aca="false">E139-E138</f>
        <v>0.25</v>
      </c>
      <c r="H139" s="28" t="n">
        <f aca="false">G139/E138</f>
        <v>0.00402511672838512</v>
      </c>
      <c r="I139" s="29" t="n">
        <f aca="false">MAX(G139,0)</f>
        <v>0.25</v>
      </c>
      <c r="J139" s="29" t="n">
        <f aca="false">MAX(-G139,0)</f>
        <v>0</v>
      </c>
      <c r="K139" s="29" t="n">
        <f aca="false">(K138*13+I139)/14</f>
        <v>0.279384373107173</v>
      </c>
      <c r="L139" s="29" t="n">
        <f aca="false">(L138*13+J139)/14</f>
        <v>0.309787943081221</v>
      </c>
      <c r="M139" s="31" t="n">
        <f aca="false">IF(L139=0,100,100-100/(1+K139/MAX(L139,0.000001)))</f>
        <v>47.4198066390202</v>
      </c>
      <c r="N139" s="30" t="n">
        <f aca="false">AVERAGE(E120:E139)</f>
        <v>62.4885</v>
      </c>
      <c r="O139" s="30" t="n">
        <f aca="false">AVERAGE(E90:E139)</f>
        <v>63.1688</v>
      </c>
      <c r="Q139" s="30" t="n">
        <f aca="false">Q138+(2/13)*(E139-Q138)</f>
        <v>62.3998000564278</v>
      </c>
      <c r="R139" s="30" t="n">
        <f aca="false">R138+(2/27)*(E139-R138)</f>
        <v>62.720576553421</v>
      </c>
      <c r="S139" s="33" t="n">
        <f aca="false">Q139-R139</f>
        <v>-0.320776496993204</v>
      </c>
      <c r="T139" s="33" t="n">
        <f aca="false">T138+(2/10)*(S139-T138)</f>
        <v>-0.378563050201068</v>
      </c>
      <c r="U139" s="33" t="n">
        <f aca="false">S139-T139</f>
        <v>0.0577865532078639</v>
      </c>
      <c r="V139" s="32" t="str">
        <f aca="false">IF(M139="","",IF(M139&lt;Assumptions!$B$5,"BUY",IF(M139&gt;Assumptions!$B$4,"SELL","HOLD")))</f>
        <v>HOLD</v>
      </c>
      <c r="W139" s="32" t="str">
        <f aca="false">IF(O139="","",IF(E139&gt;O139,"BUY","SELL"))</f>
        <v>SELL</v>
      </c>
      <c r="X139" s="32" t="str">
        <f aca="false">IF(T139="","",IF(S139&gt;T139,"BUY","SELL"))</f>
        <v>BUY</v>
      </c>
      <c r="Y139" s="34" t="n">
        <f aca="false">IF(OR(V139="",W139="",X139=""),"",IFERROR(IF(V139="BUY",1,IF(V139="SELL",-1,0))+IF(W139="BUY",1,IF(W139="SELL",-1,0))+IF(X139="BUY",1,IF(X139="SELL",-1,0)),0))</f>
        <v>0</v>
      </c>
      <c r="Z139" s="32" t="str">
        <f aca="false">IF(Y139="","",IF(Y139&gt;=2,"STRONG BUY",IF(Y139=1,"BUY",IF(Y139=0,"HOLD",IF(Y139=-1,"SELL","STRONG SELL")))))</f>
        <v>HOLD</v>
      </c>
    </row>
    <row r="140" customFormat="false" ht="15" hidden="false" customHeight="false" outlineLevel="0" collapsed="false">
      <c r="A140" s="24" t="n">
        <v>45964</v>
      </c>
      <c r="B140" s="25" t="n">
        <v>63.1</v>
      </c>
      <c r="C140" s="25" t="n">
        <v>63.18</v>
      </c>
      <c r="D140" s="25" t="n">
        <v>62.76</v>
      </c>
      <c r="E140" s="25" t="n">
        <v>62.97</v>
      </c>
      <c r="F140" s="26" t="n">
        <v>31352138</v>
      </c>
      <c r="G140" s="27" t="n">
        <f aca="false">E140-E139</f>
        <v>0.609999999999999</v>
      </c>
      <c r="H140" s="28" t="n">
        <f aca="false">G140/E139</f>
        <v>0.00978191148171904</v>
      </c>
      <c r="I140" s="29" t="n">
        <f aca="false">MAX(G140,0)</f>
        <v>0.609999999999999</v>
      </c>
      <c r="J140" s="29" t="n">
        <f aca="false">MAX(-G140,0)</f>
        <v>0</v>
      </c>
      <c r="K140" s="29" t="n">
        <f aca="false">(K139*13+I140)/14</f>
        <v>0.302999775028089</v>
      </c>
      <c r="L140" s="29" t="n">
        <f aca="false">(L139*13+J140)/14</f>
        <v>0.287660232861133</v>
      </c>
      <c r="M140" s="31" t="n">
        <f aca="false">IF(L140=0,100,100-100/(1+K140/MAX(L140,0.000001)))</f>
        <v>51.2985086142681</v>
      </c>
      <c r="N140" s="30" t="n">
        <f aca="false">AVERAGE(E121:E140)</f>
        <v>62.425</v>
      </c>
      <c r="O140" s="30" t="n">
        <f aca="false">AVERAGE(E91:E140)</f>
        <v>63.0752</v>
      </c>
      <c r="Q140" s="30" t="n">
        <f aca="false">Q139+(2/13)*(E140-Q139)</f>
        <v>62.4875231246697</v>
      </c>
      <c r="R140" s="30" t="n">
        <f aca="false">R139+(2/27)*(E140-R139)</f>
        <v>62.7390523642787</v>
      </c>
      <c r="S140" s="33" t="n">
        <f aca="false">Q140-R140</f>
        <v>-0.251529239609027</v>
      </c>
      <c r="T140" s="33" t="n">
        <f aca="false">T139+(2/10)*(S140-T139)</f>
        <v>-0.35315628808266</v>
      </c>
      <c r="U140" s="33" t="n">
        <f aca="false">S140-T140</f>
        <v>0.101627048473633</v>
      </c>
      <c r="V140" s="32" t="str">
        <f aca="false">IF(M140="","",IF(M140&lt;Assumptions!$B$5,"BUY",IF(M140&gt;Assumptions!$B$4,"SELL","HOLD")))</f>
        <v>HOLD</v>
      </c>
      <c r="W140" s="32" t="str">
        <f aca="false">IF(O140="","",IF(E140&gt;O140,"BUY","SELL"))</f>
        <v>SELL</v>
      </c>
      <c r="X140" s="32" t="str">
        <f aca="false">IF(T140="","",IF(S140&gt;T140,"BUY","SELL"))</f>
        <v>BUY</v>
      </c>
      <c r="Y140" s="34" t="n">
        <f aca="false">IF(OR(V140="",W140="",X140=""),"",IFERROR(IF(V140="BUY",1,IF(V140="SELL",-1,0))+IF(W140="BUY",1,IF(W140="SELL",-1,0))+IF(X140="BUY",1,IF(X140="SELL",-1,0)),0))</f>
        <v>0</v>
      </c>
      <c r="Z140" s="32" t="str">
        <f aca="false">IF(Y140="","",IF(Y140&gt;=2,"STRONG BUY",IF(Y140=1,"BUY",IF(Y140=0,"HOLD",IF(Y140=-1,"SELL","STRONG SELL")))))</f>
        <v>HOLD</v>
      </c>
    </row>
    <row r="141" customFormat="false" ht="15" hidden="false" customHeight="false" outlineLevel="0" collapsed="false">
      <c r="A141" s="24" t="n">
        <v>45965</v>
      </c>
      <c r="B141" s="25" t="n">
        <v>63.87</v>
      </c>
      <c r="C141" s="25" t="n">
        <v>64.52</v>
      </c>
      <c r="D141" s="25" t="n">
        <v>62.84</v>
      </c>
      <c r="E141" s="25" t="n">
        <v>63.68</v>
      </c>
      <c r="F141" s="26" t="n">
        <v>15366805</v>
      </c>
      <c r="G141" s="27" t="n">
        <f aca="false">E141-E140</f>
        <v>0.710000000000001</v>
      </c>
      <c r="H141" s="28" t="n">
        <f aca="false">G141/E140</f>
        <v>0.0112752104176592</v>
      </c>
      <c r="I141" s="29" t="n">
        <f aca="false">MAX(G141,0)</f>
        <v>0.710000000000001</v>
      </c>
      <c r="J141" s="29" t="n">
        <f aca="false">MAX(-G141,0)</f>
        <v>0</v>
      </c>
      <c r="K141" s="29" t="n">
        <f aca="false">(K140*13+I141)/14</f>
        <v>0.33207121966894</v>
      </c>
      <c r="L141" s="29" t="n">
        <f aca="false">(L140*13+J141)/14</f>
        <v>0.267113073371052</v>
      </c>
      <c r="M141" s="31" t="n">
        <f aca="false">IF(L141=0,100,100-100/(1+K141/MAX(L141,0.000001)))</f>
        <v>55.4205481562542</v>
      </c>
      <c r="N141" s="30" t="n">
        <f aca="false">AVERAGE(E122:E141)</f>
        <v>62.3995</v>
      </c>
      <c r="O141" s="30" t="n">
        <f aca="false">AVERAGE(E92:E141)</f>
        <v>63.035</v>
      </c>
      <c r="Q141" s="30" t="n">
        <f aca="false">Q140+(2/13)*(E141-Q140)</f>
        <v>62.6709811054897</v>
      </c>
      <c r="R141" s="30" t="n">
        <f aca="false">R140+(2/27)*(E141-R140)</f>
        <v>62.808752189147</v>
      </c>
      <c r="S141" s="33" t="n">
        <f aca="false">Q141-R141</f>
        <v>-0.137771083657221</v>
      </c>
      <c r="T141" s="33" t="n">
        <f aca="false">T140+(2/10)*(S141-T140)</f>
        <v>-0.310079247197572</v>
      </c>
      <c r="U141" s="33" t="n">
        <f aca="false">S141-T141</f>
        <v>0.172308163540352</v>
      </c>
      <c r="V141" s="32" t="str">
        <f aca="false">IF(M141="","",IF(M141&lt;Assumptions!$B$5,"BUY",IF(M141&gt;Assumptions!$B$4,"SELL","HOLD")))</f>
        <v>HOLD</v>
      </c>
      <c r="W141" s="32" t="str">
        <f aca="false">IF(O141="","",IF(E141&gt;O141,"BUY","SELL"))</f>
        <v>BUY</v>
      </c>
      <c r="X141" s="32" t="str">
        <f aca="false">IF(T141="","",IF(S141&gt;T141,"BUY","SELL"))</f>
        <v>BUY</v>
      </c>
      <c r="Y141" s="34" t="n">
        <f aca="false">IF(OR(V141="",W141="",X141=""),"",IFERROR(IF(V141="BUY",1,IF(V141="SELL",-1,0))+IF(W141="BUY",1,IF(W141="SELL",-1,0))+IF(X141="BUY",1,IF(X141="SELL",-1,0)),0))</f>
        <v>2</v>
      </c>
      <c r="Z141" s="32" t="str">
        <f aca="false">IF(Y141="","",IF(Y141&gt;=2,"STRONG BUY",IF(Y141=1,"BUY",IF(Y141=0,"HOLD",IF(Y141=-1,"SELL","STRONG SELL")))))</f>
        <v>STRONG BUY</v>
      </c>
    </row>
    <row r="142" customFormat="false" ht="15" hidden="false" customHeight="false" outlineLevel="0" collapsed="false">
      <c r="A142" s="24" t="n">
        <v>45966</v>
      </c>
      <c r="B142" s="25" t="n">
        <v>61.98</v>
      </c>
      <c r="C142" s="25" t="n">
        <v>62.67</v>
      </c>
      <c r="D142" s="25" t="n">
        <v>61.93</v>
      </c>
      <c r="E142" s="25" t="n">
        <v>62.3</v>
      </c>
      <c r="F142" s="26" t="n">
        <v>25677018</v>
      </c>
      <c r="G142" s="27" t="n">
        <f aca="false">E142-E141</f>
        <v>-1.38</v>
      </c>
      <c r="H142" s="28" t="n">
        <f aca="false">G142/E141</f>
        <v>-0.0216708542713568</v>
      </c>
      <c r="I142" s="29" t="n">
        <f aca="false">MAX(G142,0)</f>
        <v>0</v>
      </c>
      <c r="J142" s="29" t="n">
        <f aca="false">MAX(-G142,0)</f>
        <v>1.38</v>
      </c>
      <c r="K142" s="29" t="n">
        <f aca="false">(K141*13+I142)/14</f>
        <v>0.308351846835444</v>
      </c>
      <c r="L142" s="29" t="n">
        <f aca="false">(L141*13+J142)/14</f>
        <v>0.346604996701692</v>
      </c>
      <c r="M142" s="31" t="n">
        <f aca="false">IF(L142=0,100,100-100/(1+K142/MAX(L142,0.000001)))</f>
        <v>47.0797198133194</v>
      </c>
      <c r="N142" s="30" t="n">
        <f aca="false">AVERAGE(E123:E142)</f>
        <v>62.4115</v>
      </c>
      <c r="O142" s="30" t="n">
        <f aca="false">AVERAGE(E93:E142)</f>
        <v>62.9566</v>
      </c>
      <c r="Q142" s="30" t="n">
        <f aca="false">Q141+(2/13)*(E142-Q141)</f>
        <v>62.6139070892605</v>
      </c>
      <c r="R142" s="30" t="n">
        <f aca="false">R141+(2/27)*(E142-R141)</f>
        <v>62.7710668418027</v>
      </c>
      <c r="S142" s="33" t="n">
        <f aca="false">Q142-R142</f>
        <v>-0.157159752542192</v>
      </c>
      <c r="T142" s="33" t="n">
        <f aca="false">T141+(2/10)*(S142-T141)</f>
        <v>-0.279495348266496</v>
      </c>
      <c r="U142" s="33" t="n">
        <f aca="false">S142-T142</f>
        <v>0.122335595724304</v>
      </c>
      <c r="V142" s="32" t="str">
        <f aca="false">IF(M142="","",IF(M142&lt;Assumptions!$B$5,"BUY",IF(M142&gt;Assumptions!$B$4,"SELL","HOLD")))</f>
        <v>HOLD</v>
      </c>
      <c r="W142" s="32" t="str">
        <f aca="false">IF(O142="","",IF(E142&gt;O142,"BUY","SELL"))</f>
        <v>SELL</v>
      </c>
      <c r="X142" s="32" t="str">
        <f aca="false">IF(T142="","",IF(S142&gt;T142,"BUY","SELL"))</f>
        <v>BUY</v>
      </c>
      <c r="Y142" s="34" t="n">
        <f aca="false">IF(OR(V142="",W142="",X142=""),"",IFERROR(IF(V142="BUY",1,IF(V142="SELL",-1,0))+IF(W142="BUY",1,IF(W142="SELL",-1,0))+IF(X142="BUY",1,IF(X142="SELL",-1,0)),0))</f>
        <v>0</v>
      </c>
      <c r="Z142" s="32" t="str">
        <f aca="false">IF(Y142="","",IF(Y142&gt;=2,"STRONG BUY",IF(Y142=1,"BUY",IF(Y142=0,"HOLD",IF(Y142=-1,"SELL","STRONG SELL")))))</f>
        <v>HOLD</v>
      </c>
    </row>
    <row r="143" customFormat="false" ht="15" hidden="false" customHeight="false" outlineLevel="0" collapsed="false">
      <c r="A143" s="24" t="n">
        <v>45967</v>
      </c>
      <c r="B143" s="25" t="n">
        <v>62.76</v>
      </c>
      <c r="C143" s="25" t="n">
        <v>62.83</v>
      </c>
      <c r="D143" s="25" t="n">
        <v>62.01</v>
      </c>
      <c r="E143" s="25" t="n">
        <v>62.42</v>
      </c>
      <c r="F143" s="26" t="n">
        <v>22449307</v>
      </c>
      <c r="G143" s="27" t="n">
        <f aca="false">E143-E142</f>
        <v>0.120000000000005</v>
      </c>
      <c r="H143" s="28" t="n">
        <f aca="false">G143/E142</f>
        <v>0.00192616372391661</v>
      </c>
      <c r="I143" s="29" t="n">
        <f aca="false">MAX(G143,0)</f>
        <v>0.120000000000005</v>
      </c>
      <c r="J143" s="29" t="n">
        <f aca="false">MAX(-G143,0)</f>
        <v>0</v>
      </c>
      <c r="K143" s="29" t="n">
        <f aca="false">(K142*13+I143)/14</f>
        <v>0.294898143490056</v>
      </c>
      <c r="L143" s="29" t="n">
        <f aca="false">(L142*13+J143)/14</f>
        <v>0.321847496937285</v>
      </c>
      <c r="M143" s="31" t="n">
        <f aca="false">IF(L143=0,100,100-100/(1+K143/MAX(L143,0.000001)))</f>
        <v>47.8151970860665</v>
      </c>
      <c r="N143" s="30" t="n">
        <f aca="false">AVERAGE(E124:E143)</f>
        <v>62.4215</v>
      </c>
      <c r="O143" s="30" t="n">
        <f aca="false">AVERAGE(E94:E143)</f>
        <v>62.8742</v>
      </c>
      <c r="Q143" s="30" t="n">
        <f aca="false">Q142+(2/13)*(E143-Q142)</f>
        <v>62.5840752293743</v>
      </c>
      <c r="R143" s="30" t="n">
        <f aca="false">R142+(2/27)*(E143-R142)</f>
        <v>62.7450618905581</v>
      </c>
      <c r="S143" s="33" t="n">
        <f aca="false">Q143-R143</f>
        <v>-0.160986661183784</v>
      </c>
      <c r="T143" s="33" t="n">
        <f aca="false">T142+(2/10)*(S143-T142)</f>
        <v>-0.255793610849954</v>
      </c>
      <c r="U143" s="33" t="n">
        <f aca="false">S143-T143</f>
        <v>0.0948069496661694</v>
      </c>
      <c r="V143" s="32" t="str">
        <f aca="false">IF(M143="","",IF(M143&lt;Assumptions!$B$5,"BUY",IF(M143&gt;Assumptions!$B$4,"SELL","HOLD")))</f>
        <v>HOLD</v>
      </c>
      <c r="W143" s="32" t="str">
        <f aca="false">IF(O143="","",IF(E143&gt;O143,"BUY","SELL"))</f>
        <v>SELL</v>
      </c>
      <c r="X143" s="32" t="str">
        <f aca="false">IF(T143="","",IF(S143&gt;T143,"BUY","SELL"))</f>
        <v>BUY</v>
      </c>
      <c r="Y143" s="34" t="n">
        <f aca="false">IF(OR(V143="",W143="",X143=""),"",IFERROR(IF(V143="BUY",1,IF(V143="SELL",-1,0))+IF(W143="BUY",1,IF(W143="SELL",-1,0))+IF(X143="BUY",1,IF(X143="SELL",-1,0)),0))</f>
        <v>0</v>
      </c>
      <c r="Z143" s="32" t="str">
        <f aca="false">IF(Y143="","",IF(Y143&gt;=2,"STRONG BUY",IF(Y143=1,"BUY",IF(Y143=0,"HOLD",IF(Y143=-1,"SELL","STRONG SELL")))))</f>
        <v>HOLD</v>
      </c>
    </row>
    <row r="144" customFormat="false" ht="15" hidden="false" customHeight="false" outlineLevel="0" collapsed="false">
      <c r="A144" s="24" t="n">
        <v>45968</v>
      </c>
      <c r="B144" s="25" t="n">
        <v>60.62</v>
      </c>
      <c r="C144" s="25" t="n">
        <v>60.81</v>
      </c>
      <c r="D144" s="25" t="n">
        <v>60.35</v>
      </c>
      <c r="E144" s="25" t="n">
        <v>60.58</v>
      </c>
      <c r="F144" s="26" t="n">
        <v>28008429</v>
      </c>
      <c r="G144" s="27" t="n">
        <f aca="false">E144-E143</f>
        <v>-1.84</v>
      </c>
      <c r="H144" s="28" t="n">
        <f aca="false">G144/E143</f>
        <v>-0.0294777314963153</v>
      </c>
      <c r="I144" s="29" t="n">
        <f aca="false">MAX(G144,0)</f>
        <v>0</v>
      </c>
      <c r="J144" s="29" t="n">
        <f aca="false">MAX(-G144,0)</f>
        <v>1.84</v>
      </c>
      <c r="K144" s="29" t="n">
        <f aca="false">(K143*13+I144)/14</f>
        <v>0.273833990383623</v>
      </c>
      <c r="L144" s="29" t="n">
        <f aca="false">(L143*13+J144)/14</f>
        <v>0.430286961441765</v>
      </c>
      <c r="M144" s="31" t="n">
        <f aca="false">IF(L144=0,100,100-100/(1+K144/MAX(L144,0.000001)))</f>
        <v>38.8901920435298</v>
      </c>
      <c r="N144" s="30" t="n">
        <f aca="false">AVERAGE(E125:E144)</f>
        <v>62.345</v>
      </c>
      <c r="O144" s="30" t="n">
        <f aca="false">AVERAGE(E95:E144)</f>
        <v>62.7818</v>
      </c>
      <c r="Q144" s="30" t="n">
        <f aca="false">Q143+(2/13)*(E144-Q143)</f>
        <v>62.2757559633167</v>
      </c>
      <c r="R144" s="30" t="n">
        <f aca="false">R143+(2/27)*(E144-R143)</f>
        <v>62.5846869357019</v>
      </c>
      <c r="S144" s="33" t="n">
        <f aca="false">Q144-R144</f>
        <v>-0.30893097238522</v>
      </c>
      <c r="T144" s="33" t="n">
        <f aca="false">T143+(2/10)*(S144-T143)</f>
        <v>-0.266421083157007</v>
      </c>
      <c r="U144" s="33" t="n">
        <f aca="false">S144-T144</f>
        <v>-0.0425098892282126</v>
      </c>
      <c r="V144" s="32" t="str">
        <f aca="false">IF(M144="","",IF(M144&lt;Assumptions!$B$5,"BUY",IF(M144&gt;Assumptions!$B$4,"SELL","HOLD")))</f>
        <v>HOLD</v>
      </c>
      <c r="W144" s="32" t="str">
        <f aca="false">IF(O144="","",IF(E144&gt;O144,"BUY","SELL"))</f>
        <v>SELL</v>
      </c>
      <c r="X144" s="32" t="str">
        <f aca="false">IF(T144="","",IF(S144&gt;T144,"BUY","SELL"))</f>
        <v>SELL</v>
      </c>
      <c r="Y144" s="34" t="n">
        <f aca="false">IF(OR(V144="",W144="",X144=""),"",IFERROR(IF(V144="BUY",1,IF(V144="SELL",-1,0))+IF(W144="BUY",1,IF(W144="SELL",-1,0))+IF(X144="BUY",1,IF(X144="SELL",-1,0)),0))</f>
        <v>-2</v>
      </c>
      <c r="Z144" s="32" t="str">
        <f aca="false">IF(Y144="","",IF(Y144&gt;=2,"STRONG BUY",IF(Y144=1,"BUY",IF(Y144=0,"HOLD",IF(Y144=-1,"SELL","STRONG SELL")))))</f>
        <v>STRONG SELL</v>
      </c>
    </row>
    <row r="145" customFormat="false" ht="15" hidden="false" customHeight="false" outlineLevel="0" collapsed="false">
      <c r="A145" s="24" t="n">
        <v>45971</v>
      </c>
      <c r="B145" s="25" t="n">
        <v>61.05</v>
      </c>
      <c r="C145" s="25" t="n">
        <v>61.44</v>
      </c>
      <c r="D145" s="25" t="n">
        <v>60.68</v>
      </c>
      <c r="E145" s="25" t="n">
        <v>61.06</v>
      </c>
      <c r="F145" s="26" t="n">
        <v>21260531</v>
      </c>
      <c r="G145" s="27" t="n">
        <f aca="false">E145-E144</f>
        <v>0.480000000000004</v>
      </c>
      <c r="H145" s="28" t="n">
        <f aca="false">G145/E144</f>
        <v>0.00792340706503803</v>
      </c>
      <c r="I145" s="29" t="n">
        <f aca="false">MAX(G145,0)</f>
        <v>0.480000000000004</v>
      </c>
      <c r="J145" s="29" t="n">
        <f aca="false">MAX(-G145,0)</f>
        <v>0</v>
      </c>
      <c r="K145" s="29" t="n">
        <f aca="false">(K144*13+I145)/14</f>
        <v>0.28856013392765</v>
      </c>
      <c r="L145" s="29" t="n">
        <f aca="false">(L144*13+J145)/14</f>
        <v>0.399552178481639</v>
      </c>
      <c r="M145" s="31" t="n">
        <f aca="false">IF(L145=0,100,100-100/(1+K145/MAX(L145,0.000001)))</f>
        <v>41.9350342558636</v>
      </c>
      <c r="N145" s="30" t="n">
        <f aca="false">AVERAGE(E126:E145)</f>
        <v>62.276</v>
      </c>
      <c r="O145" s="30" t="n">
        <f aca="false">AVERAGE(E96:E145)</f>
        <v>62.719</v>
      </c>
      <c r="Q145" s="30" t="n">
        <f aca="false">Q144+(2/13)*(E145-Q144)</f>
        <v>62.0887165843449</v>
      </c>
      <c r="R145" s="30" t="n">
        <f aca="false">R144+(2/27)*(E145-R144)</f>
        <v>62.471747162687</v>
      </c>
      <c r="S145" s="33" t="n">
        <f aca="false">Q145-R145</f>
        <v>-0.383030578342066</v>
      </c>
      <c r="T145" s="33" t="n">
        <f aca="false">T144+(2/10)*(S145-T144)</f>
        <v>-0.289742982194019</v>
      </c>
      <c r="U145" s="33" t="n">
        <f aca="false">S145-T145</f>
        <v>-0.0932875961480469</v>
      </c>
      <c r="V145" s="32" t="str">
        <f aca="false">IF(M145="","",IF(M145&lt;Assumptions!$B$5,"BUY",IF(M145&gt;Assumptions!$B$4,"SELL","HOLD")))</f>
        <v>HOLD</v>
      </c>
      <c r="W145" s="32" t="str">
        <f aca="false">IF(O145="","",IF(E145&gt;O145,"BUY","SELL"))</f>
        <v>SELL</v>
      </c>
      <c r="X145" s="32" t="str">
        <f aca="false">IF(T145="","",IF(S145&gt;T145,"BUY","SELL"))</f>
        <v>SELL</v>
      </c>
      <c r="Y145" s="34" t="n">
        <f aca="false">IF(OR(V145="",W145="",X145=""),"",IFERROR(IF(V145="BUY",1,IF(V145="SELL",-1,0))+IF(W145="BUY",1,IF(W145="SELL",-1,0))+IF(X145="BUY",1,IF(X145="SELL",-1,0)),0))</f>
        <v>-2</v>
      </c>
      <c r="Z145" s="32" t="str">
        <f aca="false">IF(Y145="","",IF(Y145&gt;=2,"STRONG BUY",IF(Y145=1,"BUY",IF(Y145=0,"HOLD",IF(Y145=-1,"SELL","STRONG SELL")))))</f>
        <v>STRONG SELL</v>
      </c>
    </row>
    <row r="146" customFormat="false" ht="15" hidden="false" customHeight="false" outlineLevel="0" collapsed="false">
      <c r="A146" s="24" t="n">
        <v>45972</v>
      </c>
      <c r="B146" s="25" t="n">
        <v>60.11</v>
      </c>
      <c r="C146" s="25" t="n">
        <v>60.12</v>
      </c>
      <c r="D146" s="25" t="n">
        <v>60.04</v>
      </c>
      <c r="E146" s="25" t="n">
        <v>60.08</v>
      </c>
      <c r="F146" s="26" t="n">
        <v>30962892</v>
      </c>
      <c r="G146" s="27" t="n">
        <f aca="false">E146-E145</f>
        <v>-0.980000000000004</v>
      </c>
      <c r="H146" s="28" t="n">
        <f aca="false">G146/E145</f>
        <v>-0.0160497870946611</v>
      </c>
      <c r="I146" s="29" t="n">
        <f aca="false">MAX(G146,0)</f>
        <v>0</v>
      </c>
      <c r="J146" s="29" t="n">
        <f aca="false">MAX(-G146,0)</f>
        <v>0.980000000000004</v>
      </c>
      <c r="K146" s="29" t="n">
        <f aca="false">(K145*13+I146)/14</f>
        <v>0.267948695789961</v>
      </c>
      <c r="L146" s="29" t="n">
        <f aca="false">(L145*13+J146)/14</f>
        <v>0.441012737161522</v>
      </c>
      <c r="M146" s="31" t="n">
        <f aca="false">IF(L146=0,100,100-100/(1+K146/MAX(L146,0.000001)))</f>
        <v>37.7945376625724</v>
      </c>
      <c r="N146" s="30" t="n">
        <f aca="false">AVERAGE(E127:E146)</f>
        <v>62.194</v>
      </c>
      <c r="O146" s="30" t="n">
        <f aca="false">AVERAGE(E97:E146)</f>
        <v>62.6394</v>
      </c>
      <c r="Q146" s="30" t="n">
        <f aca="false">Q145+(2/13)*(E146-Q145)</f>
        <v>61.7796832636765</v>
      </c>
      <c r="R146" s="30" t="n">
        <f aca="false">R145+(2/27)*(E146-R145)</f>
        <v>62.2945807061916</v>
      </c>
      <c r="S146" s="33" t="n">
        <f aca="false">Q146-R146</f>
        <v>-0.514897442515178</v>
      </c>
      <c r="T146" s="33" t="n">
        <f aca="false">T145+(2/10)*(S146-T145)</f>
        <v>-0.334773874258251</v>
      </c>
      <c r="U146" s="33" t="n">
        <f aca="false">S146-T146</f>
        <v>-0.180123568256927</v>
      </c>
      <c r="V146" s="32" t="str">
        <f aca="false">IF(M146="","",IF(M146&lt;Assumptions!$B$5,"BUY",IF(M146&gt;Assumptions!$B$4,"SELL","HOLD")))</f>
        <v>HOLD</v>
      </c>
      <c r="W146" s="32" t="str">
        <f aca="false">IF(O146="","",IF(E146&gt;O146,"BUY","SELL"))</f>
        <v>SELL</v>
      </c>
      <c r="X146" s="32" t="str">
        <f aca="false">IF(T146="","",IF(S146&gt;T146,"BUY","SELL"))</f>
        <v>SELL</v>
      </c>
      <c r="Y146" s="34" t="n">
        <f aca="false">IF(OR(V146="",W146="",X146=""),"",IFERROR(IF(V146="BUY",1,IF(V146="SELL",-1,0))+IF(W146="BUY",1,IF(W146="SELL",-1,0))+IF(X146="BUY",1,IF(X146="SELL",-1,0)),0))</f>
        <v>-2</v>
      </c>
      <c r="Z146" s="32" t="str">
        <f aca="false">IF(Y146="","",IF(Y146&gt;=2,"STRONG BUY",IF(Y146=1,"BUY",IF(Y146=0,"HOLD",IF(Y146=-1,"SELL","STRONG SELL")))))</f>
        <v>STRONG SELL</v>
      </c>
    </row>
    <row r="147" customFormat="false" ht="15" hidden="false" customHeight="false" outlineLevel="0" collapsed="false">
      <c r="A147" s="24" t="n">
        <v>45973</v>
      </c>
      <c r="B147" s="25" t="n">
        <v>60.68</v>
      </c>
      <c r="C147" s="25" t="n">
        <v>60.68</v>
      </c>
      <c r="D147" s="25" t="n">
        <v>60.34</v>
      </c>
      <c r="E147" s="25" t="n">
        <v>60.51</v>
      </c>
      <c r="F147" s="26" t="n">
        <v>27880794</v>
      </c>
      <c r="G147" s="27" t="n">
        <f aca="false">E147-E146</f>
        <v>0.43</v>
      </c>
      <c r="H147" s="28" t="n">
        <f aca="false">G147/E146</f>
        <v>0.00715712383488681</v>
      </c>
      <c r="I147" s="29" t="n">
        <f aca="false">MAX(G147,0)</f>
        <v>0.43</v>
      </c>
      <c r="J147" s="29" t="n">
        <f aca="false">MAX(-G147,0)</f>
        <v>0</v>
      </c>
      <c r="K147" s="29" t="n">
        <f aca="false">(K146*13+I147)/14</f>
        <v>0.279523788947821</v>
      </c>
      <c r="L147" s="29" t="n">
        <f aca="false">(L146*13+J147)/14</f>
        <v>0.409511827364271</v>
      </c>
      <c r="M147" s="31" t="n">
        <f aca="false">IF(L147=0,100,100-100/(1+K147/MAX(L147,0.000001)))</f>
        <v>40.5673933727707</v>
      </c>
      <c r="N147" s="30" t="n">
        <f aca="false">AVERAGE(E128:E147)</f>
        <v>62.1435</v>
      </c>
      <c r="O147" s="30" t="n">
        <f aca="false">AVERAGE(E98:E147)</f>
        <v>62.5776</v>
      </c>
      <c r="Q147" s="30" t="n">
        <f aca="false">Q146+(2/13)*(E147-Q146)</f>
        <v>61.584347376957</v>
      </c>
      <c r="R147" s="30" t="n">
        <f aca="false">R146+(2/27)*(E147-R146)</f>
        <v>62.16238954277</v>
      </c>
      <c r="S147" s="33" t="n">
        <f aca="false">Q147-R147</f>
        <v>-0.578042165813031</v>
      </c>
      <c r="T147" s="33" t="n">
        <f aca="false">T146+(2/10)*(S147-T146)</f>
        <v>-0.383427532569207</v>
      </c>
      <c r="U147" s="33" t="n">
        <f aca="false">S147-T147</f>
        <v>-0.194614633243824</v>
      </c>
      <c r="V147" s="32" t="str">
        <f aca="false">IF(M147="","",IF(M147&lt;Assumptions!$B$5,"BUY",IF(M147&gt;Assumptions!$B$4,"SELL","HOLD")))</f>
        <v>HOLD</v>
      </c>
      <c r="W147" s="32" t="str">
        <f aca="false">IF(O147="","",IF(E147&gt;O147,"BUY","SELL"))</f>
        <v>SELL</v>
      </c>
      <c r="X147" s="32" t="str">
        <f aca="false">IF(T147="","",IF(S147&gt;T147,"BUY","SELL"))</f>
        <v>SELL</v>
      </c>
      <c r="Y147" s="34" t="n">
        <f aca="false">IF(OR(V147="",W147="",X147=""),"",IFERROR(IF(V147="BUY",1,IF(V147="SELL",-1,0))+IF(W147="BUY",1,IF(W147="SELL",-1,0))+IF(X147="BUY",1,IF(X147="SELL",-1,0)),0))</f>
        <v>-2</v>
      </c>
      <c r="Z147" s="32" t="str">
        <f aca="false">IF(Y147="","",IF(Y147&gt;=2,"STRONG BUY",IF(Y147=1,"BUY",IF(Y147=0,"HOLD",IF(Y147=-1,"SELL","STRONG SELL")))))</f>
        <v>STRONG SELL</v>
      </c>
    </row>
    <row r="148" customFormat="false" ht="15" hidden="false" customHeight="false" outlineLevel="0" collapsed="false">
      <c r="A148" s="24" t="n">
        <v>45974</v>
      </c>
      <c r="B148" s="25" t="n">
        <v>60.58</v>
      </c>
      <c r="C148" s="25" t="n">
        <v>61.78</v>
      </c>
      <c r="D148" s="25" t="n">
        <v>60.58</v>
      </c>
      <c r="E148" s="25" t="n">
        <v>61.18</v>
      </c>
      <c r="F148" s="26" t="n">
        <v>19376553</v>
      </c>
      <c r="G148" s="27" t="n">
        <f aca="false">E148-E147</f>
        <v>0.670000000000002</v>
      </c>
      <c r="H148" s="28" t="n">
        <f aca="false">G148/E147</f>
        <v>0.0110725499917369</v>
      </c>
      <c r="I148" s="29" t="n">
        <f aca="false">MAX(G148,0)</f>
        <v>0.670000000000002</v>
      </c>
      <c r="J148" s="29" t="n">
        <f aca="false">MAX(-G148,0)</f>
        <v>0</v>
      </c>
      <c r="K148" s="29" t="n">
        <f aca="false">(K147*13+I148)/14</f>
        <v>0.30741494688012</v>
      </c>
      <c r="L148" s="29" t="n">
        <f aca="false">(L147*13+J148)/14</f>
        <v>0.380260982552537</v>
      </c>
      <c r="M148" s="31" t="n">
        <f aca="false">IF(L148=0,100,100-100/(1+K148/MAX(L148,0.000001)))</f>
        <v>44.7034618666589</v>
      </c>
      <c r="N148" s="30" t="n">
        <f aca="false">AVERAGE(E129:E148)</f>
        <v>62.073</v>
      </c>
      <c r="O148" s="30" t="n">
        <f aca="false">AVERAGE(E99:E148)</f>
        <v>62.5236</v>
      </c>
      <c r="Q148" s="30" t="n">
        <f aca="false">Q147+(2/13)*(E148-Q147)</f>
        <v>61.5221400881944</v>
      </c>
      <c r="R148" s="30" t="n">
        <f aca="false">R147+(2/27)*(E148-R147)</f>
        <v>62.0896199470093</v>
      </c>
      <c r="S148" s="33" t="n">
        <f aca="false">Q148-R148</f>
        <v>-0.567479858814899</v>
      </c>
      <c r="T148" s="33" t="n">
        <f aca="false">T147+(2/10)*(S148-T147)</f>
        <v>-0.420237997818345</v>
      </c>
      <c r="U148" s="33" t="n">
        <f aca="false">S148-T148</f>
        <v>-0.147241860996554</v>
      </c>
      <c r="V148" s="32" t="str">
        <f aca="false">IF(M148="","",IF(M148&lt;Assumptions!$B$5,"BUY",IF(M148&gt;Assumptions!$B$4,"SELL","HOLD")))</f>
        <v>HOLD</v>
      </c>
      <c r="W148" s="32" t="str">
        <f aca="false">IF(O148="","",IF(E148&gt;O148,"BUY","SELL"))</f>
        <v>SELL</v>
      </c>
      <c r="X148" s="32" t="str">
        <f aca="false">IF(T148="","",IF(S148&gt;T148,"BUY","SELL"))</f>
        <v>SELL</v>
      </c>
      <c r="Y148" s="34" t="n">
        <f aca="false">IF(OR(V148="",W148="",X148=""),"",IFERROR(IF(V148="BUY",1,IF(V148="SELL",-1,0))+IF(W148="BUY",1,IF(W148="SELL",-1,0))+IF(X148="BUY",1,IF(X148="SELL",-1,0)),0))</f>
        <v>-2</v>
      </c>
      <c r="Z148" s="32" t="str">
        <f aca="false">IF(Y148="","",IF(Y148&gt;=2,"STRONG BUY",IF(Y148=1,"BUY",IF(Y148=0,"HOLD",IF(Y148=-1,"SELL","STRONG SELL")))))</f>
        <v>STRONG SELL</v>
      </c>
    </row>
    <row r="149" customFormat="false" ht="15" hidden="false" customHeight="false" outlineLevel="0" collapsed="false">
      <c r="A149" s="24" t="n">
        <v>45975</v>
      </c>
      <c r="B149" s="25" t="n">
        <v>60.23</v>
      </c>
      <c r="C149" s="25" t="n">
        <v>61.15</v>
      </c>
      <c r="D149" s="25" t="n">
        <v>60.23</v>
      </c>
      <c r="E149" s="25" t="n">
        <v>60.69</v>
      </c>
      <c r="F149" s="26" t="n">
        <v>37990565</v>
      </c>
      <c r="G149" s="27" t="n">
        <f aca="false">E149-E148</f>
        <v>-0.490000000000002</v>
      </c>
      <c r="H149" s="28" t="n">
        <f aca="false">G149/E148</f>
        <v>-0.00800915331807784</v>
      </c>
      <c r="I149" s="29" t="n">
        <f aca="false">MAX(G149,0)</f>
        <v>0</v>
      </c>
      <c r="J149" s="29" t="n">
        <f aca="false">MAX(-G149,0)</f>
        <v>0.490000000000002</v>
      </c>
      <c r="K149" s="29" t="n">
        <f aca="false">(K148*13+I149)/14</f>
        <v>0.285456736388683</v>
      </c>
      <c r="L149" s="29" t="n">
        <f aca="false">(L148*13+J149)/14</f>
        <v>0.388099483798785</v>
      </c>
      <c r="M149" s="31" t="n">
        <f aca="false">IF(L149=0,100,100-100/(1+K149/MAX(L149,0.000001)))</f>
        <v>42.3805360017658</v>
      </c>
      <c r="N149" s="30" t="n">
        <f aca="false">AVERAGE(E130:E149)</f>
        <v>61.985</v>
      </c>
      <c r="O149" s="30" t="n">
        <f aca="false">AVERAGE(E100:E149)</f>
        <v>62.4868</v>
      </c>
      <c r="Q149" s="30" t="n">
        <f aca="false">Q148+(2/13)*(E149-Q148)</f>
        <v>61.3941185361645</v>
      </c>
      <c r="R149" s="30" t="n">
        <f aca="false">R148+(2/27)*(E149-R148)</f>
        <v>61.985944395379</v>
      </c>
      <c r="S149" s="33" t="n">
        <f aca="false">Q149-R149</f>
        <v>-0.591825859214488</v>
      </c>
      <c r="T149" s="33" t="n">
        <f aca="false">T148+(2/10)*(S149-T148)</f>
        <v>-0.454555570097574</v>
      </c>
      <c r="U149" s="33" t="n">
        <f aca="false">S149-T149</f>
        <v>-0.137270289116914</v>
      </c>
      <c r="V149" s="32" t="str">
        <f aca="false">IF(M149="","",IF(M149&lt;Assumptions!$B$5,"BUY",IF(M149&gt;Assumptions!$B$4,"SELL","HOLD")))</f>
        <v>HOLD</v>
      </c>
      <c r="W149" s="32" t="str">
        <f aca="false">IF(O149="","",IF(E149&gt;O149,"BUY","SELL"))</f>
        <v>SELL</v>
      </c>
      <c r="X149" s="32" t="str">
        <f aca="false">IF(T149="","",IF(S149&gt;T149,"BUY","SELL"))</f>
        <v>SELL</v>
      </c>
      <c r="Y149" s="34" t="n">
        <f aca="false">IF(OR(V149="",W149="",X149=""),"",IFERROR(IF(V149="BUY",1,IF(V149="SELL",-1,0))+IF(W149="BUY",1,IF(W149="SELL",-1,0))+IF(X149="BUY",1,IF(X149="SELL",-1,0)),0))</f>
        <v>-2</v>
      </c>
      <c r="Z149" s="32" t="str">
        <f aca="false">IF(Y149="","",IF(Y149&gt;=2,"STRONG BUY",IF(Y149=1,"BUY",IF(Y149=0,"HOLD",IF(Y149=-1,"SELL","STRONG SELL")))))</f>
        <v>STRONG SELL</v>
      </c>
    </row>
    <row r="150" customFormat="false" ht="15" hidden="false" customHeight="false" outlineLevel="0" collapsed="false">
      <c r="A150" s="24" t="n">
        <v>45978</v>
      </c>
      <c r="B150" s="25" t="n">
        <v>60.65</v>
      </c>
      <c r="C150" s="25" t="n">
        <v>60.71</v>
      </c>
      <c r="D150" s="25" t="n">
        <v>60.65</v>
      </c>
      <c r="E150" s="25" t="n">
        <v>60.68</v>
      </c>
      <c r="F150" s="26" t="n">
        <v>31348919</v>
      </c>
      <c r="G150" s="27" t="n">
        <f aca="false">E150-E149</f>
        <v>-0.00999999999999801</v>
      </c>
      <c r="H150" s="28" t="n">
        <f aca="false">G150/E149</f>
        <v>-0.000164771791069336</v>
      </c>
      <c r="I150" s="29" t="n">
        <f aca="false">MAX(G150,0)</f>
        <v>0</v>
      </c>
      <c r="J150" s="29" t="n">
        <f aca="false">MAX(-G150,0)</f>
        <v>0.00999999999999801</v>
      </c>
      <c r="K150" s="29" t="n">
        <f aca="false">(K149*13+I150)/14</f>
        <v>0.265066969503777</v>
      </c>
      <c r="L150" s="29" t="n">
        <f aca="false">(L149*13+J150)/14</f>
        <v>0.361092377813157</v>
      </c>
      <c r="M150" s="31" t="n">
        <f aca="false">IF(L150=0,100,100-100/(1+K150/MAX(L150,0.000001)))</f>
        <v>42.3321907817199</v>
      </c>
      <c r="N150" s="30" t="n">
        <f aca="false">AVERAGE(E131:E150)</f>
        <v>61.916</v>
      </c>
      <c r="O150" s="30" t="n">
        <f aca="false">AVERAGE(E101:E150)</f>
        <v>62.4662</v>
      </c>
      <c r="Q150" s="30" t="n">
        <f aca="false">Q149+(2/13)*(E150-Q149)</f>
        <v>61.2842541459853</v>
      </c>
      <c r="R150" s="30" t="n">
        <f aca="false">R149+(2/27)*(E150-R149)</f>
        <v>61.8892077734991</v>
      </c>
      <c r="S150" s="33" t="n">
        <f aca="false">Q150-R150</f>
        <v>-0.604953627513716</v>
      </c>
      <c r="T150" s="33" t="n">
        <f aca="false">T149+(2/10)*(S150-T149)</f>
        <v>-0.484635181580802</v>
      </c>
      <c r="U150" s="33" t="n">
        <f aca="false">S150-T150</f>
        <v>-0.120318445932914</v>
      </c>
      <c r="V150" s="32" t="str">
        <f aca="false">IF(M150="","",IF(M150&lt;Assumptions!$B$5,"BUY",IF(M150&gt;Assumptions!$B$4,"SELL","HOLD")))</f>
        <v>HOLD</v>
      </c>
      <c r="W150" s="32" t="str">
        <f aca="false">IF(O150="","",IF(E150&gt;O150,"BUY","SELL"))</f>
        <v>SELL</v>
      </c>
      <c r="X150" s="32" t="str">
        <f aca="false">IF(T150="","",IF(S150&gt;T150,"BUY","SELL"))</f>
        <v>SELL</v>
      </c>
      <c r="Y150" s="34" t="n">
        <f aca="false">IF(OR(V150="",W150="",X150=""),"",IFERROR(IF(V150="BUY",1,IF(V150="SELL",-1,0))+IF(W150="BUY",1,IF(W150="SELL",-1,0))+IF(X150="BUY",1,IF(X150="SELL",-1,0)),0))</f>
        <v>-2</v>
      </c>
      <c r="Z150" s="32" t="str">
        <f aca="false">IF(Y150="","",IF(Y150&gt;=2,"STRONG BUY",IF(Y150=1,"BUY",IF(Y150=0,"HOLD",IF(Y150=-1,"SELL","STRONG SELL")))))</f>
        <v>STRONG SELL</v>
      </c>
    </row>
    <row r="151" customFormat="false" ht="15" hidden="false" customHeight="false" outlineLevel="0" collapsed="false">
      <c r="A151" s="24" t="n">
        <v>45979</v>
      </c>
      <c r="B151" s="25" t="n">
        <v>61.58</v>
      </c>
      <c r="C151" s="25" t="n">
        <v>62.2</v>
      </c>
      <c r="D151" s="25" t="n">
        <v>61.42</v>
      </c>
      <c r="E151" s="25" t="n">
        <v>61.81</v>
      </c>
      <c r="F151" s="26" t="n">
        <v>37815653</v>
      </c>
      <c r="G151" s="27" t="n">
        <f aca="false">E151-E150</f>
        <v>1.13</v>
      </c>
      <c r="H151" s="28" t="n">
        <f aca="false">G151/E150</f>
        <v>0.0186222808174028</v>
      </c>
      <c r="I151" s="29" t="n">
        <f aca="false">MAX(G151,0)</f>
        <v>1.13</v>
      </c>
      <c r="J151" s="29" t="n">
        <f aca="false">MAX(-G151,0)</f>
        <v>0</v>
      </c>
      <c r="K151" s="29" t="n">
        <f aca="false">(K150*13+I151)/14</f>
        <v>0.326847900253507</v>
      </c>
      <c r="L151" s="29" t="n">
        <f aca="false">(L150*13+J151)/14</f>
        <v>0.335300065112217</v>
      </c>
      <c r="M151" s="31" t="n">
        <f aca="false">IF(L151=0,100,100-100/(1+K151/MAX(L151,0.000001)))</f>
        <v>49.3617616227182</v>
      </c>
      <c r="N151" s="30" t="n">
        <f aca="false">AVERAGE(E132:E151)</f>
        <v>61.886</v>
      </c>
      <c r="O151" s="30" t="n">
        <f aca="false">AVERAGE(E102:E151)</f>
        <v>62.4284</v>
      </c>
      <c r="Q151" s="30" t="n">
        <f aca="false">Q150+(2/13)*(E151-Q150)</f>
        <v>61.3651381235261</v>
      </c>
      <c r="R151" s="30" t="n">
        <f aca="false">R150+(2/27)*(E151-R150)</f>
        <v>61.8833405310176</v>
      </c>
      <c r="S151" s="33" t="n">
        <f aca="false">Q151-R151</f>
        <v>-0.518202407491593</v>
      </c>
      <c r="T151" s="33" t="n">
        <f aca="false">T150+(2/10)*(S151-T150)</f>
        <v>-0.49134862676296</v>
      </c>
      <c r="U151" s="33" t="n">
        <f aca="false">S151-T151</f>
        <v>-0.0268537807286328</v>
      </c>
      <c r="V151" s="32" t="str">
        <f aca="false">IF(M151="","",IF(M151&lt;Assumptions!$B$5,"BUY",IF(M151&gt;Assumptions!$B$4,"SELL","HOLD")))</f>
        <v>HOLD</v>
      </c>
      <c r="W151" s="32" t="str">
        <f aca="false">IF(O151="","",IF(E151&gt;O151,"BUY","SELL"))</f>
        <v>SELL</v>
      </c>
      <c r="X151" s="32" t="str">
        <f aca="false">IF(T151="","",IF(S151&gt;T151,"BUY","SELL"))</f>
        <v>SELL</v>
      </c>
      <c r="Y151" s="34" t="n">
        <f aca="false">IF(OR(V151="",W151="",X151=""),"",IFERROR(IF(V151="BUY",1,IF(V151="SELL",-1,0))+IF(W151="BUY",1,IF(W151="SELL",-1,0))+IF(X151="BUY",1,IF(X151="SELL",-1,0)),0))</f>
        <v>-2</v>
      </c>
      <c r="Z151" s="32" t="str">
        <f aca="false">IF(Y151="","",IF(Y151&gt;=2,"STRONG BUY",IF(Y151=1,"BUY",IF(Y151=0,"HOLD",IF(Y151=-1,"SELL","STRONG SELL")))))</f>
        <v>STRONG SELL</v>
      </c>
    </row>
    <row r="152" customFormat="false" ht="15" hidden="false" customHeight="false" outlineLevel="0" collapsed="false">
      <c r="A152" s="24" t="n">
        <v>45980</v>
      </c>
      <c r="B152" s="25" t="n">
        <v>60.16</v>
      </c>
      <c r="C152" s="25" t="n">
        <v>60.44</v>
      </c>
      <c r="D152" s="25" t="n">
        <v>60.16</v>
      </c>
      <c r="E152" s="25" t="n">
        <v>60.3</v>
      </c>
      <c r="F152" s="26" t="n">
        <v>42569659</v>
      </c>
      <c r="G152" s="27" t="n">
        <f aca="false">E152-E151</f>
        <v>-1.51000000000001</v>
      </c>
      <c r="H152" s="28" t="n">
        <f aca="false">G152/E151</f>
        <v>-0.0244297039314028</v>
      </c>
      <c r="I152" s="29" t="n">
        <f aca="false">MAX(G152,0)</f>
        <v>0</v>
      </c>
      <c r="J152" s="29" t="n">
        <f aca="false">MAX(-G152,0)</f>
        <v>1.51000000000001</v>
      </c>
      <c r="K152" s="29" t="n">
        <f aca="false">(K151*13+I152)/14</f>
        <v>0.303501621663971</v>
      </c>
      <c r="L152" s="29" t="n">
        <f aca="false">(L151*13+J152)/14</f>
        <v>0.419207203318488</v>
      </c>
      <c r="M152" s="31" t="n">
        <f aca="false">IF(L152=0,100,100-100/(1+K152/MAX(L152,0.000001)))</f>
        <v>41.9950070031783</v>
      </c>
      <c r="N152" s="30" t="n">
        <f aca="false">AVERAGE(E133:E152)</f>
        <v>61.7985</v>
      </c>
      <c r="O152" s="30" t="n">
        <f aca="false">AVERAGE(E103:E152)</f>
        <v>62.3762</v>
      </c>
      <c r="Q152" s="30" t="n">
        <f aca="false">Q151+(2/13)*(E152-Q151)</f>
        <v>61.2012707199067</v>
      </c>
      <c r="R152" s="30" t="n">
        <f aca="false">R151+(2/27)*(E152-R151)</f>
        <v>61.7660560472386</v>
      </c>
      <c r="S152" s="33" t="n">
        <f aca="false">Q152-R152</f>
        <v>-0.564785327331897</v>
      </c>
      <c r="T152" s="33" t="n">
        <f aca="false">T151+(2/10)*(S152-T151)</f>
        <v>-0.506035966876748</v>
      </c>
      <c r="U152" s="33" t="n">
        <f aca="false">S152-T152</f>
        <v>-0.0587493604551497</v>
      </c>
      <c r="V152" s="32" t="str">
        <f aca="false">IF(M152="","",IF(M152&lt;Assumptions!$B$5,"BUY",IF(M152&gt;Assumptions!$B$4,"SELL","HOLD")))</f>
        <v>HOLD</v>
      </c>
      <c r="W152" s="32" t="str">
        <f aca="false">IF(O152="","",IF(E152&gt;O152,"BUY","SELL"))</f>
        <v>SELL</v>
      </c>
      <c r="X152" s="32" t="str">
        <f aca="false">IF(T152="","",IF(S152&gt;T152,"BUY","SELL"))</f>
        <v>SELL</v>
      </c>
      <c r="Y152" s="34" t="n">
        <f aca="false">IF(OR(V152="",W152="",X152=""),"",IFERROR(IF(V152="BUY",1,IF(V152="SELL",-1,0))+IF(W152="BUY",1,IF(W152="SELL",-1,0))+IF(X152="BUY",1,IF(X152="SELL",-1,0)),0))</f>
        <v>-2</v>
      </c>
      <c r="Z152" s="32" t="str">
        <f aca="false">IF(Y152="","",IF(Y152&gt;=2,"STRONG BUY",IF(Y152=1,"BUY",IF(Y152=0,"HOLD",IF(Y152=-1,"SELL","STRONG SELL")))))</f>
        <v>STRONG SELL</v>
      </c>
    </row>
    <row r="153" customFormat="false" ht="15" hidden="false" customHeight="false" outlineLevel="0" collapsed="false">
      <c r="A153" s="24" t="n">
        <v>45981</v>
      </c>
      <c r="B153" s="25" t="n">
        <v>60.81</v>
      </c>
      <c r="C153" s="25" t="n">
        <v>61.23</v>
      </c>
      <c r="D153" s="25" t="n">
        <v>60.55</v>
      </c>
      <c r="E153" s="25" t="n">
        <v>60.89</v>
      </c>
      <c r="F153" s="26" t="n">
        <v>18092029</v>
      </c>
      <c r="G153" s="27" t="n">
        <f aca="false">E153-E152</f>
        <v>0.590000000000003</v>
      </c>
      <c r="H153" s="28" t="n">
        <f aca="false">G153/E152</f>
        <v>0.00978441127694865</v>
      </c>
      <c r="I153" s="29" t="n">
        <f aca="false">MAX(G153,0)</f>
        <v>0.590000000000003</v>
      </c>
      <c r="J153" s="29" t="n">
        <f aca="false">MAX(-G153,0)</f>
        <v>0</v>
      </c>
      <c r="K153" s="29" t="n">
        <f aca="false">(K152*13+I153)/14</f>
        <v>0.323965791545116</v>
      </c>
      <c r="L153" s="29" t="n">
        <f aca="false">(L152*13+J153)/14</f>
        <v>0.389263831652881</v>
      </c>
      <c r="M153" s="31" t="n">
        <f aca="false">IF(L153=0,100,100-100/(1+K153/MAX(L153,0.000001)))</f>
        <v>45.4223690390915</v>
      </c>
      <c r="N153" s="30" t="n">
        <f aca="false">AVERAGE(E134:E153)</f>
        <v>61.69</v>
      </c>
      <c r="O153" s="30" t="n">
        <f aca="false">AVERAGE(E104:E153)</f>
        <v>62.3436</v>
      </c>
      <c r="Q153" s="30" t="n">
        <f aca="false">Q152+(2/13)*(E153-Q152)</f>
        <v>61.1533829168441</v>
      </c>
      <c r="R153" s="30" t="n">
        <f aca="false">R152+(2/27)*(E153-R152)</f>
        <v>61.7011630067024</v>
      </c>
      <c r="S153" s="33" t="n">
        <f aca="false">Q153-R153</f>
        <v>-0.547780089858271</v>
      </c>
      <c r="T153" s="33" t="n">
        <f aca="false">T152+(2/10)*(S153-T152)</f>
        <v>-0.514384791473052</v>
      </c>
      <c r="U153" s="33" t="n">
        <f aca="false">S153-T153</f>
        <v>-0.033395298385219</v>
      </c>
      <c r="V153" s="32" t="str">
        <f aca="false">IF(M153="","",IF(M153&lt;Assumptions!$B$5,"BUY",IF(M153&gt;Assumptions!$B$4,"SELL","HOLD")))</f>
        <v>HOLD</v>
      </c>
      <c r="W153" s="32" t="str">
        <f aca="false">IF(O153="","",IF(E153&gt;O153,"BUY","SELL"))</f>
        <v>SELL</v>
      </c>
      <c r="X153" s="32" t="str">
        <f aca="false">IF(T153="","",IF(S153&gt;T153,"BUY","SELL"))</f>
        <v>SELL</v>
      </c>
      <c r="Y153" s="34" t="n">
        <f aca="false">IF(OR(V153="",W153="",X153=""),"",IFERROR(IF(V153="BUY",1,IF(V153="SELL",-1,0))+IF(W153="BUY",1,IF(W153="SELL",-1,0))+IF(X153="BUY",1,IF(X153="SELL",-1,0)),0))</f>
        <v>-2</v>
      </c>
      <c r="Z153" s="32" t="str">
        <f aca="false">IF(Y153="","",IF(Y153&gt;=2,"STRONG BUY",IF(Y153=1,"BUY",IF(Y153=0,"HOLD",IF(Y153=-1,"SELL","STRONG SELL")))))</f>
        <v>STRONG SELL</v>
      </c>
    </row>
    <row r="154" customFormat="false" ht="15" hidden="false" customHeight="false" outlineLevel="0" collapsed="false">
      <c r="A154" s="24" t="n">
        <v>45982</v>
      </c>
      <c r="B154" s="25" t="n">
        <v>61.07</v>
      </c>
      <c r="C154" s="25" t="n">
        <v>61.07</v>
      </c>
      <c r="D154" s="25" t="n">
        <v>60.93</v>
      </c>
      <c r="E154" s="25" t="n">
        <v>61</v>
      </c>
      <c r="F154" s="26" t="n">
        <v>16403069</v>
      </c>
      <c r="G154" s="27" t="n">
        <f aca="false">E154-E153</f>
        <v>0.109999999999999</v>
      </c>
      <c r="H154" s="28" t="n">
        <f aca="false">G154/E153</f>
        <v>0.0018065363770734</v>
      </c>
      <c r="I154" s="29" t="n">
        <f aca="false">MAX(G154,0)</f>
        <v>0.109999999999999</v>
      </c>
      <c r="J154" s="29" t="n">
        <f aca="false">MAX(-G154,0)</f>
        <v>0</v>
      </c>
      <c r="K154" s="29" t="n">
        <f aca="false">(K153*13+I154)/14</f>
        <v>0.308682520720465</v>
      </c>
      <c r="L154" s="29" t="n">
        <f aca="false">(L153*13+J154)/14</f>
        <v>0.361459272249104</v>
      </c>
      <c r="M154" s="31" t="n">
        <f aca="false">IF(L154=0,100,100-100/(1+K154/MAX(L154,0.000001)))</f>
        <v>46.0622698000395</v>
      </c>
      <c r="N154" s="30" t="n">
        <f aca="false">AVERAGE(E135:E154)</f>
        <v>61.595</v>
      </c>
      <c r="O154" s="30" t="n">
        <f aca="false">AVERAGE(E105:E154)</f>
        <v>62.3164</v>
      </c>
      <c r="Q154" s="30" t="n">
        <f aca="false">Q153+(2/13)*(E154-Q153)</f>
        <v>61.1297855450219</v>
      </c>
      <c r="R154" s="30" t="n">
        <f aca="false">R153+(2/27)*(E154-R153)</f>
        <v>61.6492250062059</v>
      </c>
      <c r="S154" s="33" t="n">
        <f aca="false">Q154-R154</f>
        <v>-0.519439461183971</v>
      </c>
      <c r="T154" s="33" t="n">
        <f aca="false">T153+(2/10)*(S154-T153)</f>
        <v>-0.515395725415236</v>
      </c>
      <c r="U154" s="33" t="n">
        <f aca="false">S154-T154</f>
        <v>-0.00404373576873507</v>
      </c>
      <c r="V154" s="32" t="str">
        <f aca="false">IF(M154="","",IF(M154&lt;Assumptions!$B$5,"BUY",IF(M154&gt;Assumptions!$B$4,"SELL","HOLD")))</f>
        <v>HOLD</v>
      </c>
      <c r="W154" s="32" t="str">
        <f aca="false">IF(O154="","",IF(E154&gt;O154,"BUY","SELL"))</f>
        <v>SELL</v>
      </c>
      <c r="X154" s="32" t="str">
        <f aca="false">IF(T154="","",IF(S154&gt;T154,"BUY","SELL"))</f>
        <v>SELL</v>
      </c>
      <c r="Y154" s="34" t="n">
        <f aca="false">IF(OR(V154="",W154="",X154=""),"",IFERROR(IF(V154="BUY",1,IF(V154="SELL",-1,0))+IF(W154="BUY",1,IF(W154="SELL",-1,0))+IF(X154="BUY",1,IF(X154="SELL",-1,0)),0))</f>
        <v>-2</v>
      </c>
      <c r="Z154" s="32" t="str">
        <f aca="false">IF(Y154="","",IF(Y154&gt;=2,"STRONG BUY",IF(Y154=1,"BUY",IF(Y154=0,"HOLD",IF(Y154=-1,"SELL","STRONG SELL")))))</f>
        <v>STRONG SELL</v>
      </c>
    </row>
    <row r="155" customFormat="false" ht="15" hidden="false" customHeight="false" outlineLevel="0" collapsed="false">
      <c r="A155" s="24" t="n">
        <v>45985</v>
      </c>
      <c r="B155" s="25" t="n">
        <v>62.2</v>
      </c>
      <c r="C155" s="25" t="n">
        <v>62.35</v>
      </c>
      <c r="D155" s="25" t="n">
        <v>61.41</v>
      </c>
      <c r="E155" s="25" t="n">
        <v>61.88</v>
      </c>
      <c r="F155" s="26" t="n">
        <v>22531431</v>
      </c>
      <c r="G155" s="27" t="n">
        <f aca="false">E155-E154</f>
        <v>0.880000000000003</v>
      </c>
      <c r="H155" s="28" t="n">
        <f aca="false">G155/E154</f>
        <v>0.0144262295081968</v>
      </c>
      <c r="I155" s="29" t="n">
        <f aca="false">MAX(G155,0)</f>
        <v>0.880000000000003</v>
      </c>
      <c r="J155" s="29" t="n">
        <f aca="false">MAX(-G155,0)</f>
        <v>0</v>
      </c>
      <c r="K155" s="29" t="n">
        <f aca="false">(K154*13+I155)/14</f>
        <v>0.349490912097575</v>
      </c>
      <c r="L155" s="29" t="n">
        <f aca="false">(L154*13+J155)/14</f>
        <v>0.33564075280274</v>
      </c>
      <c r="M155" s="31" t="n">
        <f aca="false">IF(L155=0,100,100-100/(1+K155/MAX(L155,0.000001)))</f>
        <v>51.0107662515387</v>
      </c>
      <c r="N155" s="30" t="n">
        <f aca="false">AVERAGE(E136:E155)</f>
        <v>61.5265</v>
      </c>
      <c r="O155" s="30" t="n">
        <f aca="false">AVERAGE(E106:E155)</f>
        <v>62.3118</v>
      </c>
      <c r="Q155" s="30" t="n">
        <f aca="false">Q154+(2/13)*(E155-Q154)</f>
        <v>61.2452031534801</v>
      </c>
      <c r="R155" s="30" t="n">
        <f aca="false">R154+(2/27)*(E155-R154)</f>
        <v>61.6663194501906</v>
      </c>
      <c r="S155" s="33" t="n">
        <f aca="false">Q155-R155</f>
        <v>-0.421116296710551</v>
      </c>
      <c r="T155" s="33" t="n">
        <f aca="false">T154+(2/10)*(S155-T154)</f>
        <v>-0.496539839674299</v>
      </c>
      <c r="U155" s="33" t="n">
        <f aca="false">S155-T155</f>
        <v>0.0754235429637483</v>
      </c>
      <c r="V155" s="32" t="str">
        <f aca="false">IF(M155="","",IF(M155&lt;Assumptions!$B$5,"BUY",IF(M155&gt;Assumptions!$B$4,"SELL","HOLD")))</f>
        <v>HOLD</v>
      </c>
      <c r="W155" s="32" t="str">
        <f aca="false">IF(O155="","",IF(E155&gt;O155,"BUY","SELL"))</f>
        <v>SELL</v>
      </c>
      <c r="X155" s="32" t="str">
        <f aca="false">IF(T155="","",IF(S155&gt;T155,"BUY","SELL"))</f>
        <v>BUY</v>
      </c>
      <c r="Y155" s="34" t="n">
        <f aca="false">IF(OR(V155="",W155="",X155=""),"",IFERROR(IF(V155="BUY",1,IF(V155="SELL",-1,0))+IF(W155="BUY",1,IF(W155="SELL",-1,0))+IF(X155="BUY",1,IF(X155="SELL",-1,0)),0))</f>
        <v>0</v>
      </c>
      <c r="Z155" s="32" t="str">
        <f aca="false">IF(Y155="","",IF(Y155&gt;=2,"STRONG BUY",IF(Y155=1,"BUY",IF(Y155=0,"HOLD",IF(Y155=-1,"SELL","STRONG SELL")))))</f>
        <v>HOLD</v>
      </c>
    </row>
    <row r="156" customFormat="false" ht="15" hidden="false" customHeight="false" outlineLevel="0" collapsed="false">
      <c r="A156" s="24" t="n">
        <v>45986</v>
      </c>
      <c r="B156" s="25" t="n">
        <v>60.41</v>
      </c>
      <c r="C156" s="25" t="n">
        <v>60.41</v>
      </c>
      <c r="D156" s="25" t="n">
        <v>60.33</v>
      </c>
      <c r="E156" s="25" t="n">
        <v>60.37</v>
      </c>
      <c r="F156" s="26" t="n">
        <v>21586853</v>
      </c>
      <c r="G156" s="27" t="n">
        <f aca="false">E156-E155</f>
        <v>-1.51000000000001</v>
      </c>
      <c r="H156" s="28" t="n">
        <f aca="false">G156/E155</f>
        <v>-0.0244020685197157</v>
      </c>
      <c r="I156" s="29" t="n">
        <f aca="false">MAX(G156,0)</f>
        <v>0</v>
      </c>
      <c r="J156" s="29" t="n">
        <f aca="false">MAX(-G156,0)</f>
        <v>1.51000000000001</v>
      </c>
      <c r="K156" s="29" t="n">
        <f aca="false">(K155*13+I156)/14</f>
        <v>0.324527275519177</v>
      </c>
      <c r="L156" s="29" t="n">
        <f aca="false">(L155*13+J156)/14</f>
        <v>0.419523556173973</v>
      </c>
      <c r="M156" s="31" t="n">
        <f aca="false">IF(L156=0,100,100-100/(1+K156/MAX(L156,0.000001)))</f>
        <v>43.6162775036066</v>
      </c>
      <c r="N156" s="30" t="n">
        <f aca="false">AVERAGE(E137:E156)</f>
        <v>61.4155</v>
      </c>
      <c r="O156" s="30" t="n">
        <f aca="false">AVERAGE(E107:E156)</f>
        <v>62.2542</v>
      </c>
      <c r="Q156" s="30" t="n">
        <f aca="false">Q155+(2/13)*(E156-Q155)</f>
        <v>61.1105565144832</v>
      </c>
      <c r="R156" s="30" t="n">
        <f aca="false">R155+(2/27)*(E156-R155)</f>
        <v>61.5702957872136</v>
      </c>
      <c r="S156" s="33" t="n">
        <f aca="false">Q156-R156</f>
        <v>-0.45973927273041</v>
      </c>
      <c r="T156" s="33" t="n">
        <f aca="false">T155+(2/10)*(S156-T155)</f>
        <v>-0.489179726285521</v>
      </c>
      <c r="U156" s="33" t="n">
        <f aca="false">S156-T156</f>
        <v>0.0294404535551115</v>
      </c>
      <c r="V156" s="32" t="str">
        <f aca="false">IF(M156="","",IF(M156&lt;Assumptions!$B$5,"BUY",IF(M156&gt;Assumptions!$B$4,"SELL","HOLD")))</f>
        <v>HOLD</v>
      </c>
      <c r="W156" s="32" t="str">
        <f aca="false">IF(O156="","",IF(E156&gt;O156,"BUY","SELL"))</f>
        <v>SELL</v>
      </c>
      <c r="X156" s="32" t="str">
        <f aca="false">IF(T156="","",IF(S156&gt;T156,"BUY","SELL"))</f>
        <v>BUY</v>
      </c>
      <c r="Y156" s="34" t="n">
        <f aca="false">IF(OR(V156="",W156="",X156=""),"",IFERROR(IF(V156="BUY",1,IF(V156="SELL",-1,0))+IF(W156="BUY",1,IF(W156="SELL",-1,0))+IF(X156="BUY",1,IF(X156="SELL",-1,0)),0))</f>
        <v>0</v>
      </c>
      <c r="Z156" s="32" t="str">
        <f aca="false">IF(Y156="","",IF(Y156&gt;=2,"STRONG BUY",IF(Y156=1,"BUY",IF(Y156=0,"HOLD",IF(Y156=-1,"SELL","STRONG SELL")))))</f>
        <v>HOLD</v>
      </c>
    </row>
    <row r="157" customFormat="false" ht="15" hidden="false" customHeight="false" outlineLevel="0" collapsed="false">
      <c r="A157" s="24" t="n">
        <v>45987</v>
      </c>
      <c r="B157" s="25" t="n">
        <v>60.33</v>
      </c>
      <c r="C157" s="25" t="n">
        <v>61.26</v>
      </c>
      <c r="D157" s="25" t="n">
        <v>59.5</v>
      </c>
      <c r="E157" s="25" t="n">
        <v>60.38</v>
      </c>
      <c r="F157" s="26" t="n">
        <v>35859153</v>
      </c>
      <c r="G157" s="27" t="n">
        <f aca="false">E157-E156</f>
        <v>0.0100000000000051</v>
      </c>
      <c r="H157" s="28" t="n">
        <f aca="false">G157/E156</f>
        <v>0.000165645188007373</v>
      </c>
      <c r="I157" s="29" t="n">
        <f aca="false">MAX(G157,0)</f>
        <v>0.0100000000000051</v>
      </c>
      <c r="J157" s="29" t="n">
        <f aca="false">MAX(-G157,0)</f>
        <v>0</v>
      </c>
      <c r="K157" s="29" t="n">
        <f aca="false">(K156*13+I157)/14</f>
        <v>0.302061041553521</v>
      </c>
      <c r="L157" s="29" t="n">
        <f aca="false">(L156*13+J157)/14</f>
        <v>0.389557587875832</v>
      </c>
      <c r="M157" s="31" t="n">
        <f aca="false">IF(L157=0,100,100-100/(1+K157/MAX(L157,0.000001)))</f>
        <v>43.674509144259</v>
      </c>
      <c r="N157" s="30" t="n">
        <f aca="false">AVERAGE(E138:E157)</f>
        <v>61.3625</v>
      </c>
      <c r="O157" s="30" t="n">
        <f aca="false">AVERAGE(E108:E157)</f>
        <v>62.2074</v>
      </c>
      <c r="Q157" s="30" t="n">
        <f aca="false">Q156+(2/13)*(E157-Q156)</f>
        <v>60.9981632045627</v>
      </c>
      <c r="R157" s="30" t="n">
        <f aca="false">R156+(2/27)*(E157-R156)</f>
        <v>61.4821257289014</v>
      </c>
      <c r="S157" s="33" t="n">
        <f aca="false">Q157-R157</f>
        <v>-0.483962524338779</v>
      </c>
      <c r="T157" s="33" t="n">
        <f aca="false">T156+(2/10)*(S157-T156)</f>
        <v>-0.488136285896173</v>
      </c>
      <c r="U157" s="33" t="n">
        <f aca="false">S157-T157</f>
        <v>0.00417376155739407</v>
      </c>
      <c r="V157" s="32" t="str">
        <f aca="false">IF(M157="","",IF(M157&lt;Assumptions!$B$5,"BUY",IF(M157&gt;Assumptions!$B$4,"SELL","HOLD")))</f>
        <v>HOLD</v>
      </c>
      <c r="W157" s="32" t="str">
        <f aca="false">IF(O157="","",IF(E157&gt;O157,"BUY","SELL"))</f>
        <v>SELL</v>
      </c>
      <c r="X157" s="32" t="str">
        <f aca="false">IF(T157="","",IF(S157&gt;T157,"BUY","SELL"))</f>
        <v>BUY</v>
      </c>
      <c r="Y157" s="34" t="n">
        <f aca="false">IF(OR(V157="",W157="",X157=""),"",IFERROR(IF(V157="BUY",1,IF(V157="SELL",-1,0))+IF(W157="BUY",1,IF(W157="SELL",-1,0))+IF(X157="BUY",1,IF(X157="SELL",-1,0)),0))</f>
        <v>0</v>
      </c>
      <c r="Z157" s="32" t="str">
        <f aca="false">IF(Y157="","",IF(Y157&gt;=2,"STRONG BUY",IF(Y157=1,"BUY",IF(Y157=0,"HOLD",IF(Y157=-1,"SELL","STRONG SELL")))))</f>
        <v>HOLD</v>
      </c>
    </row>
    <row r="158" customFormat="false" ht="15" hidden="false" customHeight="false" outlineLevel="0" collapsed="false">
      <c r="A158" s="24" t="n">
        <v>45988</v>
      </c>
      <c r="B158" s="25" t="n">
        <v>61.36</v>
      </c>
      <c r="C158" s="25" t="n">
        <v>62.19</v>
      </c>
      <c r="D158" s="25" t="n">
        <v>60.59</v>
      </c>
      <c r="E158" s="25" t="n">
        <v>61.39</v>
      </c>
      <c r="F158" s="26" t="n">
        <v>24749136</v>
      </c>
      <c r="G158" s="27" t="n">
        <f aca="false">E158-E157</f>
        <v>1.01</v>
      </c>
      <c r="H158" s="28" t="n">
        <f aca="false">G158/E157</f>
        <v>0.0167273931765485</v>
      </c>
      <c r="I158" s="29" t="n">
        <f aca="false">MAX(G158,0)</f>
        <v>1.01</v>
      </c>
      <c r="J158" s="29" t="n">
        <f aca="false">MAX(-G158,0)</f>
        <v>0</v>
      </c>
      <c r="K158" s="29" t="n">
        <f aca="false">(K157*13+I158)/14</f>
        <v>0.352628110013984</v>
      </c>
      <c r="L158" s="29" t="n">
        <f aca="false">(L157*13+J158)/14</f>
        <v>0.361732045884701</v>
      </c>
      <c r="M158" s="31" t="n">
        <f aca="false">IF(L158=0,100,100-100/(1+K158/MAX(L158,0.000001)))</f>
        <v>49.3627908978725</v>
      </c>
      <c r="N158" s="30" t="n">
        <f aca="false">AVERAGE(E139:E158)</f>
        <v>61.3265</v>
      </c>
      <c r="O158" s="30" t="n">
        <f aca="false">AVERAGE(E109:E158)</f>
        <v>62.1644</v>
      </c>
      <c r="Q158" s="30" t="n">
        <f aca="false">Q157+(2/13)*(E158-Q157)</f>
        <v>61.0584457884761</v>
      </c>
      <c r="R158" s="30" t="n">
        <f aca="false">R157+(2/27)*(E158-R157)</f>
        <v>61.4753016008347</v>
      </c>
      <c r="S158" s="33" t="n">
        <f aca="false">Q158-R158</f>
        <v>-0.41685581235857</v>
      </c>
      <c r="T158" s="33" t="n">
        <f aca="false">T157+(2/10)*(S158-T157)</f>
        <v>-0.473880191188652</v>
      </c>
      <c r="U158" s="33" t="n">
        <f aca="false">S158-T158</f>
        <v>0.0570243788300824</v>
      </c>
      <c r="V158" s="32" t="str">
        <f aca="false">IF(M158="","",IF(M158&lt;Assumptions!$B$5,"BUY",IF(M158&gt;Assumptions!$B$4,"SELL","HOLD")))</f>
        <v>HOLD</v>
      </c>
      <c r="W158" s="32" t="str">
        <f aca="false">IF(O158="","",IF(E158&gt;O158,"BUY","SELL"))</f>
        <v>SELL</v>
      </c>
      <c r="X158" s="32" t="str">
        <f aca="false">IF(T158="","",IF(S158&gt;T158,"BUY","SELL"))</f>
        <v>BUY</v>
      </c>
      <c r="Y158" s="34" t="n">
        <f aca="false">IF(OR(V158="",W158="",X158=""),"",IFERROR(IF(V158="BUY",1,IF(V158="SELL",-1,0))+IF(W158="BUY",1,IF(W158="SELL",-1,0))+IF(X158="BUY",1,IF(X158="SELL",-1,0)),0))</f>
        <v>0</v>
      </c>
      <c r="Z158" s="32" t="str">
        <f aca="false">IF(Y158="","",IF(Y158&gt;=2,"STRONG BUY",IF(Y158=1,"BUY",IF(Y158=0,"HOLD",IF(Y158=-1,"SELL","STRONG SELL")))))</f>
        <v>HOLD</v>
      </c>
    </row>
    <row r="159" customFormat="false" ht="15" hidden="false" customHeight="false" outlineLevel="0" collapsed="false">
      <c r="A159" s="24" t="n">
        <v>45989</v>
      </c>
      <c r="B159" s="25" t="n">
        <v>62.81</v>
      </c>
      <c r="C159" s="25" t="n">
        <v>63.17</v>
      </c>
      <c r="D159" s="25" t="n">
        <v>62.15</v>
      </c>
      <c r="E159" s="25" t="n">
        <v>62.66</v>
      </c>
      <c r="F159" s="26" t="n">
        <v>27584894</v>
      </c>
      <c r="G159" s="27" t="n">
        <f aca="false">E159-E158</f>
        <v>1.27</v>
      </c>
      <c r="H159" s="28" t="n">
        <f aca="false">G159/E158</f>
        <v>0.0206874083726991</v>
      </c>
      <c r="I159" s="29" t="n">
        <f aca="false">MAX(G159,0)</f>
        <v>1.27</v>
      </c>
      <c r="J159" s="29" t="n">
        <f aca="false">MAX(-G159,0)</f>
        <v>0</v>
      </c>
      <c r="K159" s="29" t="n">
        <f aca="false">(K158*13+I159)/14</f>
        <v>0.418154673584413</v>
      </c>
      <c r="L159" s="29" t="n">
        <f aca="false">(L158*13+J159)/14</f>
        <v>0.335894042607222</v>
      </c>
      <c r="M159" s="31" t="n">
        <f aca="false">IF(L159=0,100,100-100/(1+K159/MAX(L159,0.000001)))</f>
        <v>55.4545965804871</v>
      </c>
      <c r="N159" s="30" t="n">
        <f aca="false">AVERAGE(E140:E159)</f>
        <v>61.3415</v>
      </c>
      <c r="O159" s="30" t="n">
        <f aca="false">AVERAGE(E110:E159)</f>
        <v>62.1628</v>
      </c>
      <c r="Q159" s="30" t="n">
        <f aca="false">Q158+(2/13)*(E159-Q158)</f>
        <v>61.3048387440952</v>
      </c>
      <c r="R159" s="30" t="n">
        <f aca="false">R158+(2/27)*(E159-R158)</f>
        <v>61.5630570378099</v>
      </c>
      <c r="S159" s="33" t="n">
        <f aca="false">Q159-R159</f>
        <v>-0.25821829371472</v>
      </c>
      <c r="T159" s="33" t="n">
        <f aca="false">T158+(2/10)*(S159-T158)</f>
        <v>-0.430747811693866</v>
      </c>
      <c r="U159" s="33" t="n">
        <f aca="false">S159-T159</f>
        <v>0.172529517979146</v>
      </c>
      <c r="V159" s="32" t="str">
        <f aca="false">IF(M159="","",IF(M159&lt;Assumptions!$B$5,"BUY",IF(M159&gt;Assumptions!$B$4,"SELL","HOLD")))</f>
        <v>HOLD</v>
      </c>
      <c r="W159" s="32" t="str">
        <f aca="false">IF(O159="","",IF(E159&gt;O159,"BUY","SELL"))</f>
        <v>BUY</v>
      </c>
      <c r="X159" s="32" t="str">
        <f aca="false">IF(T159="","",IF(S159&gt;T159,"BUY","SELL"))</f>
        <v>BUY</v>
      </c>
      <c r="Y159" s="34" t="n">
        <f aca="false">IF(OR(V159="",W159="",X159=""),"",IFERROR(IF(V159="BUY",1,IF(V159="SELL",-1,0))+IF(W159="BUY",1,IF(W159="SELL",-1,0))+IF(X159="BUY",1,IF(X159="SELL",-1,0)),0))</f>
        <v>2</v>
      </c>
      <c r="Z159" s="32" t="str">
        <f aca="false">IF(Y159="","",IF(Y159&gt;=2,"STRONG BUY",IF(Y159=1,"BUY",IF(Y159=0,"HOLD",IF(Y159=-1,"SELL","STRONG SELL")))))</f>
        <v>STRONG BUY</v>
      </c>
    </row>
    <row r="160" customFormat="false" ht="15" hidden="false" customHeight="false" outlineLevel="0" collapsed="false">
      <c r="A160" s="24" t="n">
        <v>45992</v>
      </c>
      <c r="B160" s="25" t="n">
        <v>61.85</v>
      </c>
      <c r="C160" s="25" t="n">
        <v>62.69</v>
      </c>
      <c r="D160" s="25" t="n">
        <v>61.21</v>
      </c>
      <c r="E160" s="25" t="n">
        <v>61.95</v>
      </c>
      <c r="F160" s="26" t="n">
        <v>26879086</v>
      </c>
      <c r="G160" s="27" t="n">
        <f aca="false">E160-E159</f>
        <v>-0.709999999999994</v>
      </c>
      <c r="H160" s="28" t="n">
        <f aca="false">G160/E159</f>
        <v>-0.0113309926587934</v>
      </c>
      <c r="I160" s="29" t="n">
        <f aca="false">MAX(G160,0)</f>
        <v>0</v>
      </c>
      <c r="J160" s="29" t="n">
        <f aca="false">MAX(-G160,0)</f>
        <v>0.709999999999994</v>
      </c>
      <c r="K160" s="29" t="n">
        <f aca="false">(K159*13+I160)/14</f>
        <v>0.388286482614098</v>
      </c>
      <c r="L160" s="29" t="n">
        <f aca="false">(L159*13+J160)/14</f>
        <v>0.362615896706706</v>
      </c>
      <c r="M160" s="31" t="n">
        <f aca="false">IF(L160=0,100,100-100/(1+K160/MAX(L160,0.000001)))</f>
        <v>51.7093157921947</v>
      </c>
      <c r="N160" s="30" t="n">
        <f aca="false">AVERAGE(E141:E160)</f>
        <v>61.2905</v>
      </c>
      <c r="O160" s="30" t="n">
        <f aca="false">AVERAGE(E111:E160)</f>
        <v>62.1322</v>
      </c>
      <c r="Q160" s="30" t="n">
        <f aca="false">Q159+(2/13)*(E160-Q159)</f>
        <v>61.4040943219267</v>
      </c>
      <c r="R160" s="30" t="n">
        <f aca="false">R159+(2/27)*(E160-R159)</f>
        <v>61.5917194794536</v>
      </c>
      <c r="S160" s="33" t="n">
        <f aca="false">Q160-R160</f>
        <v>-0.187625157526917</v>
      </c>
      <c r="T160" s="33" t="n">
        <f aca="false">T159+(2/10)*(S160-T159)</f>
        <v>-0.382123280860476</v>
      </c>
      <c r="U160" s="33" t="n">
        <f aca="false">S160-T160</f>
        <v>0.194498123333559</v>
      </c>
      <c r="V160" s="32" t="str">
        <f aca="false">IF(M160="","",IF(M160&lt;Assumptions!$B$5,"BUY",IF(M160&gt;Assumptions!$B$4,"SELL","HOLD")))</f>
        <v>HOLD</v>
      </c>
      <c r="W160" s="32" t="str">
        <f aca="false">IF(O160="","",IF(E160&gt;O160,"BUY","SELL"))</f>
        <v>SELL</v>
      </c>
      <c r="X160" s="32" t="str">
        <f aca="false">IF(T160="","",IF(S160&gt;T160,"BUY","SELL"))</f>
        <v>BUY</v>
      </c>
      <c r="Y160" s="34" t="n">
        <f aca="false">IF(OR(V160="",W160="",X160=""),"",IFERROR(IF(V160="BUY",1,IF(V160="SELL",-1,0))+IF(W160="BUY",1,IF(W160="SELL",-1,0))+IF(X160="BUY",1,IF(X160="SELL",-1,0)),0))</f>
        <v>0</v>
      </c>
      <c r="Z160" s="32" t="str">
        <f aca="false">IF(Y160="","",IF(Y160&gt;=2,"STRONG BUY",IF(Y160=1,"BUY",IF(Y160=0,"HOLD",IF(Y160=-1,"SELL","STRONG SELL")))))</f>
        <v>HOLD</v>
      </c>
    </row>
    <row r="161" customFormat="false" ht="15" hidden="false" customHeight="false" outlineLevel="0" collapsed="false">
      <c r="A161" s="24" t="n">
        <v>45993</v>
      </c>
      <c r="B161" s="25" t="n">
        <v>61.61</v>
      </c>
      <c r="C161" s="25" t="n">
        <v>62.26</v>
      </c>
      <c r="D161" s="25" t="n">
        <v>61.14</v>
      </c>
      <c r="E161" s="25" t="n">
        <v>61.7</v>
      </c>
      <c r="F161" s="26" t="n">
        <v>39949502</v>
      </c>
      <c r="G161" s="27" t="n">
        <f aca="false">E161-E160</f>
        <v>-0.25</v>
      </c>
      <c r="H161" s="28" t="n">
        <f aca="false">G161/E160</f>
        <v>-0.00403551251008878</v>
      </c>
      <c r="I161" s="29" t="n">
        <f aca="false">MAX(G161,0)</f>
        <v>0</v>
      </c>
      <c r="J161" s="29" t="n">
        <f aca="false">MAX(-G161,0)</f>
        <v>0.25</v>
      </c>
      <c r="K161" s="29" t="n">
        <f aca="false">(K160*13+I161)/14</f>
        <v>0.360551733855948</v>
      </c>
      <c r="L161" s="29" t="n">
        <f aca="false">(L160*13+J161)/14</f>
        <v>0.354571904084799</v>
      </c>
      <c r="M161" s="31" t="n">
        <f aca="false">IF(L161=0,100,100-100/(1+K161/MAX(L161,0.000001)))</f>
        <v>50.4180976165443</v>
      </c>
      <c r="N161" s="30" t="n">
        <f aca="false">AVERAGE(E142:E161)</f>
        <v>61.1915</v>
      </c>
      <c r="O161" s="30" t="n">
        <f aca="false">AVERAGE(E112:E161)</f>
        <v>62.1006</v>
      </c>
      <c r="Q161" s="30" t="n">
        <f aca="false">Q160+(2/13)*(E161-Q160)</f>
        <v>61.4496182723995</v>
      </c>
      <c r="R161" s="30" t="n">
        <f aca="false">R160+(2/27)*(E161-R160)</f>
        <v>61.5997402587533</v>
      </c>
      <c r="S161" s="33" t="n">
        <f aca="false">Q161-R161</f>
        <v>-0.150121986353831</v>
      </c>
      <c r="T161" s="33" t="n">
        <f aca="false">T160+(2/10)*(S161-T160)</f>
        <v>-0.335723021959147</v>
      </c>
      <c r="U161" s="33" t="n">
        <f aca="false">S161-T161</f>
        <v>0.185601035605316</v>
      </c>
      <c r="V161" s="32" t="str">
        <f aca="false">IF(M161="","",IF(M161&lt;Assumptions!$B$5,"BUY",IF(M161&gt;Assumptions!$B$4,"SELL","HOLD")))</f>
        <v>HOLD</v>
      </c>
      <c r="W161" s="32" t="str">
        <f aca="false">IF(O161="","",IF(E161&gt;O161,"BUY","SELL"))</f>
        <v>SELL</v>
      </c>
      <c r="X161" s="32" t="str">
        <f aca="false">IF(T161="","",IF(S161&gt;T161,"BUY","SELL"))</f>
        <v>BUY</v>
      </c>
      <c r="Y161" s="34" t="n">
        <f aca="false">IF(OR(V161="",W161="",X161=""),"",IFERROR(IF(V161="BUY",1,IF(V161="SELL",-1,0))+IF(W161="BUY",1,IF(W161="SELL",-1,0))+IF(X161="BUY",1,IF(X161="SELL",-1,0)),0))</f>
        <v>0</v>
      </c>
      <c r="Z161" s="32" t="str">
        <f aca="false">IF(Y161="","",IF(Y161&gt;=2,"STRONG BUY",IF(Y161=1,"BUY",IF(Y161=0,"HOLD",IF(Y161=-1,"SELL","STRONG SELL")))))</f>
        <v>HOLD</v>
      </c>
    </row>
    <row r="162" customFormat="false" ht="15" hidden="false" customHeight="false" outlineLevel="0" collapsed="false">
      <c r="A162" s="24" t="n">
        <v>45994</v>
      </c>
      <c r="B162" s="25" t="n">
        <v>63.33</v>
      </c>
      <c r="C162" s="25" t="n">
        <v>63.53</v>
      </c>
      <c r="D162" s="25" t="n">
        <v>63.33</v>
      </c>
      <c r="E162" s="25" t="n">
        <v>63.43</v>
      </c>
      <c r="F162" s="26" t="n">
        <v>8487862</v>
      </c>
      <c r="G162" s="27" t="n">
        <f aca="false">E162-E161</f>
        <v>1.73</v>
      </c>
      <c r="H162" s="28" t="n">
        <f aca="false">G162/E161</f>
        <v>0.0280388978930307</v>
      </c>
      <c r="I162" s="29" t="n">
        <f aca="false">MAX(G162,0)</f>
        <v>1.73</v>
      </c>
      <c r="J162" s="29" t="n">
        <f aca="false">MAX(-G162,0)</f>
        <v>0</v>
      </c>
      <c r="K162" s="29" t="n">
        <f aca="false">(K161*13+I162)/14</f>
        <v>0.458369467151952</v>
      </c>
      <c r="L162" s="29" t="n">
        <f aca="false">(L161*13+J162)/14</f>
        <v>0.329245339507313</v>
      </c>
      <c r="M162" s="31" t="n">
        <f aca="false">IF(L162=0,100,100-100/(1+K162/MAX(L162,0.000001)))</f>
        <v>58.1971622773529</v>
      </c>
      <c r="N162" s="30" t="n">
        <f aca="false">AVERAGE(E143:E162)</f>
        <v>61.248</v>
      </c>
      <c r="O162" s="30" t="n">
        <f aca="false">AVERAGE(E113:E162)</f>
        <v>62.1068</v>
      </c>
      <c r="Q162" s="30" t="n">
        <f aca="false">Q161+(2/13)*(E162-Q161)</f>
        <v>61.754292384338</v>
      </c>
      <c r="R162" s="30" t="n">
        <f aca="false">R161+(2/27)*(E162-R161)</f>
        <v>61.7353150544012</v>
      </c>
      <c r="S162" s="33" t="n">
        <f aca="false">Q162-R162</f>
        <v>0.0189773299368028</v>
      </c>
      <c r="T162" s="33" t="n">
        <f aca="false">T161+(2/10)*(S162-T161)</f>
        <v>-0.264782951579957</v>
      </c>
      <c r="U162" s="33" t="n">
        <f aca="false">S162-T162</f>
        <v>0.28376028151676</v>
      </c>
      <c r="V162" s="32" t="str">
        <f aca="false">IF(M162="","",IF(M162&lt;Assumptions!$B$5,"BUY",IF(M162&gt;Assumptions!$B$4,"SELL","HOLD")))</f>
        <v>HOLD</v>
      </c>
      <c r="W162" s="32" t="str">
        <f aca="false">IF(O162="","",IF(E162&gt;O162,"BUY","SELL"))</f>
        <v>BUY</v>
      </c>
      <c r="X162" s="32" t="str">
        <f aca="false">IF(T162="","",IF(S162&gt;T162,"BUY","SELL"))</f>
        <v>BUY</v>
      </c>
      <c r="Y162" s="34" t="n">
        <f aca="false">IF(OR(V162="",W162="",X162=""),"",IFERROR(IF(V162="BUY",1,IF(V162="SELL",-1,0))+IF(W162="BUY",1,IF(W162="SELL",-1,0))+IF(X162="BUY",1,IF(X162="SELL",-1,0)),0))</f>
        <v>2</v>
      </c>
      <c r="Z162" s="32" t="str">
        <f aca="false">IF(Y162="","",IF(Y162&gt;=2,"STRONG BUY",IF(Y162=1,"BUY",IF(Y162=0,"HOLD",IF(Y162=-1,"SELL","STRONG SELL")))))</f>
        <v>STRONG BUY</v>
      </c>
    </row>
    <row r="163" customFormat="false" ht="15" hidden="false" customHeight="false" outlineLevel="0" collapsed="false">
      <c r="A163" s="24" t="n">
        <v>45995</v>
      </c>
      <c r="B163" s="25" t="n">
        <v>62.1</v>
      </c>
      <c r="C163" s="25" t="n">
        <v>62.1</v>
      </c>
      <c r="D163" s="25" t="n">
        <v>62.1</v>
      </c>
      <c r="E163" s="25" t="n">
        <v>62.1</v>
      </c>
      <c r="F163" s="26" t="n">
        <v>17400477</v>
      </c>
      <c r="G163" s="27" t="n">
        <f aca="false">E163-E162</f>
        <v>-1.33</v>
      </c>
      <c r="H163" s="28" t="n">
        <f aca="false">G163/E162</f>
        <v>-0.0209679962163014</v>
      </c>
      <c r="I163" s="29" t="n">
        <f aca="false">MAX(G163,0)</f>
        <v>0</v>
      </c>
      <c r="J163" s="29" t="n">
        <f aca="false">MAX(-G163,0)</f>
        <v>1.33</v>
      </c>
      <c r="K163" s="29" t="n">
        <f aca="false">(K162*13+I163)/14</f>
        <v>0.425628790926813</v>
      </c>
      <c r="L163" s="29" t="n">
        <f aca="false">(L162*13+J163)/14</f>
        <v>0.40072781525679</v>
      </c>
      <c r="M163" s="31" t="n">
        <f aca="false">IF(L163=0,100,100-100/(1+K163/MAX(L163,0.000001)))</f>
        <v>51.5066725118241</v>
      </c>
      <c r="N163" s="30" t="n">
        <f aca="false">AVERAGE(E144:E163)</f>
        <v>61.232</v>
      </c>
      <c r="O163" s="30" t="n">
        <f aca="false">AVERAGE(E114:E163)</f>
        <v>62.088</v>
      </c>
      <c r="Q163" s="30" t="n">
        <f aca="false">Q162+(2/13)*(E163-Q162)</f>
        <v>61.8074781713629</v>
      </c>
      <c r="R163" s="30" t="n">
        <f aca="false">R162+(2/27)*(E163-R162)</f>
        <v>61.7623287540752</v>
      </c>
      <c r="S163" s="33" t="n">
        <f aca="false">Q163-R163</f>
        <v>0.0451494172877318</v>
      </c>
      <c r="T163" s="33" t="n">
        <f aca="false">T162+(2/10)*(S163-T162)</f>
        <v>-0.202796477806419</v>
      </c>
      <c r="U163" s="33" t="n">
        <f aca="false">S163-T163</f>
        <v>0.247945895094151</v>
      </c>
      <c r="V163" s="32" t="str">
        <f aca="false">IF(M163="","",IF(M163&lt;Assumptions!$B$5,"BUY",IF(M163&gt;Assumptions!$B$4,"SELL","HOLD")))</f>
        <v>HOLD</v>
      </c>
      <c r="W163" s="32" t="str">
        <f aca="false">IF(O163="","",IF(E163&gt;O163,"BUY","SELL"))</f>
        <v>BUY</v>
      </c>
      <c r="X163" s="32" t="str">
        <f aca="false">IF(T163="","",IF(S163&gt;T163,"BUY","SELL"))</f>
        <v>BUY</v>
      </c>
      <c r="Y163" s="34" t="n">
        <f aca="false">IF(OR(V163="",W163="",X163=""),"",IFERROR(IF(V163="BUY",1,IF(V163="SELL",-1,0))+IF(W163="BUY",1,IF(W163="SELL",-1,0))+IF(X163="BUY",1,IF(X163="SELL",-1,0)),0))</f>
        <v>2</v>
      </c>
      <c r="Z163" s="32" t="str">
        <f aca="false">IF(Y163="","",IF(Y163&gt;=2,"STRONG BUY",IF(Y163=1,"BUY",IF(Y163=0,"HOLD",IF(Y163=-1,"SELL","STRONG SELL")))))</f>
        <v>STRONG BUY</v>
      </c>
    </row>
    <row r="164" customFormat="false" ht="15" hidden="false" customHeight="false" outlineLevel="0" collapsed="false">
      <c r="A164" s="24" t="n">
        <v>45996</v>
      </c>
      <c r="B164" s="25" t="n">
        <v>62.13</v>
      </c>
      <c r="C164" s="25" t="n">
        <v>62.14</v>
      </c>
      <c r="D164" s="25" t="n">
        <v>61.98</v>
      </c>
      <c r="E164" s="25" t="n">
        <v>62.06</v>
      </c>
      <c r="F164" s="26" t="n">
        <v>26527577</v>
      </c>
      <c r="G164" s="27" t="n">
        <f aca="false">E164-E163</f>
        <v>-0.0399999999999992</v>
      </c>
      <c r="H164" s="28" t="n">
        <f aca="false">G164/E163</f>
        <v>-0.000644122383252804</v>
      </c>
      <c r="I164" s="29" t="n">
        <f aca="false">MAX(G164,0)</f>
        <v>0</v>
      </c>
      <c r="J164" s="29" t="n">
        <f aca="false">MAX(-G164,0)</f>
        <v>0.0399999999999992</v>
      </c>
      <c r="K164" s="29" t="n">
        <f aca="false">(K163*13+I164)/14</f>
        <v>0.39522673443204</v>
      </c>
      <c r="L164" s="29" t="n">
        <f aca="false">(L163*13+J164)/14</f>
        <v>0.374961542738448</v>
      </c>
      <c r="M164" s="31" t="n">
        <f aca="false">IF(L164=0,100,100-100/(1+K164/MAX(L164,0.000001)))</f>
        <v>51.3155998535866</v>
      </c>
      <c r="N164" s="30" t="n">
        <f aca="false">AVERAGE(E145:E164)</f>
        <v>61.306</v>
      </c>
      <c r="O164" s="30" t="n">
        <f aca="false">AVERAGE(E115:E164)</f>
        <v>62.0578</v>
      </c>
      <c r="Q164" s="30" t="n">
        <f aca="false">Q163+(2/13)*(E164-Q163)</f>
        <v>61.846327683461</v>
      </c>
      <c r="R164" s="30" t="n">
        <f aca="false">R163+(2/27)*(E164-R163)</f>
        <v>61.7843784759956</v>
      </c>
      <c r="S164" s="33" t="n">
        <f aca="false">Q164-R164</f>
        <v>0.0619492074653891</v>
      </c>
      <c r="T164" s="33" t="n">
        <f aca="false">T163+(2/10)*(S164-T163)</f>
        <v>-0.149847340752058</v>
      </c>
      <c r="U164" s="33" t="n">
        <f aca="false">S164-T164</f>
        <v>0.211796548217447</v>
      </c>
      <c r="V164" s="32" t="str">
        <f aca="false">IF(M164="","",IF(M164&lt;Assumptions!$B$5,"BUY",IF(M164&gt;Assumptions!$B$4,"SELL","HOLD")))</f>
        <v>HOLD</v>
      </c>
      <c r="W164" s="32" t="str">
        <f aca="false">IF(O164="","",IF(E164&gt;O164,"BUY","SELL"))</f>
        <v>BUY</v>
      </c>
      <c r="X164" s="32" t="str">
        <f aca="false">IF(T164="","",IF(S164&gt;T164,"BUY","SELL"))</f>
        <v>BUY</v>
      </c>
      <c r="Y164" s="34" t="n">
        <f aca="false">IF(OR(V164="",W164="",X164=""),"",IFERROR(IF(V164="BUY",1,IF(V164="SELL",-1,0))+IF(W164="BUY",1,IF(W164="SELL",-1,0))+IF(X164="BUY",1,IF(X164="SELL",-1,0)),0))</f>
        <v>2</v>
      </c>
      <c r="Z164" s="32" t="str">
        <f aca="false">IF(Y164="","",IF(Y164&gt;=2,"STRONG BUY",IF(Y164=1,"BUY",IF(Y164=0,"HOLD",IF(Y164=-1,"SELL","STRONG SELL")))))</f>
        <v>STRONG BUY</v>
      </c>
    </row>
    <row r="165" customFormat="false" ht="15" hidden="false" customHeight="false" outlineLevel="0" collapsed="false">
      <c r="A165" s="24" t="n">
        <v>45999</v>
      </c>
      <c r="B165" s="25" t="n">
        <v>62.1</v>
      </c>
      <c r="C165" s="25" t="n">
        <v>62.36</v>
      </c>
      <c r="D165" s="25" t="n">
        <v>62.1</v>
      </c>
      <c r="E165" s="25" t="n">
        <v>62.23</v>
      </c>
      <c r="F165" s="26" t="n">
        <v>19395608</v>
      </c>
      <c r="G165" s="27" t="n">
        <f aca="false">E165-E164</f>
        <v>0.169999999999995</v>
      </c>
      <c r="H165" s="28" t="n">
        <f aca="false">G165/E164</f>
        <v>0.00273928456332573</v>
      </c>
      <c r="I165" s="29" t="n">
        <f aca="false">MAX(G165,0)</f>
        <v>0.169999999999995</v>
      </c>
      <c r="J165" s="29" t="n">
        <f aca="false">MAX(-G165,0)</f>
        <v>0</v>
      </c>
      <c r="K165" s="29" t="n">
        <f aca="false">(K164*13+I165)/14</f>
        <v>0.379139110544037</v>
      </c>
      <c r="L165" s="29" t="n">
        <f aca="false">(L164*13+J165)/14</f>
        <v>0.348178575399988</v>
      </c>
      <c r="M165" s="31" t="n">
        <f aca="false">IF(L165=0,100,100-100/(1+K165/MAX(L165,0.000001)))</f>
        <v>52.1284052170314</v>
      </c>
      <c r="N165" s="30" t="n">
        <f aca="false">AVERAGE(E146:E165)</f>
        <v>61.3645</v>
      </c>
      <c r="O165" s="30" t="n">
        <f aca="false">AVERAGE(E116:E165)</f>
        <v>62.0534</v>
      </c>
      <c r="Q165" s="30" t="n">
        <f aca="false">Q164+(2/13)*(E165-Q164)</f>
        <v>61.9053541936977</v>
      </c>
      <c r="R165" s="30" t="n">
        <f aca="false">R164+(2/27)*(E165-R164)</f>
        <v>61.8173874777737</v>
      </c>
      <c r="S165" s="33" t="n">
        <f aca="false">Q165-R165</f>
        <v>0.0879667159240611</v>
      </c>
      <c r="T165" s="33" t="n">
        <f aca="false">T164+(2/10)*(S165-T164)</f>
        <v>-0.102284529416834</v>
      </c>
      <c r="U165" s="33" t="n">
        <f aca="false">S165-T165</f>
        <v>0.190251245340895</v>
      </c>
      <c r="V165" s="32" t="str">
        <f aca="false">IF(M165="","",IF(M165&lt;Assumptions!$B$5,"BUY",IF(M165&gt;Assumptions!$B$4,"SELL","HOLD")))</f>
        <v>HOLD</v>
      </c>
      <c r="W165" s="32" t="str">
        <f aca="false">IF(O165="","",IF(E165&gt;O165,"BUY","SELL"))</f>
        <v>BUY</v>
      </c>
      <c r="X165" s="32" t="str">
        <f aca="false">IF(T165="","",IF(S165&gt;T165,"BUY","SELL"))</f>
        <v>BUY</v>
      </c>
      <c r="Y165" s="34" t="n">
        <f aca="false">IF(OR(V165="",W165="",X165=""),"",IFERROR(IF(V165="BUY",1,IF(V165="SELL",-1,0))+IF(W165="BUY",1,IF(W165="SELL",-1,0))+IF(X165="BUY",1,IF(X165="SELL",-1,0)),0))</f>
        <v>2</v>
      </c>
      <c r="Z165" s="32" t="str">
        <f aca="false">IF(Y165="","",IF(Y165&gt;=2,"STRONG BUY",IF(Y165=1,"BUY",IF(Y165=0,"HOLD",IF(Y165=-1,"SELL","STRONG SELL")))))</f>
        <v>STRONG BUY</v>
      </c>
    </row>
    <row r="166" customFormat="false" ht="15" hidden="false" customHeight="false" outlineLevel="0" collapsed="false">
      <c r="A166" s="24" t="n">
        <v>46000</v>
      </c>
      <c r="B166" s="25" t="n">
        <v>62.39</v>
      </c>
      <c r="C166" s="25" t="n">
        <v>62.52</v>
      </c>
      <c r="D166" s="25" t="n">
        <v>62.28</v>
      </c>
      <c r="E166" s="25" t="n">
        <v>62.4</v>
      </c>
      <c r="F166" s="26" t="n">
        <v>33658767</v>
      </c>
      <c r="G166" s="27" t="n">
        <f aca="false">E166-E165</f>
        <v>0.170000000000002</v>
      </c>
      <c r="H166" s="28" t="n">
        <f aca="false">G166/E165</f>
        <v>0.00273180138197014</v>
      </c>
      <c r="I166" s="29" t="n">
        <f aca="false">MAX(G166,0)</f>
        <v>0.170000000000002</v>
      </c>
      <c r="J166" s="29" t="n">
        <f aca="false">MAX(-G166,0)</f>
        <v>0</v>
      </c>
      <c r="K166" s="29" t="n">
        <f aca="false">(K165*13+I166)/14</f>
        <v>0.364200602648034</v>
      </c>
      <c r="L166" s="29" t="n">
        <f aca="false">(L165*13+J166)/14</f>
        <v>0.323308677157131</v>
      </c>
      <c r="M166" s="31" t="n">
        <f aca="false">IF(L166=0,100,100-100/(1+K166/MAX(L166,0.000001)))</f>
        <v>52.9739180758761</v>
      </c>
      <c r="N166" s="30" t="n">
        <f aca="false">AVERAGE(E147:E166)</f>
        <v>61.4805</v>
      </c>
      <c r="O166" s="30" t="n">
        <f aca="false">AVERAGE(E117:E166)</f>
        <v>62.0704</v>
      </c>
      <c r="Q166" s="30" t="n">
        <f aca="false">Q165+(2/13)*(E166-Q165)</f>
        <v>61.9814535485135</v>
      </c>
      <c r="R166" s="30" t="n">
        <f aca="false">R165+(2/27)*(E166-R165)</f>
        <v>61.8605439609015</v>
      </c>
      <c r="S166" s="33" t="n">
        <f aca="false">Q166-R166</f>
        <v>0.120909587611919</v>
      </c>
      <c r="T166" s="33" t="n">
        <f aca="false">T165+(2/10)*(S166-T165)</f>
        <v>-0.0576457060110832</v>
      </c>
      <c r="U166" s="33" t="n">
        <f aca="false">S166-T166</f>
        <v>0.178555293623002</v>
      </c>
      <c r="V166" s="32" t="str">
        <f aca="false">IF(M166="","",IF(M166&lt;Assumptions!$B$5,"BUY",IF(M166&gt;Assumptions!$B$4,"SELL","HOLD")))</f>
        <v>HOLD</v>
      </c>
      <c r="W166" s="32" t="str">
        <f aca="false">IF(O166="","",IF(E166&gt;O166,"BUY","SELL"))</f>
        <v>BUY</v>
      </c>
      <c r="X166" s="32" t="str">
        <f aca="false">IF(T166="","",IF(S166&gt;T166,"BUY","SELL"))</f>
        <v>BUY</v>
      </c>
      <c r="Y166" s="34" t="n">
        <f aca="false">IF(OR(V166="",W166="",X166=""),"",IFERROR(IF(V166="BUY",1,IF(V166="SELL",-1,0))+IF(W166="BUY",1,IF(W166="SELL",-1,0))+IF(X166="BUY",1,IF(X166="SELL",-1,0)),0))</f>
        <v>2</v>
      </c>
      <c r="Z166" s="32" t="str">
        <f aca="false">IF(Y166="","",IF(Y166&gt;=2,"STRONG BUY",IF(Y166=1,"BUY",IF(Y166=0,"HOLD",IF(Y166=-1,"SELL","STRONG SELL")))))</f>
        <v>STRONG BUY</v>
      </c>
    </row>
    <row r="167" customFormat="false" ht="15" hidden="false" customHeight="false" outlineLevel="0" collapsed="false">
      <c r="A167" s="24" t="n">
        <v>46001</v>
      </c>
      <c r="B167" s="25" t="n">
        <v>61.35</v>
      </c>
      <c r="C167" s="25" t="n">
        <v>61.81</v>
      </c>
      <c r="D167" s="25" t="n">
        <v>61.27</v>
      </c>
      <c r="E167" s="25" t="n">
        <v>61.54</v>
      </c>
      <c r="F167" s="26" t="n">
        <v>38014611</v>
      </c>
      <c r="G167" s="27" t="n">
        <f aca="false">E167-E166</f>
        <v>-0.859999999999999</v>
      </c>
      <c r="H167" s="28" t="n">
        <f aca="false">G167/E166</f>
        <v>-0.0137820512820513</v>
      </c>
      <c r="I167" s="29" t="n">
        <f aca="false">MAX(G167,0)</f>
        <v>0</v>
      </c>
      <c r="J167" s="29" t="n">
        <f aca="false">MAX(-G167,0)</f>
        <v>0.859999999999999</v>
      </c>
      <c r="K167" s="29" t="n">
        <f aca="false">(K166*13+I167)/14</f>
        <v>0.338186273887461</v>
      </c>
      <c r="L167" s="29" t="n">
        <f aca="false">(L166*13+J167)/14</f>
        <v>0.361643771645908</v>
      </c>
      <c r="M167" s="31" t="n">
        <f aca="false">IF(L167=0,100,100-100/(1+K167/MAX(L167,0.000001)))</f>
        <v>48.324057540244</v>
      </c>
      <c r="N167" s="30" t="n">
        <f aca="false">AVERAGE(E148:E167)</f>
        <v>61.532</v>
      </c>
      <c r="O167" s="30" t="n">
        <f aca="false">AVERAGE(E118:E167)</f>
        <v>62.0318</v>
      </c>
      <c r="Q167" s="30" t="n">
        <f aca="false">Q166+(2/13)*(E167-Q166)</f>
        <v>61.9135376179729</v>
      </c>
      <c r="R167" s="30" t="n">
        <f aca="false">R166+(2/27)*(E167-R166)</f>
        <v>61.8367999637977</v>
      </c>
      <c r="S167" s="33" t="n">
        <f aca="false">Q167-R167</f>
        <v>0.0767376541752043</v>
      </c>
      <c r="T167" s="33" t="n">
        <f aca="false">T166+(2/10)*(S167-T166)</f>
        <v>-0.0307690339738257</v>
      </c>
      <c r="U167" s="33" t="n">
        <f aca="false">S167-T167</f>
        <v>0.10750668814903</v>
      </c>
      <c r="V167" s="32" t="str">
        <f aca="false">IF(M167="","",IF(M167&lt;Assumptions!$B$5,"BUY",IF(M167&gt;Assumptions!$B$4,"SELL","HOLD")))</f>
        <v>HOLD</v>
      </c>
      <c r="W167" s="32" t="str">
        <f aca="false">IF(O167="","",IF(E167&gt;O167,"BUY","SELL"))</f>
        <v>SELL</v>
      </c>
      <c r="X167" s="32" t="str">
        <f aca="false">IF(T167="","",IF(S167&gt;T167,"BUY","SELL"))</f>
        <v>BUY</v>
      </c>
      <c r="Y167" s="34" t="n">
        <f aca="false">IF(OR(V167="",W167="",X167=""),"",IFERROR(IF(V167="BUY",1,IF(V167="SELL",-1,0))+IF(W167="BUY",1,IF(W167="SELL",-1,0))+IF(X167="BUY",1,IF(X167="SELL",-1,0)),0))</f>
        <v>0</v>
      </c>
      <c r="Z167" s="32" t="str">
        <f aca="false">IF(Y167="","",IF(Y167&gt;=2,"STRONG BUY",IF(Y167=1,"BUY",IF(Y167=0,"HOLD",IF(Y167=-1,"SELL","STRONG SELL")))))</f>
        <v>HOLD</v>
      </c>
    </row>
    <row r="168" customFormat="false" ht="15" hidden="false" customHeight="false" outlineLevel="0" collapsed="false">
      <c r="A168" s="24" t="n">
        <v>46002</v>
      </c>
      <c r="B168" s="25" t="n">
        <v>62.38</v>
      </c>
      <c r="C168" s="25" t="n">
        <v>62.5</v>
      </c>
      <c r="D168" s="25" t="n">
        <v>62.38</v>
      </c>
      <c r="E168" s="25" t="n">
        <v>62.44</v>
      </c>
      <c r="F168" s="26" t="n">
        <v>22278995</v>
      </c>
      <c r="G168" s="27" t="n">
        <f aca="false">E168-E167</f>
        <v>0.899999999999999</v>
      </c>
      <c r="H168" s="28" t="n">
        <f aca="false">G168/E167</f>
        <v>0.0146246343841404</v>
      </c>
      <c r="I168" s="29" t="n">
        <f aca="false">MAX(G168,0)</f>
        <v>0.899999999999999</v>
      </c>
      <c r="J168" s="29" t="n">
        <f aca="false">MAX(-G168,0)</f>
        <v>0</v>
      </c>
      <c r="K168" s="29" t="n">
        <f aca="false">(K167*13+I168)/14</f>
        <v>0.378315825752642</v>
      </c>
      <c r="L168" s="29" t="n">
        <f aca="false">(L167*13+J168)/14</f>
        <v>0.3358120736712</v>
      </c>
      <c r="M168" s="31" t="n">
        <f aca="false">IF(L168=0,100,100-100/(1+K168/MAX(L168,0.000001)))</f>
        <v>52.9759201478989</v>
      </c>
      <c r="N168" s="30" t="n">
        <f aca="false">AVERAGE(E149:E168)</f>
        <v>61.595</v>
      </c>
      <c r="O168" s="30" t="n">
        <f aca="false">AVERAGE(E119:E168)</f>
        <v>62.0014</v>
      </c>
      <c r="Q168" s="30" t="n">
        <f aca="false">Q167+(2/13)*(E168-Q167)</f>
        <v>61.9945318305925</v>
      </c>
      <c r="R168" s="30" t="n">
        <f aca="false">R167+(2/27)*(E168-R167)</f>
        <v>61.8814814479609</v>
      </c>
      <c r="S168" s="33" t="n">
        <f aca="false">Q168-R168</f>
        <v>0.113050382631627</v>
      </c>
      <c r="T168" s="33" t="n">
        <f aca="false">T167+(2/10)*(S168-T167)</f>
        <v>-0.00200515065273511</v>
      </c>
      <c r="U168" s="33" t="n">
        <f aca="false">S168-T168</f>
        <v>0.115055533284362</v>
      </c>
      <c r="V168" s="32" t="str">
        <f aca="false">IF(M168="","",IF(M168&lt;Assumptions!$B$5,"BUY",IF(M168&gt;Assumptions!$B$4,"SELL","HOLD")))</f>
        <v>HOLD</v>
      </c>
      <c r="W168" s="32" t="str">
        <f aca="false">IF(O168="","",IF(E168&gt;O168,"BUY","SELL"))</f>
        <v>BUY</v>
      </c>
      <c r="X168" s="32" t="str">
        <f aca="false">IF(T168="","",IF(S168&gt;T168,"BUY","SELL"))</f>
        <v>BUY</v>
      </c>
      <c r="Y168" s="34" t="n">
        <f aca="false">IF(OR(V168="",W168="",X168=""),"",IFERROR(IF(V168="BUY",1,IF(V168="SELL",-1,0))+IF(W168="BUY",1,IF(W168="SELL",-1,0))+IF(X168="BUY",1,IF(X168="SELL",-1,0)),0))</f>
        <v>2</v>
      </c>
      <c r="Z168" s="32" t="str">
        <f aca="false">IF(Y168="","",IF(Y168&gt;=2,"STRONG BUY",IF(Y168=1,"BUY",IF(Y168=0,"HOLD",IF(Y168=-1,"SELL","STRONG SELL")))))</f>
        <v>STRONG BUY</v>
      </c>
    </row>
    <row r="169" customFormat="false" ht="15" hidden="false" customHeight="false" outlineLevel="0" collapsed="false">
      <c r="A169" s="24" t="n">
        <v>46003</v>
      </c>
      <c r="B169" s="25" t="n">
        <v>62.99</v>
      </c>
      <c r="C169" s="25" t="n">
        <v>63.75</v>
      </c>
      <c r="D169" s="25" t="n">
        <v>62.81</v>
      </c>
      <c r="E169" s="25" t="n">
        <v>63.28</v>
      </c>
      <c r="F169" s="26" t="n">
        <v>13325203</v>
      </c>
      <c r="G169" s="27" t="n">
        <f aca="false">E169-E168</f>
        <v>0.840000000000003</v>
      </c>
      <c r="H169" s="28" t="n">
        <f aca="false">G169/E168</f>
        <v>0.0134529147982063</v>
      </c>
      <c r="I169" s="29" t="n">
        <f aca="false">MAX(G169,0)</f>
        <v>0.840000000000003</v>
      </c>
      <c r="J169" s="29" t="n">
        <f aca="false">MAX(-G169,0)</f>
        <v>0</v>
      </c>
      <c r="K169" s="29" t="n">
        <f aca="false">(K168*13+I169)/14</f>
        <v>0.411293266770311</v>
      </c>
      <c r="L169" s="29" t="n">
        <f aca="false">(L168*13+J169)/14</f>
        <v>0.3118254969804</v>
      </c>
      <c r="M169" s="31" t="n">
        <f aca="false">IF(L169=0,100,100-100/(1+K169/MAX(L169,0.000001)))</f>
        <v>56.8776924881596</v>
      </c>
      <c r="N169" s="30" t="n">
        <f aca="false">AVERAGE(E150:E169)</f>
        <v>61.7245</v>
      </c>
      <c r="O169" s="30" t="n">
        <f aca="false">AVERAGE(E120:E169)</f>
        <v>61.9946</v>
      </c>
      <c r="Q169" s="30" t="n">
        <f aca="false">Q168+(2/13)*(E169-Q168)</f>
        <v>62.1922961643475</v>
      </c>
      <c r="R169" s="30" t="n">
        <f aca="false">R168+(2/27)*(E169-R168)</f>
        <v>61.9850754147786</v>
      </c>
      <c r="S169" s="33" t="n">
        <f aca="false">Q169-R169</f>
        <v>0.207220749568918</v>
      </c>
      <c r="T169" s="33" t="n">
        <f aca="false">T168+(2/10)*(S169-T168)</f>
        <v>0.0398400293915956</v>
      </c>
      <c r="U169" s="33" t="n">
        <f aca="false">S169-T169</f>
        <v>0.167380720177323</v>
      </c>
      <c r="V169" s="32" t="str">
        <f aca="false">IF(M169="","",IF(M169&lt;Assumptions!$B$5,"BUY",IF(M169&gt;Assumptions!$B$4,"SELL","HOLD")))</f>
        <v>HOLD</v>
      </c>
      <c r="W169" s="32" t="str">
        <f aca="false">IF(O169="","",IF(E169&gt;O169,"BUY","SELL"))</f>
        <v>BUY</v>
      </c>
      <c r="X169" s="32" t="str">
        <f aca="false">IF(T169="","",IF(S169&gt;T169,"BUY","SELL"))</f>
        <v>BUY</v>
      </c>
      <c r="Y169" s="34" t="n">
        <f aca="false">IF(OR(V169="",W169="",X169=""),"",IFERROR(IF(V169="BUY",1,IF(V169="SELL",-1,0))+IF(W169="BUY",1,IF(W169="SELL",-1,0))+IF(X169="BUY",1,IF(X169="SELL",-1,0)),0))</f>
        <v>2</v>
      </c>
      <c r="Z169" s="32" t="str">
        <f aca="false">IF(Y169="","",IF(Y169&gt;=2,"STRONG BUY",IF(Y169=1,"BUY",IF(Y169=0,"HOLD",IF(Y169=-1,"SELL","STRONG SELL")))))</f>
        <v>STRONG BUY</v>
      </c>
    </row>
    <row r="170" customFormat="false" ht="15" hidden="false" customHeight="false" outlineLevel="0" collapsed="false">
      <c r="A170" s="24" t="n">
        <v>46006</v>
      </c>
      <c r="B170" s="25" t="n">
        <v>65.34</v>
      </c>
      <c r="C170" s="25" t="n">
        <v>65.34</v>
      </c>
      <c r="D170" s="25" t="n">
        <v>64.72</v>
      </c>
      <c r="E170" s="25" t="n">
        <v>65.03</v>
      </c>
      <c r="F170" s="26" t="n">
        <v>33841706</v>
      </c>
      <c r="G170" s="27" t="n">
        <f aca="false">E170-E169</f>
        <v>1.75</v>
      </c>
      <c r="H170" s="28" t="n">
        <f aca="false">G170/E169</f>
        <v>0.0276548672566372</v>
      </c>
      <c r="I170" s="29" t="n">
        <f aca="false">MAX(G170,0)</f>
        <v>1.75</v>
      </c>
      <c r="J170" s="29" t="n">
        <f aca="false">MAX(-G170,0)</f>
        <v>0</v>
      </c>
      <c r="K170" s="29" t="n">
        <f aca="false">(K169*13+I170)/14</f>
        <v>0.506915176286717</v>
      </c>
      <c r="L170" s="29" t="n">
        <f aca="false">(L169*13+J170)/14</f>
        <v>0.289552247196086</v>
      </c>
      <c r="M170" s="31" t="n">
        <f aca="false">IF(L170=0,100,100-100/(1+K170/MAX(L170,0.000001)))</f>
        <v>63.6454375083003</v>
      </c>
      <c r="N170" s="30" t="n">
        <f aca="false">AVERAGE(E151:E170)</f>
        <v>61.942</v>
      </c>
      <c r="O170" s="30" t="n">
        <f aca="false">AVERAGE(E121:E170)</f>
        <v>62.0104</v>
      </c>
      <c r="Q170" s="30" t="n">
        <f aca="false">Q169+(2/13)*(E170-Q169)</f>
        <v>62.6288659852171</v>
      </c>
      <c r="R170" s="30" t="n">
        <f aca="false">R169+(2/27)*(E170-R169)</f>
        <v>62.2106253840542</v>
      </c>
      <c r="S170" s="33" t="n">
        <f aca="false">Q170-R170</f>
        <v>0.418240601162879</v>
      </c>
      <c r="T170" s="33" t="n">
        <f aca="false">T169+(2/10)*(S170-T169)</f>
        <v>0.115520143745852</v>
      </c>
      <c r="U170" s="33" t="n">
        <f aca="false">S170-T170</f>
        <v>0.302720457417026</v>
      </c>
      <c r="V170" s="32" t="str">
        <f aca="false">IF(M170="","",IF(M170&lt;Assumptions!$B$5,"BUY",IF(M170&gt;Assumptions!$B$4,"SELL","HOLD")))</f>
        <v>HOLD</v>
      </c>
      <c r="W170" s="32" t="str">
        <f aca="false">IF(O170="","",IF(E170&gt;O170,"BUY","SELL"))</f>
        <v>BUY</v>
      </c>
      <c r="X170" s="32" t="str">
        <f aca="false">IF(T170="","",IF(S170&gt;T170,"BUY","SELL"))</f>
        <v>BUY</v>
      </c>
      <c r="Y170" s="34" t="n">
        <f aca="false">IF(OR(V170="",W170="",X170=""),"",IFERROR(IF(V170="BUY",1,IF(V170="SELL",-1,0))+IF(W170="BUY",1,IF(W170="SELL",-1,0))+IF(X170="BUY",1,IF(X170="SELL",-1,0)),0))</f>
        <v>2</v>
      </c>
      <c r="Z170" s="32" t="str">
        <f aca="false">IF(Y170="","",IF(Y170&gt;=2,"STRONG BUY",IF(Y170=1,"BUY",IF(Y170=0,"HOLD",IF(Y170=-1,"SELL","STRONG SELL")))))</f>
        <v>STRONG BUY</v>
      </c>
    </row>
    <row r="171" customFormat="false" ht="15" hidden="false" customHeight="false" outlineLevel="0" collapsed="false">
      <c r="A171" s="24" t="n">
        <v>46007</v>
      </c>
      <c r="B171" s="25" t="n">
        <v>64.55</v>
      </c>
      <c r="C171" s="25" t="n">
        <v>64.8</v>
      </c>
      <c r="D171" s="25" t="n">
        <v>63.74</v>
      </c>
      <c r="E171" s="25" t="n">
        <v>64.27</v>
      </c>
      <c r="F171" s="26" t="n">
        <v>23819791</v>
      </c>
      <c r="G171" s="27" t="n">
        <f aca="false">E171-E170</f>
        <v>-0.760000000000005</v>
      </c>
      <c r="H171" s="28" t="n">
        <f aca="false">G171/E170</f>
        <v>-0.0116869137321237</v>
      </c>
      <c r="I171" s="29" t="n">
        <f aca="false">MAX(G171,0)</f>
        <v>0</v>
      </c>
      <c r="J171" s="29" t="n">
        <f aca="false">MAX(-G171,0)</f>
        <v>0.760000000000005</v>
      </c>
      <c r="K171" s="29" t="n">
        <f aca="false">(K170*13+I171)/14</f>
        <v>0.470706949409094</v>
      </c>
      <c r="L171" s="29" t="n">
        <f aca="false">(L170*13+J171)/14</f>
        <v>0.323155658110651</v>
      </c>
      <c r="M171" s="31" t="n">
        <f aca="false">IF(L171=0,100,100-100/(1+K171/MAX(L171,0.000001)))</f>
        <v>59.2932511180641</v>
      </c>
      <c r="N171" s="30" t="n">
        <f aca="false">AVERAGE(E152:E171)</f>
        <v>62.065</v>
      </c>
      <c r="O171" s="30" t="n">
        <f aca="false">AVERAGE(E122:E171)</f>
        <v>62.012</v>
      </c>
      <c r="Q171" s="30" t="n">
        <f aca="false">Q170+(2/13)*(E171-Q170)</f>
        <v>62.8813481413376</v>
      </c>
      <c r="R171" s="30" t="n">
        <f aca="false">R170+(2/27)*(E171-R170)</f>
        <v>62.3631716519021</v>
      </c>
      <c r="S171" s="33" t="n">
        <f aca="false">Q171-R171</f>
        <v>0.51817648943549</v>
      </c>
      <c r="T171" s="33" t="n">
        <f aca="false">T170+(2/10)*(S171-T170)</f>
        <v>0.19605141288378</v>
      </c>
      <c r="U171" s="33" t="n">
        <f aca="false">S171-T171</f>
        <v>0.32212507655171</v>
      </c>
      <c r="V171" s="32" t="str">
        <f aca="false">IF(M171="","",IF(M171&lt;Assumptions!$B$5,"BUY",IF(M171&gt;Assumptions!$B$4,"SELL","HOLD")))</f>
        <v>HOLD</v>
      </c>
      <c r="W171" s="32" t="str">
        <f aca="false">IF(O171="","",IF(E171&gt;O171,"BUY","SELL"))</f>
        <v>BUY</v>
      </c>
      <c r="X171" s="32" t="str">
        <f aca="false">IF(T171="","",IF(S171&gt;T171,"BUY","SELL"))</f>
        <v>BUY</v>
      </c>
      <c r="Y171" s="34" t="n">
        <f aca="false">IF(OR(V171="",W171="",X171=""),"",IFERROR(IF(V171="BUY",1,IF(V171="SELL",-1,0))+IF(W171="BUY",1,IF(W171="SELL",-1,0))+IF(X171="BUY",1,IF(X171="SELL",-1,0)),0))</f>
        <v>2</v>
      </c>
      <c r="Z171" s="32" t="str">
        <f aca="false">IF(Y171="","",IF(Y171&gt;=2,"STRONG BUY",IF(Y171=1,"BUY",IF(Y171=0,"HOLD",IF(Y171=-1,"SELL","STRONG SELL")))))</f>
        <v>STRONG BUY</v>
      </c>
    </row>
    <row r="172" customFormat="false" ht="15" hidden="false" customHeight="false" outlineLevel="0" collapsed="false">
      <c r="A172" s="24" t="n">
        <v>46008</v>
      </c>
      <c r="B172" s="25" t="n">
        <v>63.84</v>
      </c>
      <c r="C172" s="25" t="n">
        <v>63.96</v>
      </c>
      <c r="D172" s="25" t="n">
        <v>63.66</v>
      </c>
      <c r="E172" s="25" t="n">
        <v>63.81</v>
      </c>
      <c r="F172" s="26" t="n">
        <v>15654349</v>
      </c>
      <c r="G172" s="27" t="n">
        <f aca="false">E172-E171</f>
        <v>-0.459999999999994</v>
      </c>
      <c r="H172" s="28" t="n">
        <f aca="false">G172/E171</f>
        <v>-0.007157305119029</v>
      </c>
      <c r="I172" s="29" t="n">
        <f aca="false">MAX(G172,0)</f>
        <v>0</v>
      </c>
      <c r="J172" s="29" t="n">
        <f aca="false">MAX(-G172,0)</f>
        <v>0.459999999999994</v>
      </c>
      <c r="K172" s="29" t="n">
        <f aca="false">(K171*13+I172)/14</f>
        <v>0.437085024451302</v>
      </c>
      <c r="L172" s="29" t="n">
        <f aca="false">(L171*13+J172)/14</f>
        <v>0.33293025395989</v>
      </c>
      <c r="M172" s="31" t="n">
        <f aca="false">IF(L172=0,100,100-100/(1+K172/MAX(L172,0.000001)))</f>
        <v>56.7631625898592</v>
      </c>
      <c r="N172" s="30" t="n">
        <f aca="false">AVERAGE(E153:E172)</f>
        <v>62.2405</v>
      </c>
      <c r="O172" s="30" t="n">
        <f aca="false">AVERAGE(E123:E172)</f>
        <v>62.047</v>
      </c>
      <c r="Q172" s="30" t="n">
        <f aca="false">Q171+(2/13)*(E172-Q171)</f>
        <v>63.0242176580548</v>
      </c>
      <c r="R172" s="30" t="n">
        <f aca="false">R171+(2/27)*(E172-R171)</f>
        <v>62.4703441221315</v>
      </c>
      <c r="S172" s="33" t="n">
        <f aca="false">Q172-R172</f>
        <v>0.553873535923309</v>
      </c>
      <c r="T172" s="33" t="n">
        <f aca="false">T171+(2/10)*(S172-T171)</f>
        <v>0.267615837491686</v>
      </c>
      <c r="U172" s="33" t="n">
        <f aca="false">S172-T172</f>
        <v>0.286257698431623</v>
      </c>
      <c r="V172" s="32" t="str">
        <f aca="false">IF(M172="","",IF(M172&lt;Assumptions!$B$5,"BUY",IF(M172&gt;Assumptions!$B$4,"SELL","HOLD")))</f>
        <v>HOLD</v>
      </c>
      <c r="W172" s="32" t="str">
        <f aca="false">IF(O172="","",IF(E172&gt;O172,"BUY","SELL"))</f>
        <v>BUY</v>
      </c>
      <c r="X172" s="32" t="str">
        <f aca="false">IF(T172="","",IF(S172&gt;T172,"BUY","SELL"))</f>
        <v>BUY</v>
      </c>
      <c r="Y172" s="34" t="n">
        <f aca="false">IF(OR(V172="",W172="",X172=""),"",IFERROR(IF(V172="BUY",1,IF(V172="SELL",-1,0))+IF(W172="BUY",1,IF(W172="SELL",-1,0))+IF(X172="BUY",1,IF(X172="SELL",-1,0)),0))</f>
        <v>2</v>
      </c>
      <c r="Z172" s="32" t="str">
        <f aca="false">IF(Y172="","",IF(Y172&gt;=2,"STRONG BUY",IF(Y172=1,"BUY",IF(Y172=0,"HOLD",IF(Y172=-1,"SELL","STRONG SELL")))))</f>
        <v>STRONG BUY</v>
      </c>
    </row>
    <row r="173" customFormat="false" ht="15" hidden="false" customHeight="false" outlineLevel="0" collapsed="false">
      <c r="A173" s="24" t="n">
        <v>46009</v>
      </c>
      <c r="B173" s="25" t="n">
        <v>65.1</v>
      </c>
      <c r="C173" s="25" t="n">
        <v>65.32</v>
      </c>
      <c r="D173" s="25" t="n">
        <v>64.42</v>
      </c>
      <c r="E173" s="25" t="n">
        <v>64.87</v>
      </c>
      <c r="F173" s="26" t="n">
        <v>14339049</v>
      </c>
      <c r="G173" s="27" t="n">
        <f aca="false">E173-E172</f>
        <v>1.06</v>
      </c>
      <c r="H173" s="28" t="n">
        <f aca="false">G173/E172</f>
        <v>0.0166118163297289</v>
      </c>
      <c r="I173" s="29" t="n">
        <f aca="false">MAX(G173,0)</f>
        <v>1.06</v>
      </c>
      <c r="J173" s="29" t="n">
        <f aca="false">MAX(-G173,0)</f>
        <v>0</v>
      </c>
      <c r="K173" s="29" t="n">
        <f aca="false">(K172*13+I173)/14</f>
        <v>0.481578951276209</v>
      </c>
      <c r="L173" s="29" t="n">
        <f aca="false">(L172*13+J173)/14</f>
        <v>0.309149521534184</v>
      </c>
      <c r="M173" s="31" t="n">
        <f aca="false">IF(L173=0,100,100-100/(1+K173/MAX(L173,0.000001)))</f>
        <v>60.9032010147036</v>
      </c>
      <c r="N173" s="30" t="n">
        <f aca="false">AVERAGE(E154:E173)</f>
        <v>62.4395</v>
      </c>
      <c r="O173" s="30" t="n">
        <f aca="false">AVERAGE(E124:E173)</f>
        <v>62.1</v>
      </c>
      <c r="Q173" s="30" t="n">
        <f aca="false">Q172+(2/13)*(E173-Q172)</f>
        <v>63.3081841722003</v>
      </c>
      <c r="R173" s="30" t="n">
        <f aca="false">R172+(2/27)*(E173-R172)</f>
        <v>62.6480964093811</v>
      </c>
      <c r="S173" s="33" t="n">
        <f aca="false">Q173-R173</f>
        <v>0.660087762819202</v>
      </c>
      <c r="T173" s="33" t="n">
        <f aca="false">T172+(2/10)*(S173-T172)</f>
        <v>0.346110222557189</v>
      </c>
      <c r="U173" s="33" t="n">
        <f aca="false">S173-T173</f>
        <v>0.313977540262013</v>
      </c>
      <c r="V173" s="32" t="str">
        <f aca="false">IF(M173="","",IF(M173&lt;Assumptions!$B$5,"BUY",IF(M173&gt;Assumptions!$B$4,"SELL","HOLD")))</f>
        <v>HOLD</v>
      </c>
      <c r="W173" s="32" t="str">
        <f aca="false">IF(O173="","",IF(E173&gt;O173,"BUY","SELL"))</f>
        <v>BUY</v>
      </c>
      <c r="X173" s="32" t="str">
        <f aca="false">IF(T173="","",IF(S173&gt;T173,"BUY","SELL"))</f>
        <v>BUY</v>
      </c>
      <c r="Y173" s="34" t="n">
        <f aca="false">IF(OR(V173="",W173="",X173=""),"",IFERROR(IF(V173="BUY",1,IF(V173="SELL",-1,0))+IF(W173="BUY",1,IF(W173="SELL",-1,0))+IF(X173="BUY",1,IF(X173="SELL",-1,0)),0))</f>
        <v>2</v>
      </c>
      <c r="Z173" s="32" t="str">
        <f aca="false">IF(Y173="","",IF(Y173&gt;=2,"STRONG BUY",IF(Y173=1,"BUY",IF(Y173=0,"HOLD",IF(Y173=-1,"SELL","STRONG SELL")))))</f>
        <v>STRONG BUY</v>
      </c>
    </row>
    <row r="174" customFormat="false" ht="15" hidden="false" customHeight="false" outlineLevel="0" collapsed="false">
      <c r="A174" s="24" t="n">
        <v>46010</v>
      </c>
      <c r="B174" s="25" t="n">
        <v>66.75</v>
      </c>
      <c r="C174" s="25" t="n">
        <v>66.75</v>
      </c>
      <c r="D174" s="25" t="n">
        <v>66.59</v>
      </c>
      <c r="E174" s="25" t="n">
        <v>66.67</v>
      </c>
      <c r="F174" s="26" t="n">
        <v>31586444</v>
      </c>
      <c r="G174" s="27" t="n">
        <f aca="false">E174-E173</f>
        <v>1.8</v>
      </c>
      <c r="H174" s="28" t="n">
        <f aca="false">G174/E173</f>
        <v>0.0277478032989055</v>
      </c>
      <c r="I174" s="29" t="n">
        <f aca="false">MAX(G174,0)</f>
        <v>1.8</v>
      </c>
      <c r="J174" s="29" t="n">
        <f aca="false">MAX(-G174,0)</f>
        <v>0</v>
      </c>
      <c r="K174" s="29" t="n">
        <f aca="false">(K173*13+I174)/14</f>
        <v>0.575751883327908</v>
      </c>
      <c r="L174" s="29" t="n">
        <f aca="false">(L173*13+J174)/14</f>
        <v>0.287067412853171</v>
      </c>
      <c r="M174" s="31" t="n">
        <f aca="false">IF(L174=0,100,100-100/(1+K174/MAX(L174,0.000001)))</f>
        <v>66.7291385202257</v>
      </c>
      <c r="N174" s="30" t="n">
        <f aca="false">AVERAGE(E155:E174)</f>
        <v>62.723</v>
      </c>
      <c r="O174" s="30" t="n">
        <f aca="false">AVERAGE(E125:E174)</f>
        <v>62.1912</v>
      </c>
      <c r="Q174" s="30" t="n">
        <f aca="false">Q173+(2/13)*(E174-Q173)</f>
        <v>63.8253866072464</v>
      </c>
      <c r="R174" s="30" t="n">
        <f aca="false">R173+(2/27)*(E174-R173)</f>
        <v>62.9460151938714</v>
      </c>
      <c r="S174" s="33" t="n">
        <f aca="false">Q174-R174</f>
        <v>0.879371413375026</v>
      </c>
      <c r="T174" s="33" t="n">
        <f aca="false">T173+(2/10)*(S174-T173)</f>
        <v>0.452762460720756</v>
      </c>
      <c r="U174" s="33" t="n">
        <f aca="false">S174-T174</f>
        <v>0.426608952654269</v>
      </c>
      <c r="V174" s="32" t="str">
        <f aca="false">IF(M174="","",IF(M174&lt;Assumptions!$B$5,"BUY",IF(M174&gt;Assumptions!$B$4,"SELL","HOLD")))</f>
        <v>HOLD</v>
      </c>
      <c r="W174" s="32" t="str">
        <f aca="false">IF(O174="","",IF(E174&gt;O174,"BUY","SELL"))</f>
        <v>BUY</v>
      </c>
      <c r="X174" s="32" t="str">
        <f aca="false">IF(T174="","",IF(S174&gt;T174,"BUY","SELL"))</f>
        <v>BUY</v>
      </c>
      <c r="Y174" s="34" t="n">
        <f aca="false">IF(OR(V174="",W174="",X174=""),"",IFERROR(IF(V174="BUY",1,IF(V174="SELL",-1,0))+IF(W174="BUY",1,IF(W174="SELL",-1,0))+IF(X174="BUY",1,IF(X174="SELL",-1,0)),0))</f>
        <v>2</v>
      </c>
      <c r="Z174" s="32" t="str">
        <f aca="false">IF(Y174="","",IF(Y174&gt;=2,"STRONG BUY",IF(Y174=1,"BUY",IF(Y174=0,"HOLD",IF(Y174=-1,"SELL","STRONG SELL")))))</f>
        <v>STRONG BUY</v>
      </c>
    </row>
    <row r="175" customFormat="false" ht="15" hidden="false" customHeight="false" outlineLevel="0" collapsed="false">
      <c r="A175" s="24" t="n">
        <v>46013</v>
      </c>
      <c r="B175" s="25" t="n">
        <v>66.52</v>
      </c>
      <c r="C175" s="25" t="n">
        <v>66.82</v>
      </c>
      <c r="D175" s="25" t="n">
        <v>66.52</v>
      </c>
      <c r="E175" s="25" t="n">
        <v>66.67</v>
      </c>
      <c r="F175" s="26" t="n">
        <v>29728476</v>
      </c>
      <c r="G175" s="27" t="n">
        <f aca="false">E175-E174</f>
        <v>0</v>
      </c>
      <c r="H175" s="28" t="n">
        <f aca="false">G175/E174</f>
        <v>0</v>
      </c>
      <c r="I175" s="29" t="n">
        <f aca="false">MAX(G175,0)</f>
        <v>0</v>
      </c>
      <c r="J175" s="29" t="n">
        <f aca="false">MAX(-G175,0)</f>
        <v>0</v>
      </c>
      <c r="K175" s="29" t="n">
        <f aca="false">(K174*13+I175)/14</f>
        <v>0.534626748804486</v>
      </c>
      <c r="L175" s="29" t="n">
        <f aca="false">(L174*13+J175)/14</f>
        <v>0.266562597649373</v>
      </c>
      <c r="M175" s="31" t="n">
        <f aca="false">IF(L175=0,100,100-100/(1+K175/MAX(L175,0.000001)))</f>
        <v>66.7291385202257</v>
      </c>
      <c r="N175" s="30" t="n">
        <f aca="false">AVERAGE(E156:E175)</f>
        <v>62.9625</v>
      </c>
      <c r="O175" s="30" t="n">
        <f aca="false">AVERAGE(E126:E175)</f>
        <v>62.2758</v>
      </c>
      <c r="Q175" s="30" t="n">
        <f aca="false">Q174+(2/13)*(E175-Q174)</f>
        <v>64.2630194369008</v>
      </c>
      <c r="R175" s="30" t="n">
        <f aca="false">R174+(2/27)*(E175-R174)</f>
        <v>63.2218659202513</v>
      </c>
      <c r="S175" s="33" t="n">
        <f aca="false">Q175-R175</f>
        <v>1.04115351664953</v>
      </c>
      <c r="T175" s="33" t="n">
        <f aca="false">T174+(2/10)*(S175-T174)</f>
        <v>0.570440671906511</v>
      </c>
      <c r="U175" s="33" t="n">
        <f aca="false">S175-T175</f>
        <v>0.470712844743019</v>
      </c>
      <c r="V175" s="32" t="str">
        <f aca="false">IF(M175="","",IF(M175&lt;Assumptions!$B$5,"BUY",IF(M175&gt;Assumptions!$B$4,"SELL","HOLD")))</f>
        <v>HOLD</v>
      </c>
      <c r="W175" s="32" t="str">
        <f aca="false">IF(O175="","",IF(E175&gt;O175,"BUY","SELL"))</f>
        <v>BUY</v>
      </c>
      <c r="X175" s="32" t="str">
        <f aca="false">IF(T175="","",IF(S175&gt;T175,"BUY","SELL"))</f>
        <v>BUY</v>
      </c>
      <c r="Y175" s="34" t="n">
        <f aca="false">IF(OR(V175="",W175="",X175=""),"",IFERROR(IF(V175="BUY",1,IF(V175="SELL",-1,0))+IF(W175="BUY",1,IF(W175="SELL",-1,0))+IF(X175="BUY",1,IF(X175="SELL",-1,0)),0))</f>
        <v>2</v>
      </c>
      <c r="Z175" s="32" t="str">
        <f aca="false">IF(Y175="","",IF(Y175&gt;=2,"STRONG BUY",IF(Y175=1,"BUY",IF(Y175=0,"HOLD",IF(Y175=-1,"SELL","STRONG SELL")))))</f>
        <v>STRONG BUY</v>
      </c>
    </row>
    <row r="176" customFormat="false" ht="15" hidden="false" customHeight="false" outlineLevel="0" collapsed="false">
      <c r="A176" s="24" t="n">
        <v>46014</v>
      </c>
      <c r="B176" s="25" t="n">
        <v>65.12</v>
      </c>
      <c r="C176" s="25" t="n">
        <v>65.22</v>
      </c>
      <c r="D176" s="25" t="n">
        <v>65.12</v>
      </c>
      <c r="E176" s="25" t="n">
        <v>65.17</v>
      </c>
      <c r="F176" s="26" t="n">
        <v>7598404</v>
      </c>
      <c r="G176" s="27" t="n">
        <f aca="false">E176-E175</f>
        <v>-1.5</v>
      </c>
      <c r="H176" s="28" t="n">
        <f aca="false">G176/E175</f>
        <v>-0.0224988750562472</v>
      </c>
      <c r="I176" s="29" t="n">
        <f aca="false">MAX(G176,0)</f>
        <v>0</v>
      </c>
      <c r="J176" s="29" t="n">
        <f aca="false">MAX(-G176,0)</f>
        <v>1.5</v>
      </c>
      <c r="K176" s="29" t="n">
        <f aca="false">(K175*13+I176)/14</f>
        <v>0.49643912388988</v>
      </c>
      <c r="L176" s="29" t="n">
        <f aca="false">(L175*13+J176)/14</f>
        <v>0.354665269245846</v>
      </c>
      <c r="M176" s="31" t="n">
        <f aca="false">IF(L176=0,100,100-100/(1+K176/MAX(L176,0.000001)))</f>
        <v>58.3288169928072</v>
      </c>
      <c r="N176" s="30" t="n">
        <f aca="false">AVERAGE(E157:E176)</f>
        <v>63.2025</v>
      </c>
      <c r="O176" s="30" t="n">
        <f aca="false">AVERAGE(E127:E176)</f>
        <v>62.3448</v>
      </c>
      <c r="Q176" s="30" t="n">
        <f aca="false">Q175+(2/13)*(E176-Q175)</f>
        <v>64.4025549081468</v>
      </c>
      <c r="R176" s="30" t="n">
        <f aca="false">R175+(2/27)*(E176-R175)</f>
        <v>63.3661721483808</v>
      </c>
      <c r="S176" s="33" t="n">
        <f aca="false">Q176-R176</f>
        <v>1.03638275976603</v>
      </c>
      <c r="T176" s="33" t="n">
        <f aca="false">T175+(2/10)*(S176-T175)</f>
        <v>0.663629089478414</v>
      </c>
      <c r="U176" s="33" t="n">
        <f aca="false">S176-T176</f>
        <v>0.372753670287613</v>
      </c>
      <c r="V176" s="32" t="str">
        <f aca="false">IF(M176="","",IF(M176&lt;Assumptions!$B$5,"BUY",IF(M176&gt;Assumptions!$B$4,"SELL","HOLD")))</f>
        <v>HOLD</v>
      </c>
      <c r="W176" s="32" t="str">
        <f aca="false">IF(O176="","",IF(E176&gt;O176,"BUY","SELL"))</f>
        <v>BUY</v>
      </c>
      <c r="X176" s="32" t="str">
        <f aca="false">IF(T176="","",IF(S176&gt;T176,"BUY","SELL"))</f>
        <v>BUY</v>
      </c>
      <c r="Y176" s="34" t="n">
        <f aca="false">IF(OR(V176="",W176="",X176=""),"",IFERROR(IF(V176="BUY",1,IF(V176="SELL",-1,0))+IF(W176="BUY",1,IF(W176="SELL",-1,0))+IF(X176="BUY",1,IF(X176="SELL",-1,0)),0))</f>
        <v>2</v>
      </c>
      <c r="Z176" s="32" t="str">
        <f aca="false">IF(Y176="","",IF(Y176&gt;=2,"STRONG BUY",IF(Y176=1,"BUY",IF(Y176=0,"HOLD",IF(Y176=-1,"SELL","STRONG SELL")))))</f>
        <v>STRONG BUY</v>
      </c>
    </row>
    <row r="177" customFormat="false" ht="15" hidden="false" customHeight="false" outlineLevel="0" collapsed="false">
      <c r="A177" s="24" t="n">
        <v>46015</v>
      </c>
      <c r="B177" s="25" t="n">
        <v>64.79</v>
      </c>
      <c r="C177" s="25" t="n">
        <v>65.15</v>
      </c>
      <c r="D177" s="25" t="n">
        <v>64.79</v>
      </c>
      <c r="E177" s="25" t="n">
        <v>64.97</v>
      </c>
      <c r="F177" s="26" t="n">
        <v>10060877</v>
      </c>
      <c r="G177" s="27" t="n">
        <f aca="false">E177-E176</f>
        <v>-0.200000000000003</v>
      </c>
      <c r="H177" s="28" t="n">
        <f aca="false">G177/E176</f>
        <v>-0.00306889673162502</v>
      </c>
      <c r="I177" s="29" t="n">
        <f aca="false">MAX(G177,0)</f>
        <v>0</v>
      </c>
      <c r="J177" s="29" t="n">
        <f aca="false">MAX(-G177,0)</f>
        <v>0.200000000000003</v>
      </c>
      <c r="K177" s="29" t="n">
        <f aca="false">(K176*13+I177)/14</f>
        <v>0.460979186469174</v>
      </c>
      <c r="L177" s="29" t="n">
        <f aca="false">(L176*13+J177)/14</f>
        <v>0.343617750014</v>
      </c>
      <c r="M177" s="31" t="n">
        <f aca="false">IF(L177=0,100,100-100/(1+K177/MAX(L177,0.000001)))</f>
        <v>57.2931819109423</v>
      </c>
      <c r="N177" s="30" t="n">
        <f aca="false">AVERAGE(E158:E177)</f>
        <v>63.432</v>
      </c>
      <c r="O177" s="30" t="n">
        <f aca="false">AVERAGE(E128:E177)</f>
        <v>62.4138</v>
      </c>
      <c r="Q177" s="30" t="n">
        <f aca="false">Q176+(2/13)*(E177-Q176)</f>
        <v>64.4898541530473</v>
      </c>
      <c r="R177" s="30" t="n">
        <f aca="false">R176+(2/27)*(E177-R176)</f>
        <v>63.4849742114637</v>
      </c>
      <c r="S177" s="33" t="n">
        <f aca="false">Q177-R177</f>
        <v>1.00487994158362</v>
      </c>
      <c r="T177" s="33" t="n">
        <f aca="false">T176+(2/10)*(S177-T176)</f>
        <v>0.731879259899455</v>
      </c>
      <c r="U177" s="33" t="n">
        <f aca="false">S177-T177</f>
        <v>0.273000681684162</v>
      </c>
      <c r="V177" s="32" t="str">
        <f aca="false">IF(M177="","",IF(M177&lt;Assumptions!$B$5,"BUY",IF(M177&gt;Assumptions!$B$4,"SELL","HOLD")))</f>
        <v>HOLD</v>
      </c>
      <c r="W177" s="32" t="str">
        <f aca="false">IF(O177="","",IF(E177&gt;O177,"BUY","SELL"))</f>
        <v>BUY</v>
      </c>
      <c r="X177" s="32" t="str">
        <f aca="false">IF(T177="","",IF(S177&gt;T177,"BUY","SELL"))</f>
        <v>BUY</v>
      </c>
      <c r="Y177" s="34" t="n">
        <f aca="false">IF(OR(V177="",W177="",X177=""),"",IFERROR(IF(V177="BUY",1,IF(V177="SELL",-1,0))+IF(W177="BUY",1,IF(W177="SELL",-1,0))+IF(X177="BUY",1,IF(X177="SELL",-1,0)),0))</f>
        <v>2</v>
      </c>
      <c r="Z177" s="32" t="str">
        <f aca="false">IF(Y177="","",IF(Y177&gt;=2,"STRONG BUY",IF(Y177=1,"BUY",IF(Y177=0,"HOLD",IF(Y177=-1,"SELL","STRONG SELL")))))</f>
        <v>STRONG BUY</v>
      </c>
    </row>
    <row r="178" customFormat="false" ht="15" hidden="false" customHeight="false" outlineLevel="0" collapsed="false">
      <c r="A178" s="24" t="n">
        <v>46016</v>
      </c>
      <c r="B178" s="25" t="n">
        <v>65.6</v>
      </c>
      <c r="C178" s="25" t="n">
        <v>66.61</v>
      </c>
      <c r="D178" s="25" t="n">
        <v>65.23</v>
      </c>
      <c r="E178" s="25" t="n">
        <v>65.92</v>
      </c>
      <c r="F178" s="26" t="n">
        <v>21325193</v>
      </c>
      <c r="G178" s="27" t="n">
        <f aca="false">E178-E177</f>
        <v>0.950000000000003</v>
      </c>
      <c r="H178" s="28" t="n">
        <f aca="false">G178/E177</f>
        <v>0.0146221332922888</v>
      </c>
      <c r="I178" s="29" t="n">
        <f aca="false">MAX(G178,0)</f>
        <v>0.950000000000003</v>
      </c>
      <c r="J178" s="29" t="n">
        <f aca="false">MAX(-G178,0)</f>
        <v>0</v>
      </c>
      <c r="K178" s="29" t="n">
        <f aca="false">(K177*13+I178)/14</f>
        <v>0.495909244578519</v>
      </c>
      <c r="L178" s="29" t="n">
        <f aca="false">(L177*13+J178)/14</f>
        <v>0.319073625013</v>
      </c>
      <c r="M178" s="31" t="n">
        <f aca="false">IF(L178=0,100,100-100/(1+K178/MAX(L178,0.000001)))</f>
        <v>60.8490390512227</v>
      </c>
      <c r="N178" s="30" t="n">
        <f aca="false">AVERAGE(E159:E178)</f>
        <v>63.6585</v>
      </c>
      <c r="O178" s="30" t="n">
        <f aca="false">AVERAGE(E129:E178)</f>
        <v>62.4804</v>
      </c>
      <c r="Q178" s="30" t="n">
        <f aca="false">Q177+(2/13)*(E178-Q177)</f>
        <v>64.70987659104</v>
      </c>
      <c r="R178" s="30" t="n">
        <f aca="false">R177+(2/27)*(E178-R177)</f>
        <v>63.665346492096</v>
      </c>
      <c r="S178" s="33" t="n">
        <f aca="false">Q178-R178</f>
        <v>1.04453009894402</v>
      </c>
      <c r="T178" s="33" t="n">
        <f aca="false">T177+(2/10)*(S178-T177)</f>
        <v>0.794409427708368</v>
      </c>
      <c r="U178" s="33" t="n">
        <f aca="false">S178-T178</f>
        <v>0.250120671235654</v>
      </c>
      <c r="V178" s="32" t="str">
        <f aca="false">IF(M178="","",IF(M178&lt;Assumptions!$B$5,"BUY",IF(M178&gt;Assumptions!$B$4,"SELL","HOLD")))</f>
        <v>HOLD</v>
      </c>
      <c r="W178" s="32" t="str">
        <f aca="false">IF(O178="","",IF(E178&gt;O178,"BUY","SELL"))</f>
        <v>BUY</v>
      </c>
      <c r="X178" s="32" t="str">
        <f aca="false">IF(T178="","",IF(S178&gt;T178,"BUY","SELL"))</f>
        <v>BUY</v>
      </c>
      <c r="Y178" s="34" t="n">
        <f aca="false">IF(OR(V178="",W178="",X178=""),"",IFERROR(IF(V178="BUY",1,IF(V178="SELL",-1,0))+IF(W178="BUY",1,IF(W178="SELL",-1,0))+IF(X178="BUY",1,IF(X178="SELL",-1,0)),0))</f>
        <v>2</v>
      </c>
      <c r="Z178" s="32" t="str">
        <f aca="false">IF(Y178="","",IF(Y178&gt;=2,"STRONG BUY",IF(Y178=1,"BUY",IF(Y178=0,"HOLD",IF(Y178=-1,"SELL","STRONG SELL")))))</f>
        <v>STRONG BUY</v>
      </c>
    </row>
    <row r="179" customFormat="false" ht="15" hidden="false" customHeight="false" outlineLevel="0" collapsed="false">
      <c r="A179" s="24" t="n">
        <v>46017</v>
      </c>
      <c r="B179" s="25" t="n">
        <v>66.62</v>
      </c>
      <c r="C179" s="25" t="n">
        <v>66.63</v>
      </c>
      <c r="D179" s="25" t="n">
        <v>66.57</v>
      </c>
      <c r="E179" s="25" t="n">
        <v>66.6</v>
      </c>
      <c r="F179" s="26" t="n">
        <v>16081056</v>
      </c>
      <c r="G179" s="27" t="n">
        <f aca="false">E179-E178</f>
        <v>0.679999999999993</v>
      </c>
      <c r="H179" s="28" t="n">
        <f aca="false">G179/E178</f>
        <v>0.0103155339805824</v>
      </c>
      <c r="I179" s="29" t="n">
        <f aca="false">MAX(G179,0)</f>
        <v>0.679999999999993</v>
      </c>
      <c r="J179" s="29" t="n">
        <f aca="false">MAX(-G179,0)</f>
        <v>0</v>
      </c>
      <c r="K179" s="29" t="n">
        <f aca="false">(K178*13+I179)/14</f>
        <v>0.509058584251482</v>
      </c>
      <c r="L179" s="29" t="n">
        <f aca="false">(L178*13+J179)/14</f>
        <v>0.296282651797786</v>
      </c>
      <c r="M179" s="31" t="n">
        <f aca="false">IF(L179=0,100,100-100/(1+K179/MAX(L179,0.000001)))</f>
        <v>63.2102966375783</v>
      </c>
      <c r="N179" s="30" t="n">
        <f aca="false">AVERAGE(E160:E179)</f>
        <v>63.8555</v>
      </c>
      <c r="O179" s="30" t="n">
        <f aca="false">AVERAGE(E130:E179)</f>
        <v>62.5634</v>
      </c>
      <c r="Q179" s="30" t="n">
        <f aca="false">Q178+(2/13)*(E179-Q178)</f>
        <v>65.0006648078031</v>
      </c>
      <c r="R179" s="30" t="n">
        <f aca="false">R178+(2/27)*(E179-R178)</f>
        <v>63.8827282334222</v>
      </c>
      <c r="S179" s="33" t="n">
        <f aca="false">Q179-R179</f>
        <v>1.11793657438088</v>
      </c>
      <c r="T179" s="33" t="n">
        <f aca="false">T178+(2/10)*(S179-T178)</f>
        <v>0.85911485704287</v>
      </c>
      <c r="U179" s="33" t="n">
        <f aca="false">S179-T179</f>
        <v>0.258821717338007</v>
      </c>
      <c r="V179" s="32" t="str">
        <f aca="false">IF(M179="","",IF(M179&lt;Assumptions!$B$5,"BUY",IF(M179&gt;Assumptions!$B$4,"SELL","HOLD")))</f>
        <v>HOLD</v>
      </c>
      <c r="W179" s="32" t="str">
        <f aca="false">IF(O179="","",IF(E179&gt;O179,"BUY","SELL"))</f>
        <v>BUY</v>
      </c>
      <c r="X179" s="32" t="str">
        <f aca="false">IF(T179="","",IF(S179&gt;T179,"BUY","SELL"))</f>
        <v>BUY</v>
      </c>
      <c r="Y179" s="34" t="n">
        <f aca="false">IF(OR(V179="",W179="",X179=""),"",IFERROR(IF(V179="BUY",1,IF(V179="SELL",-1,0))+IF(W179="BUY",1,IF(W179="SELL",-1,0))+IF(X179="BUY",1,IF(X179="SELL",-1,0)),0))</f>
        <v>2</v>
      </c>
      <c r="Z179" s="32" t="str">
        <f aca="false">IF(Y179="","",IF(Y179&gt;=2,"STRONG BUY",IF(Y179=1,"BUY",IF(Y179=0,"HOLD",IF(Y179=-1,"SELL","STRONG SELL")))))</f>
        <v>STRONG BUY</v>
      </c>
    </row>
    <row r="180" customFormat="false" ht="15" hidden="false" customHeight="false" outlineLevel="0" collapsed="false">
      <c r="A180" s="24" t="n">
        <v>46020</v>
      </c>
      <c r="B180" s="25" t="n">
        <v>67.95</v>
      </c>
      <c r="C180" s="25" t="n">
        <v>68.02</v>
      </c>
      <c r="D180" s="25" t="n">
        <v>67.44</v>
      </c>
      <c r="E180" s="25" t="n">
        <v>67.73</v>
      </c>
      <c r="F180" s="26" t="n">
        <v>22560636</v>
      </c>
      <c r="G180" s="27" t="n">
        <f aca="false">E180-E179</f>
        <v>1.13000000000001</v>
      </c>
      <c r="H180" s="28" t="n">
        <f aca="false">G180/E179</f>
        <v>0.0169669669669671</v>
      </c>
      <c r="I180" s="29" t="n">
        <f aca="false">MAX(G180,0)</f>
        <v>1.13000000000001</v>
      </c>
      <c r="J180" s="29" t="n">
        <f aca="false">MAX(-G180,0)</f>
        <v>0</v>
      </c>
      <c r="K180" s="29" t="n">
        <f aca="false">(K179*13+I180)/14</f>
        <v>0.553411542519234</v>
      </c>
      <c r="L180" s="29" t="n">
        <f aca="false">(L179*13+J180)/14</f>
        <v>0.275119605240801</v>
      </c>
      <c r="M180" s="31" t="n">
        <f aca="false">IF(L180=0,100,100-100/(1+K180/MAX(L180,0.000001)))</f>
        <v>66.7942954245477</v>
      </c>
      <c r="N180" s="30" t="n">
        <f aca="false">AVERAGE(E161:E180)</f>
        <v>64.1445</v>
      </c>
      <c r="O180" s="30" t="n">
        <f aca="false">AVERAGE(E131:E180)</f>
        <v>62.6768</v>
      </c>
      <c r="Q180" s="30" t="n">
        <f aca="false">Q179+(2/13)*(E180-Q179)</f>
        <v>65.4205625296796</v>
      </c>
      <c r="R180" s="30" t="n">
        <f aca="false">R179+(2/27)*(E180-R179)</f>
        <v>64.1677113272428</v>
      </c>
      <c r="S180" s="33" t="n">
        <f aca="false">Q180-R180</f>
        <v>1.25285120243676</v>
      </c>
      <c r="T180" s="33" t="n">
        <f aca="false">T179+(2/10)*(S180-T179)</f>
        <v>0.937862126121648</v>
      </c>
      <c r="U180" s="33" t="n">
        <f aca="false">S180-T180</f>
        <v>0.314989076315111</v>
      </c>
      <c r="V180" s="32" t="str">
        <f aca="false">IF(M180="","",IF(M180&lt;Assumptions!$B$5,"BUY",IF(M180&gt;Assumptions!$B$4,"SELL","HOLD")))</f>
        <v>HOLD</v>
      </c>
      <c r="W180" s="32" t="str">
        <f aca="false">IF(O180="","",IF(E180&gt;O180,"BUY","SELL"))</f>
        <v>BUY</v>
      </c>
      <c r="X180" s="32" t="str">
        <f aca="false">IF(T180="","",IF(S180&gt;T180,"BUY","SELL"))</f>
        <v>BUY</v>
      </c>
      <c r="Y180" s="34" t="n">
        <f aca="false">IF(OR(V180="",W180="",X180=""),"",IFERROR(IF(V180="BUY",1,IF(V180="SELL",-1,0))+IF(W180="BUY",1,IF(W180="SELL",-1,0))+IF(X180="BUY",1,IF(X180="SELL",-1,0)),0))</f>
        <v>2</v>
      </c>
      <c r="Z180" s="32" t="str">
        <f aca="false">IF(Y180="","",IF(Y180&gt;=2,"STRONG BUY",IF(Y180=1,"BUY",IF(Y180=0,"HOLD",IF(Y180=-1,"SELL","STRONG SELL")))))</f>
        <v>STRONG BUY</v>
      </c>
    </row>
    <row r="181" customFormat="false" ht="15" hidden="false" customHeight="false" outlineLevel="0" collapsed="false">
      <c r="A181" s="24" t="n">
        <v>46021</v>
      </c>
      <c r="B181" s="25" t="n">
        <v>69.71</v>
      </c>
      <c r="C181" s="25" t="n">
        <v>69.73</v>
      </c>
      <c r="D181" s="25" t="n">
        <v>69.71</v>
      </c>
      <c r="E181" s="25" t="n">
        <v>69.72</v>
      </c>
      <c r="F181" s="26" t="n">
        <v>19980151</v>
      </c>
      <c r="G181" s="27" t="n">
        <f aca="false">E181-E180</f>
        <v>1.98999999999999</v>
      </c>
      <c r="H181" s="28" t="n">
        <f aca="false">G181/E180</f>
        <v>0.0293813671932673</v>
      </c>
      <c r="I181" s="29" t="n">
        <f aca="false">MAX(G181,0)</f>
        <v>1.98999999999999</v>
      </c>
      <c r="J181" s="29" t="n">
        <f aca="false">MAX(-G181,0)</f>
        <v>0</v>
      </c>
      <c r="K181" s="29" t="n">
        <f aca="false">(K180*13+I181)/14</f>
        <v>0.656025003767859</v>
      </c>
      <c r="L181" s="29" t="n">
        <f aca="false">(L180*13+J181)/14</f>
        <v>0.255468204866458</v>
      </c>
      <c r="M181" s="31" t="n">
        <f aca="false">IF(L181=0,100,100-100/(1+K181/MAX(L181,0.000001)))</f>
        <v>71.9725607995232</v>
      </c>
      <c r="N181" s="30" t="n">
        <f aca="false">AVERAGE(E162:E181)</f>
        <v>64.5455</v>
      </c>
      <c r="O181" s="30" t="n">
        <f aca="false">AVERAGE(E132:E181)</f>
        <v>62.823</v>
      </c>
      <c r="Q181" s="30" t="n">
        <f aca="false">Q180+(2/13)*(E181-Q180)</f>
        <v>66.0820144481904</v>
      </c>
      <c r="R181" s="30" t="n">
        <f aca="false">R180+(2/27)*(E181-R180)</f>
        <v>64.5789919696693</v>
      </c>
      <c r="S181" s="33" t="n">
        <f aca="false">Q181-R181</f>
        <v>1.50302247852113</v>
      </c>
      <c r="T181" s="33" t="n">
        <f aca="false">T180+(2/10)*(S181-T180)</f>
        <v>1.05089419660154</v>
      </c>
      <c r="U181" s="33" t="n">
        <f aca="false">S181-T181</f>
        <v>0.452128281919587</v>
      </c>
      <c r="V181" s="32" t="str">
        <f aca="false">IF(M181="","",IF(M181&lt;Assumptions!$B$5,"BUY",IF(M181&gt;Assumptions!$B$4,"SELL","HOLD")))</f>
        <v>SELL</v>
      </c>
      <c r="W181" s="32" t="str">
        <f aca="false">IF(O181="","",IF(E181&gt;O181,"BUY","SELL"))</f>
        <v>BUY</v>
      </c>
      <c r="X181" s="32" t="str">
        <f aca="false">IF(T181="","",IF(S181&gt;T181,"BUY","SELL"))</f>
        <v>BUY</v>
      </c>
      <c r="Y181" s="34" t="n">
        <f aca="false">IF(OR(V181="",W181="",X181=""),"",IFERROR(IF(V181="BUY",1,IF(V181="SELL",-1,0))+IF(W181="BUY",1,IF(W181="SELL",-1,0))+IF(X181="BUY",1,IF(X181="SELL",-1,0)),0))</f>
        <v>1</v>
      </c>
      <c r="Z181" s="32" t="str">
        <f aca="false">IF(Y181="","",IF(Y181&gt;=2,"STRONG BUY",IF(Y181=1,"BUY",IF(Y181=0,"HOLD",IF(Y181=-1,"SELL","STRONG SELL")))))</f>
        <v>BUY</v>
      </c>
    </row>
    <row r="182" customFormat="false" ht="15" hidden="false" customHeight="false" outlineLevel="0" collapsed="false">
      <c r="A182" s="24" t="n">
        <v>46022</v>
      </c>
      <c r="B182" s="25" t="n">
        <v>69.08</v>
      </c>
      <c r="C182" s="25" t="n">
        <v>69.64</v>
      </c>
      <c r="D182" s="25" t="n">
        <v>68.92</v>
      </c>
      <c r="E182" s="25" t="n">
        <v>69.28</v>
      </c>
      <c r="F182" s="26" t="n">
        <v>16674111</v>
      </c>
      <c r="G182" s="27" t="n">
        <f aca="false">E182-E181</f>
        <v>-0.439999999999998</v>
      </c>
      <c r="H182" s="28" t="n">
        <f aca="false">G182/E181</f>
        <v>-0.006310958118187</v>
      </c>
      <c r="I182" s="29" t="n">
        <f aca="false">MAX(G182,0)</f>
        <v>0</v>
      </c>
      <c r="J182" s="29" t="n">
        <f aca="false">MAX(-G182,0)</f>
        <v>0.439999999999998</v>
      </c>
      <c r="K182" s="29" t="n">
        <f aca="false">(K181*13+I182)/14</f>
        <v>0.609166074927298</v>
      </c>
      <c r="L182" s="29" t="n">
        <f aca="false">(L181*13+J182)/14</f>
        <v>0.268649047375997</v>
      </c>
      <c r="M182" s="31" t="n">
        <f aca="false">IF(L182=0,100,100-100/(1+K182/MAX(L182,0.000001)))</f>
        <v>69.3957143651057</v>
      </c>
      <c r="N182" s="30" t="n">
        <f aca="false">AVERAGE(E163:E182)</f>
        <v>64.838</v>
      </c>
      <c r="O182" s="30" t="n">
        <f aca="false">AVERAGE(E133:E182)</f>
        <v>62.9676</v>
      </c>
      <c r="Q182" s="30" t="n">
        <f aca="false">Q181+(2/13)*(E182-Q181)</f>
        <v>66.5740122253919</v>
      </c>
      <c r="R182" s="30" t="n">
        <f aca="false">R181+(2/27)*(E182-R181)</f>
        <v>64.9272147867308</v>
      </c>
      <c r="S182" s="33" t="n">
        <f aca="false">Q182-R182</f>
        <v>1.64679743866107</v>
      </c>
      <c r="T182" s="33" t="n">
        <f aca="false">T181+(2/10)*(S182-T181)</f>
        <v>1.17007484501345</v>
      </c>
      <c r="U182" s="33" t="n">
        <f aca="false">S182-T182</f>
        <v>0.476722593647619</v>
      </c>
      <c r="V182" s="32" t="str">
        <f aca="false">IF(M182="","",IF(M182&lt;Assumptions!$B$5,"BUY",IF(M182&gt;Assumptions!$B$4,"SELL","HOLD")))</f>
        <v>HOLD</v>
      </c>
      <c r="W182" s="32" t="str">
        <f aca="false">IF(O182="","",IF(E182&gt;O182,"BUY","SELL"))</f>
        <v>BUY</v>
      </c>
      <c r="X182" s="32" t="str">
        <f aca="false">IF(T182="","",IF(S182&gt;T182,"BUY","SELL"))</f>
        <v>BUY</v>
      </c>
      <c r="Y182" s="34" t="n">
        <f aca="false">IF(OR(V182="",W182="",X182=""),"",IFERROR(IF(V182="BUY",1,IF(V182="SELL",-1,0))+IF(W182="BUY",1,IF(W182="SELL",-1,0))+IF(X182="BUY",1,IF(X182="SELL",-1,0)),0))</f>
        <v>2</v>
      </c>
      <c r="Z182" s="32" t="str">
        <f aca="false">IF(Y182="","",IF(Y182&gt;=2,"STRONG BUY",IF(Y182=1,"BUY",IF(Y182=0,"HOLD",IF(Y182=-1,"SELL","STRONG SELL")))))</f>
        <v>STRONG BUY</v>
      </c>
    </row>
    <row r="183" customFormat="false" ht="15" hidden="false" customHeight="false" outlineLevel="0" collapsed="false">
      <c r="A183" s="24" t="n">
        <v>46023</v>
      </c>
      <c r="B183" s="25" t="n">
        <v>68.5</v>
      </c>
      <c r="C183" s="25" t="n">
        <v>68.5</v>
      </c>
      <c r="D183" s="25" t="n">
        <v>68.2</v>
      </c>
      <c r="E183" s="25" t="n">
        <v>68.35</v>
      </c>
      <c r="F183" s="26" t="n">
        <v>27920227</v>
      </c>
      <c r="G183" s="27" t="n">
        <f aca="false">E183-E182</f>
        <v>-0.930000000000007</v>
      </c>
      <c r="H183" s="28" t="n">
        <f aca="false">G183/E182</f>
        <v>-0.0134237875288685</v>
      </c>
      <c r="I183" s="29" t="n">
        <f aca="false">MAX(G183,0)</f>
        <v>0</v>
      </c>
      <c r="J183" s="29" t="n">
        <f aca="false">MAX(-G183,0)</f>
        <v>0.930000000000007</v>
      </c>
      <c r="K183" s="29" t="n">
        <f aca="false">(K182*13+I183)/14</f>
        <v>0.565654212432491</v>
      </c>
      <c r="L183" s="29" t="n">
        <f aca="false">(L182*13+J183)/14</f>
        <v>0.315888401134855</v>
      </c>
      <c r="M183" s="31" t="n">
        <f aca="false">IF(L183=0,100,100-100/(1+K183/MAX(L183,0.000001)))</f>
        <v>64.166405994085</v>
      </c>
      <c r="N183" s="30" t="n">
        <f aca="false">AVERAGE(E164:E183)</f>
        <v>65.1505</v>
      </c>
      <c r="O183" s="30" t="n">
        <f aca="false">AVERAGE(E134:E183)</f>
        <v>63.0734</v>
      </c>
      <c r="Q183" s="30" t="n">
        <f aca="false">Q182+(2/13)*(E183-Q182)</f>
        <v>66.8472411137931</v>
      </c>
      <c r="R183" s="30" t="n">
        <f aca="false">R182+(2/27)*(E183-R182)</f>
        <v>65.1807544321582</v>
      </c>
      <c r="S183" s="33" t="n">
        <f aca="false">Q183-R183</f>
        <v>1.66648668163496</v>
      </c>
      <c r="T183" s="33" t="n">
        <f aca="false">T182+(2/10)*(S183-T182)</f>
        <v>1.26935721233775</v>
      </c>
      <c r="U183" s="33" t="n">
        <f aca="false">S183-T183</f>
        <v>0.397129469297212</v>
      </c>
      <c r="V183" s="32" t="str">
        <f aca="false">IF(M183="","",IF(M183&lt;Assumptions!$B$5,"BUY",IF(M183&gt;Assumptions!$B$4,"SELL","HOLD")))</f>
        <v>HOLD</v>
      </c>
      <c r="W183" s="32" t="str">
        <f aca="false">IF(O183="","",IF(E183&gt;O183,"BUY","SELL"))</f>
        <v>BUY</v>
      </c>
      <c r="X183" s="32" t="str">
        <f aca="false">IF(T183="","",IF(S183&gt;T183,"BUY","SELL"))</f>
        <v>BUY</v>
      </c>
      <c r="Y183" s="34" t="n">
        <f aca="false">IF(OR(V183="",W183="",X183=""),"",IFERROR(IF(V183="BUY",1,IF(V183="SELL",-1,0))+IF(W183="BUY",1,IF(W183="SELL",-1,0))+IF(X183="BUY",1,IF(X183="SELL",-1,0)),0))</f>
        <v>2</v>
      </c>
      <c r="Z183" s="32" t="str">
        <f aca="false">IF(Y183="","",IF(Y183&gt;=2,"STRONG BUY",IF(Y183=1,"BUY",IF(Y183=0,"HOLD",IF(Y183=-1,"SELL","STRONG SELL")))))</f>
        <v>STRONG BUY</v>
      </c>
    </row>
    <row r="184" customFormat="false" ht="15" hidden="false" customHeight="false" outlineLevel="0" collapsed="false">
      <c r="A184" s="24" t="n">
        <v>46024</v>
      </c>
      <c r="B184" s="25" t="n">
        <v>67.33</v>
      </c>
      <c r="C184" s="25" t="n">
        <v>67.36</v>
      </c>
      <c r="D184" s="25" t="n">
        <v>66.9</v>
      </c>
      <c r="E184" s="25" t="n">
        <v>67.13</v>
      </c>
      <c r="F184" s="26" t="n">
        <v>39253481</v>
      </c>
      <c r="G184" s="27" t="n">
        <f aca="false">E184-E183</f>
        <v>-1.22</v>
      </c>
      <c r="H184" s="28" t="n">
        <f aca="false">G184/E183</f>
        <v>-0.0178493050475494</v>
      </c>
      <c r="I184" s="29" t="n">
        <f aca="false">MAX(G184,0)</f>
        <v>0</v>
      </c>
      <c r="J184" s="29" t="n">
        <f aca="false">MAX(-G184,0)</f>
        <v>1.22</v>
      </c>
      <c r="K184" s="29" t="n">
        <f aca="false">(K183*13+I184)/14</f>
        <v>0.525250340115885</v>
      </c>
      <c r="L184" s="29" t="n">
        <f aca="false">(L183*13+J184)/14</f>
        <v>0.380467801053793</v>
      </c>
      <c r="M184" s="31" t="n">
        <f aca="false">IF(L184=0,100,100-100/(1+K184/MAX(L184,0.000001)))</f>
        <v>57.9926928964409</v>
      </c>
      <c r="N184" s="30" t="n">
        <f aca="false">AVERAGE(E165:E184)</f>
        <v>65.404</v>
      </c>
      <c r="O184" s="30" t="n">
        <f aca="false">AVERAGE(E135:E184)</f>
        <v>63.158</v>
      </c>
      <c r="Q184" s="30" t="n">
        <f aca="false">Q183+(2/13)*(E184-Q183)</f>
        <v>66.8907424809019</v>
      </c>
      <c r="R184" s="30" t="n">
        <f aca="false">R183+(2/27)*(E184-R183)</f>
        <v>65.325142992739</v>
      </c>
      <c r="S184" s="33" t="n">
        <f aca="false">Q184-R184</f>
        <v>1.56559948816283</v>
      </c>
      <c r="T184" s="33" t="n">
        <f aca="false">T183+(2/10)*(S184-T183)</f>
        <v>1.32860566750277</v>
      </c>
      <c r="U184" s="33" t="n">
        <f aca="false">S184-T184</f>
        <v>0.236993820660063</v>
      </c>
      <c r="V184" s="32" t="str">
        <f aca="false">IF(M184="","",IF(M184&lt;Assumptions!$B$5,"BUY",IF(M184&gt;Assumptions!$B$4,"SELL","HOLD")))</f>
        <v>HOLD</v>
      </c>
      <c r="W184" s="32" t="str">
        <f aca="false">IF(O184="","",IF(E184&gt;O184,"BUY","SELL"))</f>
        <v>BUY</v>
      </c>
      <c r="X184" s="32" t="str">
        <f aca="false">IF(T184="","",IF(S184&gt;T184,"BUY","SELL"))</f>
        <v>BUY</v>
      </c>
      <c r="Y184" s="34" t="n">
        <f aca="false">IF(OR(V184="",W184="",X184=""),"",IFERROR(IF(V184="BUY",1,IF(V184="SELL",-1,0))+IF(W184="BUY",1,IF(W184="SELL",-1,0))+IF(X184="BUY",1,IF(X184="SELL",-1,0)),0))</f>
        <v>2</v>
      </c>
      <c r="Z184" s="32" t="str">
        <f aca="false">IF(Y184="","",IF(Y184&gt;=2,"STRONG BUY",IF(Y184=1,"BUY",IF(Y184=0,"HOLD",IF(Y184=-1,"SELL","STRONG SELL")))))</f>
        <v>STRONG BUY</v>
      </c>
    </row>
    <row r="185" customFormat="false" ht="15" hidden="false" customHeight="false" outlineLevel="0" collapsed="false">
      <c r="A185" s="24" t="n">
        <v>46027</v>
      </c>
      <c r="B185" s="25" t="n">
        <v>66.59</v>
      </c>
      <c r="C185" s="25" t="n">
        <v>67.48</v>
      </c>
      <c r="D185" s="25" t="n">
        <v>66.54</v>
      </c>
      <c r="E185" s="25" t="n">
        <v>67.01</v>
      </c>
      <c r="F185" s="26" t="n">
        <v>50633080</v>
      </c>
      <c r="G185" s="27" t="n">
        <f aca="false">E185-E184</f>
        <v>-0.11999999999999</v>
      </c>
      <c r="H185" s="28" t="n">
        <f aca="false">G185/E184</f>
        <v>-0.00178757634440623</v>
      </c>
      <c r="I185" s="29" t="n">
        <f aca="false">MAX(G185,0)</f>
        <v>0</v>
      </c>
      <c r="J185" s="29" t="n">
        <f aca="false">MAX(-G185,0)</f>
        <v>0.11999999999999</v>
      </c>
      <c r="K185" s="29" t="n">
        <f aca="false">(K184*13+I185)/14</f>
        <v>0.487732458679036</v>
      </c>
      <c r="L185" s="29" t="n">
        <f aca="false">(L184*13+J185)/14</f>
        <v>0.361862958121379</v>
      </c>
      <c r="M185" s="31" t="n">
        <f aca="false">IF(L185=0,100,100-100/(1+K185/MAX(L185,0.000001)))</f>
        <v>57.407614146018</v>
      </c>
      <c r="N185" s="30" t="n">
        <f aca="false">AVERAGE(E166:E185)</f>
        <v>65.643</v>
      </c>
      <c r="O185" s="30" t="n">
        <f aca="false">AVERAGE(E136:E185)</f>
        <v>63.2332</v>
      </c>
      <c r="Q185" s="30" t="n">
        <f aca="false">Q184+(2/13)*(E185-Q184)</f>
        <v>66.9090897915324</v>
      </c>
      <c r="R185" s="30" t="n">
        <f aca="false">R184+(2/27)*(E185-R184)</f>
        <v>65.4499472154991</v>
      </c>
      <c r="S185" s="33" t="n">
        <f aca="false">Q185-R185</f>
        <v>1.45914257603324</v>
      </c>
      <c r="T185" s="33" t="n">
        <f aca="false">T184+(2/10)*(S185-T184)</f>
        <v>1.35471304920886</v>
      </c>
      <c r="U185" s="33" t="n">
        <f aca="false">S185-T185</f>
        <v>0.104429526824381</v>
      </c>
      <c r="V185" s="32" t="str">
        <f aca="false">IF(M185="","",IF(M185&lt;Assumptions!$B$5,"BUY",IF(M185&gt;Assumptions!$B$4,"SELL","HOLD")))</f>
        <v>HOLD</v>
      </c>
      <c r="W185" s="32" t="str">
        <f aca="false">IF(O185="","",IF(E185&gt;O185,"BUY","SELL"))</f>
        <v>BUY</v>
      </c>
      <c r="X185" s="32" t="str">
        <f aca="false">IF(T185="","",IF(S185&gt;T185,"BUY","SELL"))</f>
        <v>BUY</v>
      </c>
      <c r="Y185" s="34" t="n">
        <f aca="false">IF(OR(V185="",W185="",X185=""),"",IFERROR(IF(V185="BUY",1,IF(V185="SELL",-1,0))+IF(W185="BUY",1,IF(W185="SELL",-1,0))+IF(X185="BUY",1,IF(X185="SELL",-1,0)),0))</f>
        <v>2</v>
      </c>
      <c r="Z185" s="32" t="str">
        <f aca="false">IF(Y185="","",IF(Y185&gt;=2,"STRONG BUY",IF(Y185=1,"BUY",IF(Y185=0,"HOLD",IF(Y185=-1,"SELL","STRONG SELL")))))</f>
        <v>STRONG BUY</v>
      </c>
    </row>
    <row r="186" customFormat="false" ht="15" hidden="false" customHeight="false" outlineLevel="0" collapsed="false">
      <c r="A186" s="24" t="n">
        <v>46028</v>
      </c>
      <c r="B186" s="25" t="n">
        <v>67.72</v>
      </c>
      <c r="C186" s="25" t="n">
        <v>68.59</v>
      </c>
      <c r="D186" s="25" t="n">
        <v>67.51</v>
      </c>
      <c r="E186" s="25" t="n">
        <v>68.05</v>
      </c>
      <c r="F186" s="26" t="n">
        <v>27663453</v>
      </c>
      <c r="G186" s="27" t="n">
        <f aca="false">E186-E185</f>
        <v>1.03999999999999</v>
      </c>
      <c r="H186" s="28" t="n">
        <f aca="false">G186/E185</f>
        <v>0.0155200716310997</v>
      </c>
      <c r="I186" s="29" t="n">
        <f aca="false">MAX(G186,0)</f>
        <v>1.03999999999999</v>
      </c>
      <c r="J186" s="29" t="n">
        <f aca="false">MAX(-G186,0)</f>
        <v>0</v>
      </c>
      <c r="K186" s="29" t="n">
        <f aca="false">(K185*13+I186)/14</f>
        <v>0.527180140201961</v>
      </c>
      <c r="L186" s="29" t="n">
        <f aca="false">(L185*13+J186)/14</f>
        <v>0.336015603969852</v>
      </c>
      <c r="M186" s="31" t="n">
        <f aca="false">IF(L186=0,100,100-100/(1+K186/MAX(L186,0.000001)))</f>
        <v>61.0730698988513</v>
      </c>
      <c r="N186" s="30" t="n">
        <f aca="false">AVERAGE(E167:E186)</f>
        <v>65.9255</v>
      </c>
      <c r="O186" s="30" t="n">
        <f aca="false">AVERAGE(E137:E186)</f>
        <v>63.3424</v>
      </c>
      <c r="Q186" s="30" t="n">
        <f aca="false">Q185+(2/13)*(E186-Q185)</f>
        <v>67.0846144389889</v>
      </c>
      <c r="R186" s="30" t="n">
        <f aca="false">R185+(2/27)*(E186-R185)</f>
        <v>65.6425437180547</v>
      </c>
      <c r="S186" s="33" t="n">
        <f aca="false">Q186-R186</f>
        <v>1.44207072093418</v>
      </c>
      <c r="T186" s="33" t="n">
        <f aca="false">T185+(2/10)*(S186-T185)</f>
        <v>1.37218458355393</v>
      </c>
      <c r="U186" s="33" t="n">
        <f aca="false">S186-T186</f>
        <v>0.0698861373802555</v>
      </c>
      <c r="V186" s="32" t="str">
        <f aca="false">IF(M186="","",IF(M186&lt;Assumptions!$B$5,"BUY",IF(M186&gt;Assumptions!$B$4,"SELL","HOLD")))</f>
        <v>HOLD</v>
      </c>
      <c r="W186" s="32" t="str">
        <f aca="false">IF(O186="","",IF(E186&gt;O186,"BUY","SELL"))</f>
        <v>BUY</v>
      </c>
      <c r="X186" s="32" t="str">
        <f aca="false">IF(T186="","",IF(S186&gt;T186,"BUY","SELL"))</f>
        <v>BUY</v>
      </c>
      <c r="Y186" s="34" t="n">
        <f aca="false">IF(OR(V186="",W186="",X186=""),"",IFERROR(IF(V186="BUY",1,IF(V186="SELL",-1,0))+IF(W186="BUY",1,IF(W186="SELL",-1,0))+IF(X186="BUY",1,IF(X186="SELL",-1,0)),0))</f>
        <v>2</v>
      </c>
      <c r="Z186" s="32" t="str">
        <f aca="false">IF(Y186="","",IF(Y186&gt;=2,"STRONG BUY",IF(Y186=1,"BUY",IF(Y186=0,"HOLD",IF(Y186=-1,"SELL","STRONG SELL")))))</f>
        <v>STRONG BUY</v>
      </c>
    </row>
    <row r="187" customFormat="false" ht="15" hidden="false" customHeight="false" outlineLevel="0" collapsed="false">
      <c r="A187" s="24" t="n">
        <v>46029</v>
      </c>
      <c r="B187" s="25" t="n">
        <v>69.88</v>
      </c>
      <c r="C187" s="25" t="n">
        <v>69.88</v>
      </c>
      <c r="D187" s="25" t="n">
        <v>69.8</v>
      </c>
      <c r="E187" s="25" t="n">
        <v>69.84</v>
      </c>
      <c r="F187" s="26" t="n">
        <v>36476868</v>
      </c>
      <c r="G187" s="27" t="n">
        <f aca="false">E187-E186</f>
        <v>1.79000000000001</v>
      </c>
      <c r="H187" s="28" t="n">
        <f aca="false">G187/E186</f>
        <v>0.0263041880969876</v>
      </c>
      <c r="I187" s="29" t="n">
        <f aca="false">MAX(G187,0)</f>
        <v>1.79000000000001</v>
      </c>
      <c r="J187" s="29" t="n">
        <f aca="false">MAX(-G187,0)</f>
        <v>0</v>
      </c>
      <c r="K187" s="29" t="n">
        <f aca="false">(K186*13+I187)/14</f>
        <v>0.617381558758964</v>
      </c>
      <c r="L187" s="29" t="n">
        <f aca="false">(L186*13+J187)/14</f>
        <v>0.312014489400577</v>
      </c>
      <c r="M187" s="31" t="n">
        <f aca="false">IF(L187=0,100,100-100/(1+K187/MAX(L187,0.000001)))</f>
        <v>66.4282530554707</v>
      </c>
      <c r="N187" s="30" t="n">
        <f aca="false">AVERAGE(E168:E187)</f>
        <v>66.3405</v>
      </c>
      <c r="O187" s="30" t="n">
        <f aca="false">AVERAGE(E138:E187)</f>
        <v>63.5104</v>
      </c>
      <c r="Q187" s="30" t="n">
        <f aca="false">Q186+(2/13)*(E187-Q186)</f>
        <v>67.5085199099137</v>
      </c>
      <c r="R187" s="30" t="n">
        <f aca="false">R186+(2/27)*(E187-R186)</f>
        <v>65.9534664056062</v>
      </c>
      <c r="S187" s="33" t="n">
        <f aca="false">Q187-R187</f>
        <v>1.55505350430747</v>
      </c>
      <c r="T187" s="33" t="n">
        <f aca="false">T186+(2/10)*(S187-T186)</f>
        <v>1.40875836770464</v>
      </c>
      <c r="U187" s="33" t="n">
        <f aca="false">S187-T187</f>
        <v>0.146295136602831</v>
      </c>
      <c r="V187" s="32" t="str">
        <f aca="false">IF(M187="","",IF(M187&lt;Assumptions!$B$5,"BUY",IF(M187&gt;Assumptions!$B$4,"SELL","HOLD")))</f>
        <v>HOLD</v>
      </c>
      <c r="W187" s="32" t="str">
        <f aca="false">IF(O187="","",IF(E187&gt;O187,"BUY","SELL"))</f>
        <v>BUY</v>
      </c>
      <c r="X187" s="32" t="str">
        <f aca="false">IF(T187="","",IF(S187&gt;T187,"BUY","SELL"))</f>
        <v>BUY</v>
      </c>
      <c r="Y187" s="34" t="n">
        <f aca="false">IF(OR(V187="",W187="",X187=""),"",IFERROR(IF(V187="BUY",1,IF(V187="SELL",-1,0))+IF(W187="BUY",1,IF(W187="SELL",-1,0))+IF(X187="BUY",1,IF(X187="SELL",-1,0)),0))</f>
        <v>2</v>
      </c>
      <c r="Z187" s="32" t="str">
        <f aca="false">IF(Y187="","",IF(Y187&gt;=2,"STRONG BUY",IF(Y187=1,"BUY",IF(Y187=0,"HOLD",IF(Y187=-1,"SELL","STRONG SELL")))))</f>
        <v>STRONG BUY</v>
      </c>
    </row>
    <row r="188" customFormat="false" ht="15" hidden="false" customHeight="false" outlineLevel="0" collapsed="false">
      <c r="A188" s="24" t="n">
        <v>46030</v>
      </c>
      <c r="B188" s="25" t="n">
        <v>69.83</v>
      </c>
      <c r="C188" s="25" t="n">
        <v>70.47</v>
      </c>
      <c r="D188" s="25" t="n">
        <v>69.69</v>
      </c>
      <c r="E188" s="25" t="n">
        <v>70.08</v>
      </c>
      <c r="F188" s="26" t="n">
        <v>25630588</v>
      </c>
      <c r="G188" s="27" t="n">
        <f aca="false">E188-E187</f>
        <v>0.239999999999995</v>
      </c>
      <c r="H188" s="28" t="n">
        <f aca="false">G188/E187</f>
        <v>0.00343642611683841</v>
      </c>
      <c r="I188" s="29" t="n">
        <f aca="false">MAX(G188,0)</f>
        <v>0.239999999999995</v>
      </c>
      <c r="J188" s="29" t="n">
        <f aca="false">MAX(-G188,0)</f>
        <v>0</v>
      </c>
      <c r="K188" s="29" t="n">
        <f aca="false">(K187*13+I188)/14</f>
        <v>0.590425733133324</v>
      </c>
      <c r="L188" s="29" t="n">
        <f aca="false">(L187*13+J188)/14</f>
        <v>0.289727740157678</v>
      </c>
      <c r="M188" s="31" t="n">
        <f aca="false">IF(L188=0,100,100-100/(1+K188/MAX(L188,0.000001)))</f>
        <v>67.0821340880073</v>
      </c>
      <c r="N188" s="30" t="n">
        <f aca="false">AVERAGE(E169:E188)</f>
        <v>66.7225</v>
      </c>
      <c r="O188" s="30" t="n">
        <f aca="false">AVERAGE(E139:E188)</f>
        <v>63.6698</v>
      </c>
      <c r="Q188" s="30" t="n">
        <f aca="false">Q187+(2/13)*(E188-Q187)</f>
        <v>67.9041322314654</v>
      </c>
      <c r="R188" s="30" t="n">
        <f aca="false">R187+(2/27)*(E188-R187)</f>
        <v>66.2591355607465</v>
      </c>
      <c r="S188" s="33" t="n">
        <f aca="false">Q188-R188</f>
        <v>1.64499667071892</v>
      </c>
      <c r="T188" s="33" t="n">
        <f aca="false">T187+(2/10)*(S188-T187)</f>
        <v>1.45600602830749</v>
      </c>
      <c r="U188" s="33" t="n">
        <f aca="false">S188-T188</f>
        <v>0.188990642411432</v>
      </c>
      <c r="V188" s="32" t="str">
        <f aca="false">IF(M188="","",IF(M188&lt;Assumptions!$B$5,"BUY",IF(M188&gt;Assumptions!$B$4,"SELL","HOLD")))</f>
        <v>HOLD</v>
      </c>
      <c r="W188" s="32" t="str">
        <f aca="false">IF(O188="","",IF(E188&gt;O188,"BUY","SELL"))</f>
        <v>BUY</v>
      </c>
      <c r="X188" s="32" t="str">
        <f aca="false">IF(T188="","",IF(S188&gt;T188,"BUY","SELL"))</f>
        <v>BUY</v>
      </c>
      <c r="Y188" s="34" t="n">
        <f aca="false">IF(OR(V188="",W188="",X188=""),"",IFERROR(IF(V188="BUY",1,IF(V188="SELL",-1,0))+IF(W188="BUY",1,IF(W188="SELL",-1,0))+IF(X188="BUY",1,IF(X188="SELL",-1,0)),0))</f>
        <v>2</v>
      </c>
      <c r="Z188" s="32" t="str">
        <f aca="false">IF(Y188="","",IF(Y188&gt;=2,"STRONG BUY",IF(Y188=1,"BUY",IF(Y188=0,"HOLD",IF(Y188=-1,"SELL","STRONG SELL")))))</f>
        <v>STRONG BUY</v>
      </c>
    </row>
    <row r="189" customFormat="false" ht="15" hidden="false" customHeight="false" outlineLevel="0" collapsed="false">
      <c r="A189" s="24" t="n">
        <v>46031</v>
      </c>
      <c r="B189" s="25" t="n">
        <v>70.4</v>
      </c>
      <c r="C189" s="25" t="n">
        <v>70.53</v>
      </c>
      <c r="D189" s="25" t="n">
        <v>69.67</v>
      </c>
      <c r="E189" s="25" t="n">
        <v>70.1</v>
      </c>
      <c r="F189" s="26" t="n">
        <v>34838971</v>
      </c>
      <c r="G189" s="27" t="n">
        <f aca="false">E189-E188</f>
        <v>0.019999999999996</v>
      </c>
      <c r="H189" s="28" t="n">
        <f aca="false">G189/E188</f>
        <v>0.000285388127853825</v>
      </c>
      <c r="I189" s="29" t="n">
        <f aca="false">MAX(G189,0)</f>
        <v>0.019999999999996</v>
      </c>
      <c r="J189" s="29" t="n">
        <f aca="false">MAX(-G189,0)</f>
        <v>0</v>
      </c>
      <c r="K189" s="29" t="n">
        <f aca="false">(K188*13+I189)/14</f>
        <v>0.549681037909515</v>
      </c>
      <c r="L189" s="29" t="n">
        <f aca="false">(L188*13+J189)/14</f>
        <v>0.269032901574987</v>
      </c>
      <c r="M189" s="31" t="n">
        <f aca="false">IF(L189=0,100,100-100/(1+K189/MAX(L189,0.000001)))</f>
        <v>67.1395723707377</v>
      </c>
      <c r="N189" s="30" t="n">
        <f aca="false">AVERAGE(E170:E189)</f>
        <v>67.0635</v>
      </c>
      <c r="O189" s="30" t="n">
        <f aca="false">AVERAGE(E140:E189)</f>
        <v>63.8246</v>
      </c>
      <c r="Q189" s="30" t="n">
        <f aca="false">Q188+(2/13)*(E189-Q188)</f>
        <v>68.2419580420092</v>
      </c>
      <c r="R189" s="30" t="n">
        <f aca="false">R188+(2/27)*(E189-R188)</f>
        <v>66.5436440377282</v>
      </c>
      <c r="S189" s="33" t="n">
        <f aca="false">Q189-R189</f>
        <v>1.69831400428096</v>
      </c>
      <c r="T189" s="33" t="n">
        <f aca="false">T188+(2/10)*(S189-T188)</f>
        <v>1.50446762350219</v>
      </c>
      <c r="U189" s="33" t="n">
        <f aca="false">S189-T189</f>
        <v>0.193846380778773</v>
      </c>
      <c r="V189" s="32" t="str">
        <f aca="false">IF(M189="","",IF(M189&lt;Assumptions!$B$5,"BUY",IF(M189&gt;Assumptions!$B$4,"SELL","HOLD")))</f>
        <v>HOLD</v>
      </c>
      <c r="W189" s="32" t="str">
        <f aca="false">IF(O189="","",IF(E189&gt;O189,"BUY","SELL"))</f>
        <v>BUY</v>
      </c>
      <c r="X189" s="32" t="str">
        <f aca="false">IF(T189="","",IF(S189&gt;T189,"BUY","SELL"))</f>
        <v>BUY</v>
      </c>
      <c r="Y189" s="34" t="n">
        <f aca="false">IF(OR(V189="",W189="",X189=""),"",IFERROR(IF(V189="BUY",1,IF(V189="SELL",-1,0))+IF(W189="BUY",1,IF(W189="SELL",-1,0))+IF(X189="BUY",1,IF(X189="SELL",-1,0)),0))</f>
        <v>2</v>
      </c>
      <c r="Z189" s="32" t="str">
        <f aca="false">IF(Y189="","",IF(Y189&gt;=2,"STRONG BUY",IF(Y189=1,"BUY",IF(Y189=0,"HOLD",IF(Y189=-1,"SELL","STRONG SELL")))))</f>
        <v>STRONG BUY</v>
      </c>
    </row>
    <row r="190" customFormat="false" ht="15" hidden="false" customHeight="false" outlineLevel="0" collapsed="false">
      <c r="A190" s="24" t="n">
        <v>46034</v>
      </c>
      <c r="B190" s="25" t="n">
        <v>70.17</v>
      </c>
      <c r="C190" s="25" t="n">
        <v>70.31</v>
      </c>
      <c r="D190" s="25" t="n">
        <v>69.63</v>
      </c>
      <c r="E190" s="25" t="n">
        <v>69.97</v>
      </c>
      <c r="F190" s="26" t="n">
        <v>20506739</v>
      </c>
      <c r="G190" s="27" t="n">
        <f aca="false">E190-E189</f>
        <v>-0.129999999999995</v>
      </c>
      <c r="H190" s="28" t="n">
        <f aca="false">G190/E189</f>
        <v>-0.00185449358059908</v>
      </c>
      <c r="I190" s="29" t="n">
        <f aca="false">MAX(G190,0)</f>
        <v>0</v>
      </c>
      <c r="J190" s="29" t="n">
        <f aca="false">MAX(-G190,0)</f>
        <v>0.129999999999995</v>
      </c>
      <c r="K190" s="29" t="n">
        <f aca="false">(K189*13+I190)/14</f>
        <v>0.510418106630263</v>
      </c>
      <c r="L190" s="29" t="n">
        <f aca="false">(L189*13+J190)/14</f>
        <v>0.259101980033916</v>
      </c>
      <c r="M190" s="31" t="n">
        <f aca="false">IF(L190=0,100,100-100/(1+K190/MAX(L190,0.000001)))</f>
        <v>66.3294065321795</v>
      </c>
      <c r="N190" s="30" t="n">
        <f aca="false">AVERAGE(E171:E190)</f>
        <v>67.3105</v>
      </c>
      <c r="O190" s="30" t="n">
        <f aca="false">AVERAGE(E141:E190)</f>
        <v>63.9646</v>
      </c>
      <c r="Q190" s="30" t="n">
        <f aca="false">Q189+(2/13)*(E190-Q189)</f>
        <v>68.5078106509309</v>
      </c>
      <c r="R190" s="30" t="n">
        <f aca="false">R189+(2/27)*(E190-R189)</f>
        <v>66.7974481830817</v>
      </c>
      <c r="S190" s="33" t="n">
        <f aca="false">Q190-R190</f>
        <v>1.71036246784915</v>
      </c>
      <c r="T190" s="33" t="n">
        <f aca="false">T189+(2/10)*(S190-T189)</f>
        <v>1.54564659237158</v>
      </c>
      <c r="U190" s="33" t="n">
        <f aca="false">S190-T190</f>
        <v>0.164715875477572</v>
      </c>
      <c r="V190" s="32" t="str">
        <f aca="false">IF(M190="","",IF(M190&lt;Assumptions!$B$5,"BUY",IF(M190&gt;Assumptions!$B$4,"SELL","HOLD")))</f>
        <v>HOLD</v>
      </c>
      <c r="W190" s="32" t="str">
        <f aca="false">IF(O190="","",IF(E190&gt;O190,"BUY","SELL"))</f>
        <v>BUY</v>
      </c>
      <c r="X190" s="32" t="str">
        <f aca="false">IF(T190="","",IF(S190&gt;T190,"BUY","SELL"))</f>
        <v>BUY</v>
      </c>
      <c r="Y190" s="34" t="n">
        <f aca="false">IF(OR(V190="",W190="",X190=""),"",IFERROR(IF(V190="BUY",1,IF(V190="SELL",-1,0))+IF(W190="BUY",1,IF(W190="SELL",-1,0))+IF(X190="BUY",1,IF(X190="SELL",-1,0)),0))</f>
        <v>2</v>
      </c>
      <c r="Z190" s="32" t="str">
        <f aca="false">IF(Y190="","",IF(Y190&gt;=2,"STRONG BUY",IF(Y190=1,"BUY",IF(Y190=0,"HOLD",IF(Y190=-1,"SELL","STRONG SELL")))))</f>
        <v>STRONG BUY</v>
      </c>
    </row>
    <row r="191" customFormat="false" ht="15" hidden="false" customHeight="false" outlineLevel="0" collapsed="false">
      <c r="A191" s="24" t="n">
        <v>46035</v>
      </c>
      <c r="B191" s="25" t="n">
        <v>71.4</v>
      </c>
      <c r="C191" s="25" t="n">
        <v>71.84</v>
      </c>
      <c r="D191" s="25" t="n">
        <v>70.72</v>
      </c>
      <c r="E191" s="25" t="n">
        <v>71.28</v>
      </c>
      <c r="F191" s="26" t="n">
        <v>21027251</v>
      </c>
      <c r="G191" s="27" t="n">
        <f aca="false">E191-E190</f>
        <v>1.31</v>
      </c>
      <c r="H191" s="28" t="n">
        <f aca="false">G191/E190</f>
        <v>0.0187223095612406</v>
      </c>
      <c r="I191" s="29" t="n">
        <f aca="false">MAX(G191,0)</f>
        <v>1.31</v>
      </c>
      <c r="J191" s="29" t="n">
        <f aca="false">MAX(-G191,0)</f>
        <v>0</v>
      </c>
      <c r="K191" s="29" t="n">
        <f aca="false">(K190*13+I191)/14</f>
        <v>0.567531099013816</v>
      </c>
      <c r="L191" s="29" t="n">
        <f aca="false">(L190*13+J191)/14</f>
        <v>0.240594695745779</v>
      </c>
      <c r="M191" s="31" t="n">
        <f aca="false">IF(L191=0,100,100-100/(1+K191/MAX(L191,0.000001)))</f>
        <v>70.2280638353646</v>
      </c>
      <c r="N191" s="30" t="n">
        <f aca="false">AVERAGE(E172:E191)</f>
        <v>67.661</v>
      </c>
      <c r="O191" s="30" t="n">
        <f aca="false">AVERAGE(E142:E191)</f>
        <v>64.1166</v>
      </c>
      <c r="Q191" s="30" t="n">
        <f aca="false">Q190+(2/13)*(E191-Q190)</f>
        <v>68.9343013200184</v>
      </c>
      <c r="R191" s="30" t="n">
        <f aca="false">R190+(2/27)*(E191-R190)</f>
        <v>67.129489058409</v>
      </c>
      <c r="S191" s="33" t="n">
        <f aca="false">Q191-R191</f>
        <v>1.80481226160943</v>
      </c>
      <c r="T191" s="33" t="n">
        <f aca="false">T190+(2/10)*(S191-T190)</f>
        <v>1.59747972621915</v>
      </c>
      <c r="U191" s="33" t="n">
        <f aca="false">S191-T191</f>
        <v>0.207332535390278</v>
      </c>
      <c r="V191" s="32" t="str">
        <f aca="false">IF(M191="","",IF(M191&lt;Assumptions!$B$5,"BUY",IF(M191&gt;Assumptions!$B$4,"SELL","HOLD")))</f>
        <v>SELL</v>
      </c>
      <c r="W191" s="32" t="str">
        <f aca="false">IF(O191="","",IF(E191&gt;O191,"BUY","SELL"))</f>
        <v>BUY</v>
      </c>
      <c r="X191" s="32" t="str">
        <f aca="false">IF(T191="","",IF(S191&gt;T191,"BUY","SELL"))</f>
        <v>BUY</v>
      </c>
      <c r="Y191" s="34" t="n">
        <f aca="false">IF(OR(V191="",W191="",X191=""),"",IFERROR(IF(V191="BUY",1,IF(V191="SELL",-1,0))+IF(W191="BUY",1,IF(W191="SELL",-1,0))+IF(X191="BUY",1,IF(X191="SELL",-1,0)),0))</f>
        <v>1</v>
      </c>
      <c r="Z191" s="32" t="str">
        <f aca="false">IF(Y191="","",IF(Y191&gt;=2,"STRONG BUY",IF(Y191=1,"BUY",IF(Y191=0,"HOLD",IF(Y191=-1,"SELL","STRONG SELL")))))</f>
        <v>BUY</v>
      </c>
    </row>
    <row r="192" customFormat="false" ht="15" hidden="false" customHeight="false" outlineLevel="0" collapsed="false">
      <c r="A192" s="24" t="n">
        <v>46036</v>
      </c>
      <c r="B192" s="25" t="n">
        <v>70.23</v>
      </c>
      <c r="C192" s="25" t="n">
        <v>71.01</v>
      </c>
      <c r="D192" s="25" t="n">
        <v>69.95</v>
      </c>
      <c r="E192" s="25" t="n">
        <v>70.48</v>
      </c>
      <c r="F192" s="26" t="n">
        <v>21664597</v>
      </c>
      <c r="G192" s="27" t="n">
        <f aca="false">E192-E191</f>
        <v>-0.799999999999997</v>
      </c>
      <c r="H192" s="28" t="n">
        <f aca="false">G192/E191</f>
        <v>-0.0112233445566779</v>
      </c>
      <c r="I192" s="29" t="n">
        <f aca="false">MAX(G192,0)</f>
        <v>0</v>
      </c>
      <c r="J192" s="29" t="n">
        <f aca="false">MAX(-G192,0)</f>
        <v>0.799999999999997</v>
      </c>
      <c r="K192" s="29" t="n">
        <f aca="false">(K191*13+I192)/14</f>
        <v>0.526993163369972</v>
      </c>
      <c r="L192" s="29" t="n">
        <f aca="false">(L191*13+J192)/14</f>
        <v>0.280552217478223</v>
      </c>
      <c r="M192" s="31" t="n">
        <f aca="false">IF(L192=0,100,100-100/(1+K192/MAX(L192,0.000001)))</f>
        <v>65.2586437701435</v>
      </c>
      <c r="N192" s="30" t="n">
        <f aca="false">AVERAGE(E173:E192)</f>
        <v>67.9945</v>
      </c>
      <c r="O192" s="30" t="n">
        <f aca="false">AVERAGE(E143:E192)</f>
        <v>64.2802</v>
      </c>
      <c r="Q192" s="30" t="n">
        <f aca="false">Q191+(2/13)*(E192-Q191)</f>
        <v>69.1721011169387</v>
      </c>
      <c r="R192" s="30" t="n">
        <f aca="false">R191+(2/27)*(E192-R191)</f>
        <v>67.3776750540824</v>
      </c>
      <c r="S192" s="33" t="n">
        <f aca="false">Q192-R192</f>
        <v>1.79442606285626</v>
      </c>
      <c r="T192" s="33" t="n">
        <f aca="false">T191+(2/10)*(S192-T191)</f>
        <v>1.63686899354657</v>
      </c>
      <c r="U192" s="33" t="n">
        <f aca="false">S192-T192</f>
        <v>0.157557069309689</v>
      </c>
      <c r="V192" s="32" t="str">
        <f aca="false">IF(M192="","",IF(M192&lt;Assumptions!$B$5,"BUY",IF(M192&gt;Assumptions!$B$4,"SELL","HOLD")))</f>
        <v>HOLD</v>
      </c>
      <c r="W192" s="32" t="str">
        <f aca="false">IF(O192="","",IF(E192&gt;O192,"BUY","SELL"))</f>
        <v>BUY</v>
      </c>
      <c r="X192" s="32" t="str">
        <f aca="false">IF(T192="","",IF(S192&gt;T192,"BUY","SELL"))</f>
        <v>BUY</v>
      </c>
      <c r="Y192" s="34" t="n">
        <f aca="false">IF(OR(V192="",W192="",X192=""),"",IFERROR(IF(V192="BUY",1,IF(V192="SELL",-1,0))+IF(W192="BUY",1,IF(W192="SELL",-1,0))+IF(X192="BUY",1,IF(X192="SELL",-1,0)),0))</f>
        <v>2</v>
      </c>
      <c r="Z192" s="32" t="str">
        <f aca="false">IF(Y192="","",IF(Y192&gt;=2,"STRONG BUY",IF(Y192=1,"BUY",IF(Y192=0,"HOLD",IF(Y192=-1,"SELL","STRONG SELL")))))</f>
        <v>STRONG BUY</v>
      </c>
    </row>
    <row r="193" customFormat="false" ht="15" hidden="false" customHeight="false" outlineLevel="0" collapsed="false">
      <c r="A193" s="24" t="n">
        <v>46037</v>
      </c>
      <c r="B193" s="25" t="n">
        <v>70.56</v>
      </c>
      <c r="C193" s="25" t="n">
        <v>70.56</v>
      </c>
      <c r="D193" s="25" t="n">
        <v>70.2</v>
      </c>
      <c r="E193" s="25" t="n">
        <v>70.38</v>
      </c>
      <c r="F193" s="26" t="n">
        <v>31575144</v>
      </c>
      <c r="G193" s="27" t="n">
        <f aca="false">E193-E192</f>
        <v>-0.100000000000009</v>
      </c>
      <c r="H193" s="28" t="n">
        <f aca="false">G193/E192</f>
        <v>-0.00141884222474473</v>
      </c>
      <c r="I193" s="29" t="n">
        <f aca="false">MAX(G193,0)</f>
        <v>0</v>
      </c>
      <c r="J193" s="29" t="n">
        <f aca="false">MAX(-G193,0)</f>
        <v>0.100000000000009</v>
      </c>
      <c r="K193" s="29" t="n">
        <f aca="false">(K192*13+I193)/14</f>
        <v>0.489350794557831</v>
      </c>
      <c r="L193" s="29" t="n">
        <f aca="false">(L192*13+J193)/14</f>
        <v>0.267655630515494</v>
      </c>
      <c r="M193" s="31" t="n">
        <f aca="false">IF(L193=0,100,100-100/(1+K193/MAX(L193,0.000001)))</f>
        <v>64.6428852318436</v>
      </c>
      <c r="N193" s="30" t="n">
        <f aca="false">AVERAGE(E174:E193)</f>
        <v>68.27</v>
      </c>
      <c r="O193" s="30" t="n">
        <f aca="false">AVERAGE(E144:E193)</f>
        <v>64.4394</v>
      </c>
      <c r="Q193" s="30" t="n">
        <f aca="false">Q192+(2/13)*(E193-Q192)</f>
        <v>69.3579317143327</v>
      </c>
      <c r="R193" s="30" t="n">
        <f aca="false">R192+(2/27)*(E193-R192)</f>
        <v>67.6000694945207</v>
      </c>
      <c r="S193" s="33" t="n">
        <f aca="false">Q193-R193</f>
        <v>1.75786221981197</v>
      </c>
      <c r="T193" s="33" t="n">
        <f aca="false">T192+(2/10)*(S193-T192)</f>
        <v>1.66106763879965</v>
      </c>
      <c r="U193" s="33" t="n">
        <f aca="false">S193-T193</f>
        <v>0.0967945810123179</v>
      </c>
      <c r="V193" s="32" t="str">
        <f aca="false">IF(M193="","",IF(M193&lt;Assumptions!$B$5,"BUY",IF(M193&gt;Assumptions!$B$4,"SELL","HOLD")))</f>
        <v>HOLD</v>
      </c>
      <c r="W193" s="32" t="str">
        <f aca="false">IF(O193="","",IF(E193&gt;O193,"BUY","SELL"))</f>
        <v>BUY</v>
      </c>
      <c r="X193" s="32" t="str">
        <f aca="false">IF(T193="","",IF(S193&gt;T193,"BUY","SELL"))</f>
        <v>BUY</v>
      </c>
      <c r="Y193" s="34" t="n">
        <f aca="false">IF(OR(V193="",W193="",X193=""),"",IFERROR(IF(V193="BUY",1,IF(V193="SELL",-1,0))+IF(W193="BUY",1,IF(W193="SELL",-1,0))+IF(X193="BUY",1,IF(X193="SELL",-1,0)),0))</f>
        <v>2</v>
      </c>
      <c r="Z193" s="32" t="str">
        <f aca="false">IF(Y193="","",IF(Y193&gt;=2,"STRONG BUY",IF(Y193=1,"BUY",IF(Y193=0,"HOLD",IF(Y193=-1,"SELL","STRONG SELL")))))</f>
        <v>STRONG BUY</v>
      </c>
    </row>
    <row r="194" customFormat="false" ht="15" hidden="false" customHeight="false" outlineLevel="0" collapsed="false">
      <c r="A194" s="24" t="n">
        <v>46038</v>
      </c>
      <c r="B194" s="25" t="n">
        <v>70.32</v>
      </c>
      <c r="C194" s="25" t="n">
        <v>70.32</v>
      </c>
      <c r="D194" s="25" t="n">
        <v>70.3</v>
      </c>
      <c r="E194" s="25" t="n">
        <v>70.31</v>
      </c>
      <c r="F194" s="26" t="n">
        <v>39129175</v>
      </c>
      <c r="G194" s="27" t="n">
        <f aca="false">E194-E193</f>
        <v>-0.0699999999999932</v>
      </c>
      <c r="H194" s="28" t="n">
        <f aca="false">G194/E193</f>
        <v>-0.000994600738846166</v>
      </c>
      <c r="I194" s="29" t="n">
        <f aca="false">MAX(G194,0)</f>
        <v>0</v>
      </c>
      <c r="J194" s="29" t="n">
        <f aca="false">MAX(-G194,0)</f>
        <v>0.0699999999999932</v>
      </c>
      <c r="K194" s="29" t="n">
        <f aca="false">(K193*13+I194)/14</f>
        <v>0.454397166375129</v>
      </c>
      <c r="L194" s="29" t="n">
        <f aca="false">(L193*13+J194)/14</f>
        <v>0.253537371192958</v>
      </c>
      <c r="M194" s="31" t="n">
        <f aca="false">IF(L194=0,100,100-100/(1+K194/MAX(L194,0.000001)))</f>
        <v>64.1863254667705</v>
      </c>
      <c r="N194" s="30" t="n">
        <f aca="false">AVERAGE(E175:E194)</f>
        <v>68.452</v>
      </c>
      <c r="O194" s="30" t="n">
        <f aca="false">AVERAGE(E145:E194)</f>
        <v>64.634</v>
      </c>
      <c r="Q194" s="30" t="n">
        <f aca="false">Q193+(2/13)*(E194-Q193)</f>
        <v>69.5044037582815</v>
      </c>
      <c r="R194" s="30" t="n">
        <f aca="false">R193+(2/27)*(E194-R193)</f>
        <v>67.8008050875192</v>
      </c>
      <c r="S194" s="33" t="n">
        <f aca="false">Q194-R194</f>
        <v>1.70359867076232</v>
      </c>
      <c r="T194" s="33" t="n">
        <f aca="false">T193+(2/10)*(S194-T193)</f>
        <v>1.66957384519218</v>
      </c>
      <c r="U194" s="33" t="n">
        <f aca="false">S194-T194</f>
        <v>0.0340248255701336</v>
      </c>
      <c r="V194" s="32" t="str">
        <f aca="false">IF(M194="","",IF(M194&lt;Assumptions!$B$5,"BUY",IF(M194&gt;Assumptions!$B$4,"SELL","HOLD")))</f>
        <v>HOLD</v>
      </c>
      <c r="W194" s="32" t="str">
        <f aca="false">IF(O194="","",IF(E194&gt;O194,"BUY","SELL"))</f>
        <v>BUY</v>
      </c>
      <c r="X194" s="32" t="str">
        <f aca="false">IF(T194="","",IF(S194&gt;T194,"BUY","SELL"))</f>
        <v>BUY</v>
      </c>
      <c r="Y194" s="34" t="n">
        <f aca="false">IF(OR(V194="",W194="",X194=""),"",IFERROR(IF(V194="BUY",1,IF(V194="SELL",-1,0))+IF(W194="BUY",1,IF(W194="SELL",-1,0))+IF(X194="BUY",1,IF(X194="SELL",-1,0)),0))</f>
        <v>2</v>
      </c>
      <c r="Z194" s="32" t="str">
        <f aca="false">IF(Y194="","",IF(Y194&gt;=2,"STRONG BUY",IF(Y194=1,"BUY",IF(Y194=0,"HOLD",IF(Y194=-1,"SELL","STRONG SELL")))))</f>
        <v>STRONG BUY</v>
      </c>
    </row>
    <row r="195" customFormat="false" ht="15" hidden="false" customHeight="false" outlineLevel="0" collapsed="false">
      <c r="A195" s="24" t="n">
        <v>46041</v>
      </c>
      <c r="B195" s="25" t="n">
        <v>70.5</v>
      </c>
      <c r="C195" s="25" t="n">
        <v>71.03</v>
      </c>
      <c r="D195" s="25" t="n">
        <v>69.55</v>
      </c>
      <c r="E195" s="25" t="n">
        <v>70.29</v>
      </c>
      <c r="F195" s="26" t="n">
        <v>34449787</v>
      </c>
      <c r="G195" s="27" t="n">
        <f aca="false">E195-E194</f>
        <v>-0.019999999999996</v>
      </c>
      <c r="H195" s="28" t="n">
        <f aca="false">G195/E194</f>
        <v>-0.000284454558384242</v>
      </c>
      <c r="I195" s="29" t="n">
        <f aca="false">MAX(G195,0)</f>
        <v>0</v>
      </c>
      <c r="J195" s="29" t="n">
        <f aca="false">MAX(-G195,0)</f>
        <v>0.019999999999996</v>
      </c>
      <c r="K195" s="29" t="n">
        <f aca="false">(K194*13+I195)/14</f>
        <v>0.421940225919763</v>
      </c>
      <c r="L195" s="29" t="n">
        <f aca="false">(L194*13+J195)/14</f>
        <v>0.236856130393461</v>
      </c>
      <c r="M195" s="31" t="n">
        <f aca="false">IF(L195=0,100,100-100/(1+K195/MAX(L195,0.000001)))</f>
        <v>64.0471401938283</v>
      </c>
      <c r="N195" s="30" t="n">
        <f aca="false">AVERAGE(E176:E195)</f>
        <v>68.633</v>
      </c>
      <c r="O195" s="30" t="n">
        <f aca="false">AVERAGE(E146:E195)</f>
        <v>64.8186</v>
      </c>
      <c r="Q195" s="30" t="n">
        <f aca="false">Q194+(2/13)*(E195-Q194)</f>
        <v>69.6252647185459</v>
      </c>
      <c r="R195" s="30" t="n">
        <f aca="false">R194+(2/27)*(E195-R194)</f>
        <v>67.9851898958511</v>
      </c>
      <c r="S195" s="33" t="n">
        <f aca="false">Q195-R195</f>
        <v>1.64007482269479</v>
      </c>
      <c r="T195" s="33" t="n">
        <f aca="false">T194+(2/10)*(S195-T194)</f>
        <v>1.6636740406927</v>
      </c>
      <c r="U195" s="33" t="n">
        <f aca="false">S195-T195</f>
        <v>-0.0235992179979192</v>
      </c>
      <c r="V195" s="32" t="str">
        <f aca="false">IF(M195="","",IF(M195&lt;Assumptions!$B$5,"BUY",IF(M195&gt;Assumptions!$B$4,"SELL","HOLD")))</f>
        <v>HOLD</v>
      </c>
      <c r="W195" s="32" t="str">
        <f aca="false">IF(O195="","",IF(E195&gt;O195,"BUY","SELL"))</f>
        <v>BUY</v>
      </c>
      <c r="X195" s="32" t="str">
        <f aca="false">IF(T195="","",IF(S195&gt;T195,"BUY","SELL"))</f>
        <v>SELL</v>
      </c>
      <c r="Y195" s="34" t="n">
        <f aca="false">IF(OR(V195="",W195="",X195=""),"",IFERROR(IF(V195="BUY",1,IF(V195="SELL",-1,0))+IF(W195="BUY",1,IF(W195="SELL",-1,0))+IF(X195="BUY",1,IF(X195="SELL",-1,0)),0))</f>
        <v>0</v>
      </c>
      <c r="Z195" s="32" t="str">
        <f aca="false">IF(Y195="","",IF(Y195&gt;=2,"STRONG BUY",IF(Y195=1,"BUY",IF(Y195=0,"HOLD",IF(Y195=-1,"SELL","STRONG SELL")))))</f>
        <v>HOLD</v>
      </c>
    </row>
    <row r="196" customFormat="false" ht="15" hidden="false" customHeight="false" outlineLevel="0" collapsed="false">
      <c r="A196" s="24" t="n">
        <v>46042</v>
      </c>
      <c r="B196" s="25" t="n">
        <v>72.46</v>
      </c>
      <c r="C196" s="25" t="n">
        <v>72.76</v>
      </c>
      <c r="D196" s="25" t="n">
        <v>71.7</v>
      </c>
      <c r="E196" s="25" t="n">
        <v>72.23</v>
      </c>
      <c r="F196" s="26" t="n">
        <v>18228255</v>
      </c>
      <c r="G196" s="27" t="n">
        <f aca="false">E196-E195</f>
        <v>1.94</v>
      </c>
      <c r="H196" s="28" t="n">
        <f aca="false">G196/E195</f>
        <v>0.0275999430929008</v>
      </c>
      <c r="I196" s="29" t="n">
        <f aca="false">MAX(G196,0)</f>
        <v>1.94</v>
      </c>
      <c r="J196" s="29" t="n">
        <f aca="false">MAX(-G196,0)</f>
        <v>0</v>
      </c>
      <c r="K196" s="29" t="n">
        <f aca="false">(K195*13+I196)/14</f>
        <v>0.530373066925494</v>
      </c>
      <c r="L196" s="29" t="n">
        <f aca="false">(L195*13+J196)/14</f>
        <v>0.219937835365356</v>
      </c>
      <c r="M196" s="31" t="n">
        <f aca="false">IF(L196=0,100,100-100/(1+K196/MAX(L196,0.000001)))</f>
        <v>70.6871065455877</v>
      </c>
      <c r="N196" s="30" t="n">
        <f aca="false">AVERAGE(E177:E196)</f>
        <v>68.986</v>
      </c>
      <c r="O196" s="30" t="n">
        <f aca="false">AVERAGE(E147:E196)</f>
        <v>65.0616</v>
      </c>
      <c r="Q196" s="30" t="n">
        <f aca="false">Q195+(2/13)*(E196-Q195)</f>
        <v>70.025993223385</v>
      </c>
      <c r="R196" s="30" t="n">
        <f aca="false">R195+(2/27)*(E196-R195)</f>
        <v>68.2996202739362</v>
      </c>
      <c r="S196" s="33" t="n">
        <f aca="false">Q196-R196</f>
        <v>1.72637294944877</v>
      </c>
      <c r="T196" s="33" t="n">
        <f aca="false">T195+(2/10)*(S196-T195)</f>
        <v>1.67621382244392</v>
      </c>
      <c r="U196" s="33" t="n">
        <f aca="false">S196-T196</f>
        <v>0.0501591270048549</v>
      </c>
      <c r="V196" s="32" t="str">
        <f aca="false">IF(M196="","",IF(M196&lt;Assumptions!$B$5,"BUY",IF(M196&gt;Assumptions!$B$4,"SELL","HOLD")))</f>
        <v>SELL</v>
      </c>
      <c r="W196" s="32" t="str">
        <f aca="false">IF(O196="","",IF(E196&gt;O196,"BUY","SELL"))</f>
        <v>BUY</v>
      </c>
      <c r="X196" s="32" t="str">
        <f aca="false">IF(T196="","",IF(S196&gt;T196,"BUY","SELL"))</f>
        <v>BUY</v>
      </c>
      <c r="Y196" s="34" t="n">
        <f aca="false">IF(OR(V196="",W196="",X196=""),"",IFERROR(IF(V196="BUY",1,IF(V196="SELL",-1,0))+IF(W196="BUY",1,IF(W196="SELL",-1,0))+IF(X196="BUY",1,IF(X196="SELL",-1,0)),0))</f>
        <v>1</v>
      </c>
      <c r="Z196" s="32" t="str">
        <f aca="false">IF(Y196="","",IF(Y196&gt;=2,"STRONG BUY",IF(Y196=1,"BUY",IF(Y196=0,"HOLD",IF(Y196=-1,"SELL","STRONG SELL")))))</f>
        <v>BUY</v>
      </c>
    </row>
    <row r="197" customFormat="false" ht="15" hidden="false" customHeight="false" outlineLevel="0" collapsed="false">
      <c r="A197" s="24" t="n">
        <v>46043</v>
      </c>
      <c r="B197" s="25" t="n">
        <v>71.47</v>
      </c>
      <c r="C197" s="25" t="n">
        <v>71.51</v>
      </c>
      <c r="D197" s="25" t="n">
        <v>71.05</v>
      </c>
      <c r="E197" s="25" t="n">
        <v>71.28</v>
      </c>
      <c r="F197" s="26" t="n">
        <v>19843642</v>
      </c>
      <c r="G197" s="27" t="n">
        <f aca="false">E197-E196</f>
        <v>-0.950000000000003</v>
      </c>
      <c r="H197" s="28" t="n">
        <f aca="false">G197/E196</f>
        <v>-0.0131524297383359</v>
      </c>
      <c r="I197" s="29" t="n">
        <f aca="false">MAX(G197,0)</f>
        <v>0</v>
      </c>
      <c r="J197" s="29" t="n">
        <f aca="false">MAX(-G197,0)</f>
        <v>0.950000000000003</v>
      </c>
      <c r="K197" s="29" t="n">
        <f aca="false">(K196*13+I197)/14</f>
        <v>0.492489276430816</v>
      </c>
      <c r="L197" s="29" t="n">
        <f aca="false">(L196*13+J197)/14</f>
        <v>0.27208513283926</v>
      </c>
      <c r="M197" s="31" t="n">
        <f aca="false">IF(L197=0,100,100-100/(1+K197/MAX(L197,0.000001)))</f>
        <v>64.4135182213313</v>
      </c>
      <c r="N197" s="30" t="n">
        <f aca="false">AVERAGE(E178:E197)</f>
        <v>69.3015</v>
      </c>
      <c r="O197" s="30" t="n">
        <f aca="false">AVERAGE(E148:E197)</f>
        <v>65.277</v>
      </c>
      <c r="Q197" s="30" t="n">
        <f aca="false">Q196+(2/13)*(E197-Q196)</f>
        <v>70.2189173428642</v>
      </c>
      <c r="R197" s="30" t="n">
        <f aca="false">R196+(2/27)*(E197-R196)</f>
        <v>68.5203891425336</v>
      </c>
      <c r="S197" s="33" t="n">
        <f aca="false">Q197-R197</f>
        <v>1.69852820033069</v>
      </c>
      <c r="T197" s="33" t="n">
        <f aca="false">T196+(2/10)*(S197-T196)</f>
        <v>1.68067669802127</v>
      </c>
      <c r="U197" s="33" t="n">
        <f aca="false">S197-T197</f>
        <v>0.0178515023094132</v>
      </c>
      <c r="V197" s="32" t="str">
        <f aca="false">IF(M197="","",IF(M197&lt;Assumptions!$B$5,"BUY",IF(M197&gt;Assumptions!$B$4,"SELL","HOLD")))</f>
        <v>HOLD</v>
      </c>
      <c r="W197" s="32" t="str">
        <f aca="false">IF(O197="","",IF(E197&gt;O197,"BUY","SELL"))</f>
        <v>BUY</v>
      </c>
      <c r="X197" s="32" t="str">
        <f aca="false">IF(T197="","",IF(S197&gt;T197,"BUY","SELL"))</f>
        <v>BUY</v>
      </c>
      <c r="Y197" s="34" t="n">
        <f aca="false">IF(OR(V197="",W197="",X197=""),"",IFERROR(IF(V197="BUY",1,IF(V197="SELL",-1,0))+IF(W197="BUY",1,IF(W197="SELL",-1,0))+IF(X197="BUY",1,IF(X197="SELL",-1,0)),0))</f>
        <v>2</v>
      </c>
      <c r="Z197" s="32" t="str">
        <f aca="false">IF(Y197="","",IF(Y197&gt;=2,"STRONG BUY",IF(Y197=1,"BUY",IF(Y197=0,"HOLD",IF(Y197=-1,"SELL","STRONG SELL")))))</f>
        <v>STRONG BUY</v>
      </c>
    </row>
    <row r="198" customFormat="false" ht="15" hidden="false" customHeight="false" outlineLevel="0" collapsed="false">
      <c r="A198" s="24" t="n">
        <v>46044</v>
      </c>
      <c r="B198" s="25" t="n">
        <v>73.87</v>
      </c>
      <c r="C198" s="25" t="n">
        <v>74.05</v>
      </c>
      <c r="D198" s="25" t="n">
        <v>73.87</v>
      </c>
      <c r="E198" s="25" t="n">
        <v>73.96</v>
      </c>
      <c r="F198" s="26" t="n">
        <v>14566101</v>
      </c>
      <c r="G198" s="27" t="n">
        <f aca="false">E198-E197</f>
        <v>2.67999999999999</v>
      </c>
      <c r="H198" s="28" t="n">
        <f aca="false">G198/E197</f>
        <v>0.0375982042648708</v>
      </c>
      <c r="I198" s="29" t="n">
        <f aca="false">MAX(G198,0)</f>
        <v>2.67999999999999</v>
      </c>
      <c r="J198" s="29" t="n">
        <f aca="false">MAX(-G198,0)</f>
        <v>0</v>
      </c>
      <c r="K198" s="29" t="n">
        <f aca="false">(K197*13+I198)/14</f>
        <v>0.648740042400043</v>
      </c>
      <c r="L198" s="29" t="n">
        <f aca="false">(L197*13+J198)/14</f>
        <v>0.252650480493598</v>
      </c>
      <c r="M198" s="31" t="n">
        <f aca="false">IF(L198=0,100,100-100/(1+K198/MAX(L198,0.000001)))</f>
        <v>71.9710298614478</v>
      </c>
      <c r="N198" s="30" t="n">
        <f aca="false">AVERAGE(E179:E198)</f>
        <v>69.7035</v>
      </c>
      <c r="O198" s="30" t="n">
        <f aca="false">AVERAGE(E149:E198)</f>
        <v>65.5326</v>
      </c>
      <c r="Q198" s="30" t="n">
        <f aca="false">Q197+(2/13)*(E198-Q197)</f>
        <v>70.7944685208851</v>
      </c>
      <c r="R198" s="30" t="n">
        <f aca="false">R197+(2/27)*(E198-R197)</f>
        <v>68.9233232801237</v>
      </c>
      <c r="S198" s="33" t="n">
        <f aca="false">Q198-R198</f>
        <v>1.87114524076146</v>
      </c>
      <c r="T198" s="33" t="n">
        <f aca="false">T197+(2/10)*(S198-T197)</f>
        <v>1.71877040656931</v>
      </c>
      <c r="U198" s="33" t="n">
        <f aca="false">S198-T198</f>
        <v>0.152374834192154</v>
      </c>
      <c r="V198" s="32" t="str">
        <f aca="false">IF(M198="","",IF(M198&lt;Assumptions!$B$5,"BUY",IF(M198&gt;Assumptions!$B$4,"SELL","HOLD")))</f>
        <v>SELL</v>
      </c>
      <c r="W198" s="32" t="str">
        <f aca="false">IF(O198="","",IF(E198&gt;O198,"BUY","SELL"))</f>
        <v>BUY</v>
      </c>
      <c r="X198" s="32" t="str">
        <f aca="false">IF(T198="","",IF(S198&gt;T198,"BUY","SELL"))</f>
        <v>BUY</v>
      </c>
      <c r="Y198" s="34" t="n">
        <f aca="false">IF(OR(V198="",W198="",X198=""),"",IFERROR(IF(V198="BUY",1,IF(V198="SELL",-1,0))+IF(W198="BUY",1,IF(W198="SELL",-1,0))+IF(X198="BUY",1,IF(X198="SELL",-1,0)),0))</f>
        <v>1</v>
      </c>
      <c r="Z198" s="32" t="str">
        <f aca="false">IF(Y198="","",IF(Y198&gt;=2,"STRONG BUY",IF(Y198=1,"BUY",IF(Y198=0,"HOLD",IF(Y198=-1,"SELL","STRONG SELL")))))</f>
        <v>BUY</v>
      </c>
    </row>
    <row r="199" customFormat="false" ht="15" hidden="false" customHeight="false" outlineLevel="0" collapsed="false">
      <c r="A199" s="24" t="n">
        <v>46045</v>
      </c>
      <c r="B199" s="25" t="n">
        <v>73.12</v>
      </c>
      <c r="C199" s="25" t="n">
        <v>73.39</v>
      </c>
      <c r="D199" s="25" t="n">
        <v>73.09</v>
      </c>
      <c r="E199" s="25" t="n">
        <v>73.24</v>
      </c>
      <c r="F199" s="26" t="n">
        <v>18360944</v>
      </c>
      <c r="G199" s="27" t="n">
        <f aca="false">E199-E198</f>
        <v>-0.719999999999999</v>
      </c>
      <c r="H199" s="28" t="n">
        <f aca="false">G199/E198</f>
        <v>-0.00973499188750675</v>
      </c>
      <c r="I199" s="29" t="n">
        <f aca="false">MAX(G199,0)</f>
        <v>0</v>
      </c>
      <c r="J199" s="29" t="n">
        <f aca="false">MAX(-G199,0)</f>
        <v>0.719999999999999</v>
      </c>
      <c r="K199" s="29" t="n">
        <f aca="false">(K198*13+I199)/14</f>
        <v>0.602401467942897</v>
      </c>
      <c r="L199" s="29" t="n">
        <f aca="false">(L198*13+J199)/14</f>
        <v>0.28603258902977</v>
      </c>
      <c r="M199" s="31" t="n">
        <f aca="false">IF(L199=0,100,100-100/(1+K199/MAX(L199,0.000001)))</f>
        <v>67.8048599347459</v>
      </c>
      <c r="N199" s="30" t="n">
        <f aca="false">AVERAGE(E180:E199)</f>
        <v>70.0355</v>
      </c>
      <c r="O199" s="30" t="n">
        <f aca="false">AVERAGE(E150:E199)</f>
        <v>65.7836</v>
      </c>
      <c r="Q199" s="30" t="n">
        <f aca="false">Q198+(2/13)*(E199-Q198)</f>
        <v>71.1707041330566</v>
      </c>
      <c r="R199" s="30" t="n">
        <f aca="false">R198+(2/27)*(E199-R198)</f>
        <v>69.2430771112256</v>
      </c>
      <c r="S199" s="33" t="n">
        <f aca="false">Q199-R199</f>
        <v>1.92762702183103</v>
      </c>
      <c r="T199" s="33" t="n">
        <f aca="false">T198+(2/10)*(S199-T198)</f>
        <v>1.76054172962165</v>
      </c>
      <c r="U199" s="33" t="n">
        <f aca="false">S199-T199</f>
        <v>0.167085292209375</v>
      </c>
      <c r="V199" s="32" t="str">
        <f aca="false">IF(M199="","",IF(M199&lt;Assumptions!$B$5,"BUY",IF(M199&gt;Assumptions!$B$4,"SELL","HOLD")))</f>
        <v>HOLD</v>
      </c>
      <c r="W199" s="32" t="str">
        <f aca="false">IF(O199="","",IF(E199&gt;O199,"BUY","SELL"))</f>
        <v>BUY</v>
      </c>
      <c r="X199" s="32" t="str">
        <f aca="false">IF(T199="","",IF(S199&gt;T199,"BUY","SELL"))</f>
        <v>BUY</v>
      </c>
      <c r="Y199" s="34" t="n">
        <f aca="false">IF(OR(V199="",W199="",X199=""),"",IFERROR(IF(V199="BUY",1,IF(V199="SELL",-1,0))+IF(W199="BUY",1,IF(W199="SELL",-1,0))+IF(X199="BUY",1,IF(X199="SELL",-1,0)),0))</f>
        <v>2</v>
      </c>
      <c r="Z199" s="32" t="str">
        <f aca="false">IF(Y199="","",IF(Y199&gt;=2,"STRONG BUY",IF(Y199=1,"BUY",IF(Y199=0,"HOLD",IF(Y199=-1,"SELL","STRONG SELL")))))</f>
        <v>STRONG BUY</v>
      </c>
    </row>
    <row r="200" customFormat="false" ht="15" hidden="false" customHeight="false" outlineLevel="0" collapsed="false">
      <c r="A200" s="24" t="n">
        <v>46048</v>
      </c>
      <c r="B200" s="25" t="n">
        <v>72.43</v>
      </c>
      <c r="C200" s="25" t="n">
        <v>72.43</v>
      </c>
      <c r="D200" s="25" t="n">
        <v>72.27</v>
      </c>
      <c r="E200" s="25" t="n">
        <v>72.35</v>
      </c>
      <c r="F200" s="26" t="n">
        <v>22714071</v>
      </c>
      <c r="G200" s="27" t="n">
        <f aca="false">E200-E199</f>
        <v>-0.890000000000001</v>
      </c>
      <c r="H200" s="28" t="n">
        <f aca="false">G200/E199</f>
        <v>-0.0121518296013108</v>
      </c>
      <c r="I200" s="29" t="n">
        <f aca="false">MAX(G200,0)</f>
        <v>0</v>
      </c>
      <c r="J200" s="29" t="n">
        <f aca="false">MAX(-G200,0)</f>
        <v>0.890000000000001</v>
      </c>
      <c r="K200" s="29" t="n">
        <f aca="false">(K199*13+I200)/14</f>
        <v>0.559372791661261</v>
      </c>
      <c r="L200" s="29" t="n">
        <f aca="false">(L199*13+J200)/14</f>
        <v>0.329173118384786</v>
      </c>
      <c r="M200" s="31" t="n">
        <f aca="false">IF(L200=0,100,100-100/(1+K200/MAX(L200,0.000001)))</f>
        <v>62.9537298339793</v>
      </c>
      <c r="N200" s="30" t="n">
        <f aca="false">AVERAGE(E181:E200)</f>
        <v>70.2665</v>
      </c>
      <c r="O200" s="30" t="n">
        <f aca="false">AVERAGE(E151:E200)</f>
        <v>66.017</v>
      </c>
      <c r="Q200" s="30" t="n">
        <f aca="false">Q199+(2/13)*(E200-Q199)</f>
        <v>71.3521342664325</v>
      </c>
      <c r="R200" s="30" t="n">
        <f aca="false">R199+(2/27)*(E200-R199)</f>
        <v>69.4732195474311</v>
      </c>
      <c r="S200" s="33" t="n">
        <f aca="false">Q200-R200</f>
        <v>1.87891471900141</v>
      </c>
      <c r="T200" s="33" t="n">
        <f aca="false">T199+(2/10)*(S200-T199)</f>
        <v>1.78421632749761</v>
      </c>
      <c r="U200" s="33" t="n">
        <f aca="false">S200-T200</f>
        <v>0.0946983915038087</v>
      </c>
      <c r="V200" s="32" t="str">
        <f aca="false">IF(M200="","",IF(M200&lt;Assumptions!$B$5,"BUY",IF(M200&gt;Assumptions!$B$4,"SELL","HOLD")))</f>
        <v>HOLD</v>
      </c>
      <c r="W200" s="32" t="str">
        <f aca="false">IF(O200="","",IF(E200&gt;O200,"BUY","SELL"))</f>
        <v>BUY</v>
      </c>
      <c r="X200" s="32" t="str">
        <f aca="false">IF(T200="","",IF(S200&gt;T200,"BUY","SELL"))</f>
        <v>BUY</v>
      </c>
      <c r="Y200" s="34" t="n">
        <f aca="false">IF(OR(V200="",W200="",X200=""),"",IFERROR(IF(V200="BUY",1,IF(V200="SELL",-1,0))+IF(W200="BUY",1,IF(W200="SELL",-1,0))+IF(X200="BUY",1,IF(X200="SELL",-1,0)),0))</f>
        <v>2</v>
      </c>
      <c r="Z200" s="32" t="str">
        <f aca="false">IF(Y200="","",IF(Y200&gt;=2,"STRONG BUY",IF(Y200=1,"BUY",IF(Y200=0,"HOLD",IF(Y200=-1,"SELL","STRONG SELL")))))</f>
        <v>STRONG BUY</v>
      </c>
    </row>
    <row r="201" customFormat="false" ht="15" hidden="false" customHeight="false" outlineLevel="0" collapsed="false">
      <c r="A201" s="24" t="n">
        <v>46049</v>
      </c>
      <c r="B201" s="25" t="n">
        <v>71.67</v>
      </c>
      <c r="C201" s="25" t="n">
        <v>71.71</v>
      </c>
      <c r="D201" s="25" t="n">
        <v>71.57</v>
      </c>
      <c r="E201" s="25" t="n">
        <v>71.64</v>
      </c>
      <c r="F201" s="26" t="n">
        <v>22799354</v>
      </c>
      <c r="G201" s="27" t="n">
        <f aca="false">E201-E200</f>
        <v>-0.709999999999994</v>
      </c>
      <c r="H201" s="28" t="n">
        <f aca="false">G201/E200</f>
        <v>-0.00981340704906695</v>
      </c>
      <c r="I201" s="29" t="n">
        <f aca="false">MAX(G201,0)</f>
        <v>0</v>
      </c>
      <c r="J201" s="29" t="n">
        <f aca="false">MAX(-G201,0)</f>
        <v>0.709999999999994</v>
      </c>
      <c r="K201" s="29" t="n">
        <f aca="false">(K200*13+I201)/14</f>
        <v>0.519417592256885</v>
      </c>
      <c r="L201" s="29" t="n">
        <f aca="false">(L200*13+J201)/14</f>
        <v>0.356375038500158</v>
      </c>
      <c r="M201" s="31" t="n">
        <f aca="false">IF(L201=0,100,100-100/(1+K201/MAX(L201,0.000001)))</f>
        <v>59.3082853195392</v>
      </c>
      <c r="N201" s="30" t="n">
        <f aca="false">AVERAGE(E182:E201)</f>
        <v>70.3625</v>
      </c>
      <c r="O201" s="30" t="n">
        <f aca="false">AVERAGE(E152:E201)</f>
        <v>66.2136</v>
      </c>
      <c r="Q201" s="30" t="n">
        <f aca="false">Q200+(2/13)*(E201-Q200)</f>
        <v>71.396421302366</v>
      </c>
      <c r="R201" s="30" t="n">
        <f aca="false">R200+(2/27)*(E201-R200)</f>
        <v>69.633721803177</v>
      </c>
      <c r="S201" s="33" t="n">
        <f aca="false">Q201-R201</f>
        <v>1.76269949918903</v>
      </c>
      <c r="T201" s="33" t="n">
        <f aca="false">T200+(2/10)*(S201-T200)</f>
        <v>1.77991296183589</v>
      </c>
      <c r="U201" s="33" t="n">
        <f aca="false">S201-T201</f>
        <v>-0.0172134626468643</v>
      </c>
      <c r="V201" s="32" t="str">
        <f aca="false">IF(M201="","",IF(M201&lt;Assumptions!$B$5,"BUY",IF(M201&gt;Assumptions!$B$4,"SELL","HOLD")))</f>
        <v>HOLD</v>
      </c>
      <c r="W201" s="32" t="str">
        <f aca="false">IF(O201="","",IF(E201&gt;O201,"BUY","SELL"))</f>
        <v>BUY</v>
      </c>
      <c r="X201" s="32" t="str">
        <f aca="false">IF(T201="","",IF(S201&gt;T201,"BUY","SELL"))</f>
        <v>SELL</v>
      </c>
      <c r="Y201" s="34" t="n">
        <f aca="false">IF(OR(V201="",W201="",X201=""),"",IFERROR(IF(V201="BUY",1,IF(V201="SELL",-1,0))+IF(W201="BUY",1,IF(W201="SELL",-1,0))+IF(X201="BUY",1,IF(X201="SELL",-1,0)),0))</f>
        <v>0</v>
      </c>
      <c r="Z201" s="32" t="str">
        <f aca="false">IF(Y201="","",IF(Y201&gt;=2,"STRONG BUY",IF(Y201=1,"BUY",IF(Y201=0,"HOLD",IF(Y201=-1,"SELL","STRONG SELL")))))</f>
        <v>HOLD</v>
      </c>
    </row>
    <row r="202" customFormat="false" ht="15" hidden="false" customHeight="false" outlineLevel="0" collapsed="false">
      <c r="A202" s="24" t="n">
        <v>46050</v>
      </c>
      <c r="B202" s="25" t="n">
        <v>72.35</v>
      </c>
      <c r="C202" s="25" t="n">
        <v>72.35</v>
      </c>
      <c r="D202" s="25" t="n">
        <v>72.35</v>
      </c>
      <c r="E202" s="25" t="n">
        <v>72.35</v>
      </c>
      <c r="F202" s="26" t="n">
        <v>20611047</v>
      </c>
      <c r="G202" s="27" t="n">
        <f aca="false">E202-E201</f>
        <v>0.709999999999994</v>
      </c>
      <c r="H202" s="28" t="n">
        <f aca="false">G202/E201</f>
        <v>0.00991066443327741</v>
      </c>
      <c r="I202" s="29" t="n">
        <f aca="false">MAX(G202,0)</f>
        <v>0.709999999999994</v>
      </c>
      <c r="J202" s="29" t="n">
        <f aca="false">MAX(-G202,0)</f>
        <v>0</v>
      </c>
      <c r="K202" s="29" t="n">
        <f aca="false">(K201*13+I202)/14</f>
        <v>0.533030621381393</v>
      </c>
      <c r="L202" s="29" t="n">
        <f aca="false">(L201*13+J202)/14</f>
        <v>0.33091967860729</v>
      </c>
      <c r="M202" s="31" t="n">
        <f aca="false">IF(L202=0,100,100-100/(1+K202/MAX(L202,0.000001)))</f>
        <v>61.6969079573646</v>
      </c>
      <c r="N202" s="30" t="n">
        <f aca="false">AVERAGE(E183:E202)</f>
        <v>70.516</v>
      </c>
      <c r="O202" s="30" t="n">
        <f aca="false">AVERAGE(E153:E202)</f>
        <v>66.4546</v>
      </c>
      <c r="P202" s="30" t="n">
        <f aca="false">AVERAGE(E3:E202)</f>
        <v>67.5855</v>
      </c>
      <c r="Q202" s="30" t="n">
        <f aca="false">Q201+(2/13)*(E202-Q201)</f>
        <v>71.5431257173866</v>
      </c>
      <c r="R202" s="30" t="n">
        <f aca="false">R201+(2/27)*(E202-R201)</f>
        <v>69.8349275955342</v>
      </c>
      <c r="S202" s="33" t="n">
        <f aca="false">Q202-R202</f>
        <v>1.70819812185239</v>
      </c>
      <c r="T202" s="33" t="n">
        <f aca="false">T201+(2/10)*(S202-T201)</f>
        <v>1.76556999383919</v>
      </c>
      <c r="U202" s="33" t="n">
        <f aca="false">S202-T202</f>
        <v>-0.0573718719867995</v>
      </c>
      <c r="V202" s="32" t="str">
        <f aca="false">IF(M202="","",IF(M202&lt;Assumptions!$B$5,"BUY",IF(M202&gt;Assumptions!$B$4,"SELL","HOLD")))</f>
        <v>HOLD</v>
      </c>
      <c r="W202" s="32" t="str">
        <f aca="false">IF(O202="","",IF(E202&gt;O202,"BUY","SELL"))</f>
        <v>BUY</v>
      </c>
      <c r="X202" s="32" t="str">
        <f aca="false">IF(T202="","",IF(S202&gt;T202,"BUY","SELL"))</f>
        <v>SELL</v>
      </c>
      <c r="Y202" s="34" t="n">
        <f aca="false">IF(OR(V202="",W202="",X202=""),"",IFERROR(IF(V202="BUY",1,IF(V202="SELL",-1,0))+IF(W202="BUY",1,IF(W202="SELL",-1,0))+IF(X202="BUY",1,IF(X202="SELL",-1,0)),0))</f>
        <v>0</v>
      </c>
      <c r="Z202" s="32" t="str">
        <f aca="false">IF(Y202="","",IF(Y202&gt;=2,"STRONG BUY",IF(Y202=1,"BUY",IF(Y202=0,"HOLD",IF(Y202=-1,"SELL","STRONG SELL")))))</f>
        <v>HOLD</v>
      </c>
    </row>
    <row r="203" customFormat="false" ht="15" hidden="false" customHeight="false" outlineLevel="0" collapsed="false">
      <c r="A203" s="24" t="n">
        <v>46051</v>
      </c>
      <c r="B203" s="25" t="n">
        <v>72</v>
      </c>
      <c r="C203" s="25" t="n">
        <v>73.14</v>
      </c>
      <c r="D203" s="25" t="n">
        <v>71.54</v>
      </c>
      <c r="E203" s="25" t="n">
        <v>72.34</v>
      </c>
      <c r="F203" s="26" t="n">
        <v>14613301</v>
      </c>
      <c r="G203" s="27" t="n">
        <f aca="false">E203-E202</f>
        <v>-0.00999999999999091</v>
      </c>
      <c r="H203" s="28" t="n">
        <f aca="false">G203/E202</f>
        <v>-0.000138217000690959</v>
      </c>
      <c r="I203" s="29" t="n">
        <f aca="false">MAX(G203,0)</f>
        <v>0</v>
      </c>
      <c r="J203" s="29" t="n">
        <f aca="false">MAX(-G203,0)</f>
        <v>0.00999999999999091</v>
      </c>
      <c r="K203" s="29" t="n">
        <f aca="false">(K202*13+I203)/14</f>
        <v>0.494957005568437</v>
      </c>
      <c r="L203" s="29" t="n">
        <f aca="false">(L202*13+J203)/14</f>
        <v>0.307996844421054</v>
      </c>
      <c r="M203" s="31" t="n">
        <f aca="false">IF(L203=0,100,100-100/(1+K203/MAX(L203,0.000001)))</f>
        <v>61.6420240808254</v>
      </c>
      <c r="N203" s="30" t="n">
        <f aca="false">AVERAGE(E184:E203)</f>
        <v>70.7155</v>
      </c>
      <c r="O203" s="30" t="n">
        <f aca="false">AVERAGE(E154:E203)</f>
        <v>66.6836</v>
      </c>
      <c r="P203" s="30" t="n">
        <f aca="false">AVERAGE(E4:E203)</f>
        <v>67.6047</v>
      </c>
      <c r="Q203" s="30" t="n">
        <f aca="false">Q202+(2/13)*(E203-Q202)</f>
        <v>71.6657217608656</v>
      </c>
      <c r="R203" s="30" t="n">
        <f aca="false">R202+(2/27)*(E203-R202)</f>
        <v>70.0204885143835</v>
      </c>
      <c r="S203" s="33" t="n">
        <f aca="false">Q203-R203</f>
        <v>1.64523324648205</v>
      </c>
      <c r="T203" s="33" t="n">
        <f aca="false">T202+(2/10)*(S203-T202)</f>
        <v>1.74150264436776</v>
      </c>
      <c r="U203" s="33" t="n">
        <f aca="false">S203-T203</f>
        <v>-0.0962693978857121</v>
      </c>
      <c r="V203" s="32" t="str">
        <f aca="false">IF(M203="","",IF(M203&lt;Assumptions!$B$5,"BUY",IF(M203&gt;Assumptions!$B$4,"SELL","HOLD")))</f>
        <v>HOLD</v>
      </c>
      <c r="W203" s="32" t="str">
        <f aca="false">IF(O203="","",IF(E203&gt;O203,"BUY","SELL"))</f>
        <v>BUY</v>
      </c>
      <c r="X203" s="32" t="str">
        <f aca="false">IF(T203="","",IF(S203&gt;T203,"BUY","SELL"))</f>
        <v>SELL</v>
      </c>
      <c r="Y203" s="34" t="n">
        <f aca="false">IF(OR(V203="",W203="",X203=""),"",IFERROR(IF(V203="BUY",1,IF(V203="SELL",-1,0))+IF(W203="BUY",1,IF(W203="SELL",-1,0))+IF(X203="BUY",1,IF(X203="SELL",-1,0)),0))</f>
        <v>0</v>
      </c>
      <c r="Z203" s="32" t="str">
        <f aca="false">IF(Y203="","",IF(Y203&gt;=2,"STRONG BUY",IF(Y203=1,"BUY",IF(Y203=0,"HOLD",IF(Y203=-1,"SELL","STRONG SELL")))))</f>
        <v>HOLD</v>
      </c>
    </row>
    <row r="204" customFormat="false" ht="15" hidden="false" customHeight="false" outlineLevel="0" collapsed="false">
      <c r="A204" s="24" t="n">
        <v>46052</v>
      </c>
      <c r="B204" s="25" t="n">
        <v>73.75</v>
      </c>
      <c r="C204" s="25" t="n">
        <v>73.75</v>
      </c>
      <c r="D204" s="25" t="n">
        <v>73.39</v>
      </c>
      <c r="E204" s="25" t="n">
        <v>73.57</v>
      </c>
      <c r="F204" s="26" t="n">
        <v>24920963</v>
      </c>
      <c r="G204" s="27" t="n">
        <f aca="false">E204-E203</f>
        <v>1.22999999999999</v>
      </c>
      <c r="H204" s="28" t="n">
        <f aca="false">G204/E203</f>
        <v>0.0170030411943598</v>
      </c>
      <c r="I204" s="29" t="n">
        <f aca="false">MAX(G204,0)</f>
        <v>1.22999999999999</v>
      </c>
      <c r="J204" s="29" t="n">
        <f aca="false">MAX(-G204,0)</f>
        <v>0</v>
      </c>
      <c r="K204" s="29" t="n">
        <f aca="false">(K203*13+I204)/14</f>
        <v>0.547460076599262</v>
      </c>
      <c r="L204" s="29" t="n">
        <f aca="false">(L203*13+J204)/14</f>
        <v>0.28599706981955</v>
      </c>
      <c r="M204" s="31" t="n">
        <f aca="false">IF(L204=0,100,100-100/(1+K204/MAX(L204,0.000001)))</f>
        <v>65.6854499300391</v>
      </c>
      <c r="N204" s="30" t="n">
        <f aca="false">AVERAGE(E185:E204)</f>
        <v>71.0375</v>
      </c>
      <c r="O204" s="30" t="n">
        <f aca="false">AVERAGE(E155:E204)</f>
        <v>66.935</v>
      </c>
      <c r="P204" s="30" t="n">
        <f aca="false">AVERAGE(E5:E204)</f>
        <v>67.6311</v>
      </c>
      <c r="Q204" s="30" t="n">
        <f aca="false">Q203+(2/13)*(E204-Q203)</f>
        <v>71.9586876438093</v>
      </c>
      <c r="R204" s="30" t="n">
        <f aca="false">R203+(2/27)*(E204-R203)</f>
        <v>70.2834152910959</v>
      </c>
      <c r="S204" s="33" t="n">
        <f aca="false">Q204-R204</f>
        <v>1.67527235271348</v>
      </c>
      <c r="T204" s="33" t="n">
        <f aca="false">T203+(2/10)*(S204-T203)</f>
        <v>1.72825658603691</v>
      </c>
      <c r="U204" s="33" t="n">
        <f aca="false">S204-T204</f>
        <v>-0.0529842333234276</v>
      </c>
      <c r="V204" s="32" t="str">
        <f aca="false">IF(M204="","",IF(M204&lt;Assumptions!$B$5,"BUY",IF(M204&gt;Assumptions!$B$4,"SELL","HOLD")))</f>
        <v>HOLD</v>
      </c>
      <c r="W204" s="32" t="str">
        <f aca="false">IF(O204="","",IF(E204&gt;O204,"BUY","SELL"))</f>
        <v>BUY</v>
      </c>
      <c r="X204" s="32" t="str">
        <f aca="false">IF(T204="","",IF(S204&gt;T204,"BUY","SELL"))</f>
        <v>SELL</v>
      </c>
      <c r="Y204" s="34" t="n">
        <f aca="false">IF(OR(V204="",W204="",X204=""),"",IFERROR(IF(V204="BUY",1,IF(V204="SELL",-1,0))+IF(W204="BUY",1,IF(W204="SELL",-1,0))+IF(X204="BUY",1,IF(X204="SELL",-1,0)),0))</f>
        <v>0</v>
      </c>
      <c r="Z204" s="32" t="str">
        <f aca="false">IF(Y204="","",IF(Y204&gt;=2,"STRONG BUY",IF(Y204=1,"BUY",IF(Y204=0,"HOLD",IF(Y204=-1,"SELL","STRONG SELL")))))</f>
        <v>HOLD</v>
      </c>
    </row>
    <row r="205" customFormat="false" ht="15" hidden="false" customHeight="false" outlineLevel="0" collapsed="false">
      <c r="A205" s="24" t="n">
        <v>46055</v>
      </c>
      <c r="B205" s="25" t="n">
        <v>72.6</v>
      </c>
      <c r="C205" s="25" t="n">
        <v>72.74</v>
      </c>
      <c r="D205" s="25" t="n">
        <v>72.6</v>
      </c>
      <c r="E205" s="25" t="n">
        <v>72.67</v>
      </c>
      <c r="F205" s="26" t="n">
        <v>27512226</v>
      </c>
      <c r="G205" s="27" t="n">
        <f aca="false">E205-E204</f>
        <v>-0.899999999999992</v>
      </c>
      <c r="H205" s="28" t="n">
        <f aca="false">G205/E204</f>
        <v>-0.0122332472475193</v>
      </c>
      <c r="I205" s="29" t="n">
        <f aca="false">MAX(G205,0)</f>
        <v>0</v>
      </c>
      <c r="J205" s="29" t="n">
        <f aca="false">MAX(-G205,0)</f>
        <v>0.899999999999992</v>
      </c>
      <c r="K205" s="29" t="n">
        <f aca="false">(K204*13+I205)/14</f>
        <v>0.5083557854136</v>
      </c>
      <c r="L205" s="29" t="n">
        <f aca="false">(L204*13+J205)/14</f>
        <v>0.329854421975296</v>
      </c>
      <c r="M205" s="31" t="n">
        <f aca="false">IF(L205=0,100,100-100/(1+K205/MAX(L205,0.000001)))</f>
        <v>60.6477684156551</v>
      </c>
      <c r="N205" s="30" t="n">
        <f aca="false">AVERAGE(E186:E205)</f>
        <v>71.3205</v>
      </c>
      <c r="O205" s="30" t="n">
        <f aca="false">AVERAGE(E156:E205)</f>
        <v>67.1508</v>
      </c>
      <c r="P205" s="30" t="n">
        <f aca="false">AVERAGE(E6:E205)</f>
        <v>67.65065</v>
      </c>
      <c r="Q205" s="30" t="n">
        <f aca="false">Q204+(2/13)*(E205-Q204)</f>
        <v>72.0681203139925</v>
      </c>
      <c r="R205" s="30" t="n">
        <f aca="false">R204+(2/27)*(E205-R204)</f>
        <v>70.4601993436073</v>
      </c>
      <c r="S205" s="33" t="n">
        <f aca="false">Q205-R205</f>
        <v>1.60792097038524</v>
      </c>
      <c r="T205" s="33" t="n">
        <f aca="false">T204+(2/10)*(S205-T204)</f>
        <v>1.70418946290657</v>
      </c>
      <c r="U205" s="33" t="n">
        <f aca="false">S205-T205</f>
        <v>-0.0962684925213346</v>
      </c>
      <c r="V205" s="32" t="str">
        <f aca="false">IF(M205="","",IF(M205&lt;Assumptions!$B$5,"BUY",IF(M205&gt;Assumptions!$B$4,"SELL","HOLD")))</f>
        <v>HOLD</v>
      </c>
      <c r="W205" s="32" t="str">
        <f aca="false">IF(O205="","",IF(E205&gt;O205,"BUY","SELL"))</f>
        <v>BUY</v>
      </c>
      <c r="X205" s="32" t="str">
        <f aca="false">IF(T205="","",IF(S205&gt;T205,"BUY","SELL"))</f>
        <v>SELL</v>
      </c>
      <c r="Y205" s="34" t="n">
        <f aca="false">IF(OR(V205="",W205="",X205=""),"",IFERROR(IF(V205="BUY",1,IF(V205="SELL",-1,0))+IF(W205="BUY",1,IF(W205="SELL",-1,0))+IF(X205="BUY",1,IF(X205="SELL",-1,0)),0))</f>
        <v>0</v>
      </c>
      <c r="Z205" s="32" t="str">
        <f aca="false">IF(Y205="","",IF(Y205&gt;=2,"STRONG BUY",IF(Y205=1,"BUY",IF(Y205=0,"HOLD",IF(Y205=-1,"SELL","STRONG SELL")))))</f>
        <v>HOLD</v>
      </c>
    </row>
    <row r="206" customFormat="false" ht="15" hidden="false" customHeight="false" outlineLevel="0" collapsed="false">
      <c r="A206" s="24" t="n">
        <v>46056</v>
      </c>
      <c r="B206" s="25" t="n">
        <v>70.86</v>
      </c>
      <c r="C206" s="25" t="n">
        <v>71.6</v>
      </c>
      <c r="D206" s="25" t="n">
        <v>70.16</v>
      </c>
      <c r="E206" s="25" t="n">
        <v>70.88</v>
      </c>
      <c r="F206" s="26" t="n">
        <v>17783577</v>
      </c>
      <c r="G206" s="27" t="n">
        <f aca="false">E206-E205</f>
        <v>-1.79000000000001</v>
      </c>
      <c r="H206" s="28" t="n">
        <f aca="false">G206/E205</f>
        <v>-0.0246318976193753</v>
      </c>
      <c r="I206" s="29" t="n">
        <f aca="false">MAX(G206,0)</f>
        <v>0</v>
      </c>
      <c r="J206" s="29" t="n">
        <f aca="false">MAX(-G206,0)</f>
        <v>1.79000000000001</v>
      </c>
      <c r="K206" s="29" t="n">
        <f aca="false">(K205*13+I206)/14</f>
        <v>0.472044657884057</v>
      </c>
      <c r="L206" s="29" t="n">
        <f aca="false">(L205*13+J206)/14</f>
        <v>0.434150534691347</v>
      </c>
      <c r="M206" s="31" t="n">
        <f aca="false">IF(L206=0,100,100-100/(1+K206/MAX(L206,0.000001)))</f>
        <v>52.0908366929765</v>
      </c>
      <c r="N206" s="30" t="n">
        <f aca="false">AVERAGE(E187:E206)</f>
        <v>71.462</v>
      </c>
      <c r="O206" s="30" t="n">
        <f aca="false">AVERAGE(E157:E206)</f>
        <v>67.361</v>
      </c>
      <c r="P206" s="30" t="n">
        <f aca="false">AVERAGE(E7:E206)</f>
        <v>67.66315</v>
      </c>
      <c r="Q206" s="30" t="n">
        <f aca="false">Q205+(2/13)*(E206-Q205)</f>
        <v>71.8853325733783</v>
      </c>
      <c r="R206" s="30" t="n">
        <f aca="false">R205+(2/27)*(E206-R205)</f>
        <v>70.4912956885253</v>
      </c>
      <c r="S206" s="33" t="n">
        <f aca="false">Q206-R206</f>
        <v>1.39403688485302</v>
      </c>
      <c r="T206" s="33" t="n">
        <f aca="false">T205+(2/10)*(S206-T205)</f>
        <v>1.64215894729586</v>
      </c>
      <c r="U206" s="33" t="n">
        <f aca="false">S206-T206</f>
        <v>-0.248122062442839</v>
      </c>
      <c r="V206" s="32" t="str">
        <f aca="false">IF(M206="","",IF(M206&lt;Assumptions!$B$5,"BUY",IF(M206&gt;Assumptions!$B$4,"SELL","HOLD")))</f>
        <v>HOLD</v>
      </c>
      <c r="W206" s="32" t="str">
        <f aca="false">IF(O206="","",IF(E206&gt;O206,"BUY","SELL"))</f>
        <v>BUY</v>
      </c>
      <c r="X206" s="32" t="str">
        <f aca="false">IF(T206="","",IF(S206&gt;T206,"BUY","SELL"))</f>
        <v>SELL</v>
      </c>
      <c r="Y206" s="34" t="n">
        <f aca="false">IF(OR(V206="",W206="",X206=""),"",IFERROR(IF(V206="BUY",1,IF(V206="SELL",-1,0))+IF(W206="BUY",1,IF(W206="SELL",-1,0))+IF(X206="BUY",1,IF(X206="SELL",-1,0)),0))</f>
        <v>0</v>
      </c>
      <c r="Z206" s="32" t="str">
        <f aca="false">IF(Y206="","",IF(Y206&gt;=2,"STRONG BUY",IF(Y206=1,"BUY",IF(Y206=0,"HOLD",IF(Y206=-1,"SELL","STRONG SELL")))))</f>
        <v>HOLD</v>
      </c>
    </row>
    <row r="207" customFormat="false" ht="15" hidden="false" customHeight="false" outlineLevel="0" collapsed="false">
      <c r="A207" s="24" t="n">
        <v>46057</v>
      </c>
      <c r="B207" s="25" t="n">
        <v>70.56</v>
      </c>
      <c r="C207" s="25" t="n">
        <v>70.98</v>
      </c>
      <c r="D207" s="25" t="n">
        <v>70</v>
      </c>
      <c r="E207" s="25" t="n">
        <v>70.49</v>
      </c>
      <c r="F207" s="26" t="n">
        <v>16763556</v>
      </c>
      <c r="G207" s="27" t="n">
        <f aca="false">E207-E206</f>
        <v>-0.390000000000001</v>
      </c>
      <c r="H207" s="28" t="n">
        <f aca="false">G207/E206</f>
        <v>-0.00550225733634312</v>
      </c>
      <c r="I207" s="29" t="n">
        <f aca="false">MAX(G207,0)</f>
        <v>0</v>
      </c>
      <c r="J207" s="29" t="n">
        <f aca="false">MAX(-G207,0)</f>
        <v>0.390000000000001</v>
      </c>
      <c r="K207" s="29" t="n">
        <f aca="false">(K206*13+I207)/14</f>
        <v>0.43832718232091</v>
      </c>
      <c r="L207" s="29" t="n">
        <f aca="false">(L206*13+J207)/14</f>
        <v>0.430996925070536</v>
      </c>
      <c r="M207" s="31" t="n">
        <f aca="false">IF(L207=0,100,100-100/(1+K207/MAX(L207,0.000001)))</f>
        <v>50.4216066935248</v>
      </c>
      <c r="N207" s="30" t="n">
        <f aca="false">AVERAGE(E188:E207)</f>
        <v>71.4945</v>
      </c>
      <c r="O207" s="30" t="n">
        <f aca="false">AVERAGE(E158:E207)</f>
        <v>67.5632</v>
      </c>
      <c r="P207" s="30" t="n">
        <f aca="false">AVERAGE(E8:E207)</f>
        <v>67.67085</v>
      </c>
      <c r="Q207" s="30" t="n">
        <f aca="false">Q206+(2/13)*(E207-Q206)</f>
        <v>71.6706660236278</v>
      </c>
      <c r="R207" s="30" t="n">
        <f aca="false">R206+(2/27)*(E207-R206)</f>
        <v>70.4911997115975</v>
      </c>
      <c r="S207" s="33" t="n">
        <f aca="false">Q207-R207</f>
        <v>1.17946631203031</v>
      </c>
      <c r="T207" s="33" t="n">
        <f aca="false">T206+(2/10)*(S207-T206)</f>
        <v>1.54962042024275</v>
      </c>
      <c r="U207" s="33" t="n">
        <f aca="false">S207-T207</f>
        <v>-0.370154108212438</v>
      </c>
      <c r="V207" s="32" t="str">
        <f aca="false">IF(M207="","",IF(M207&lt;Assumptions!$B$5,"BUY",IF(M207&gt;Assumptions!$B$4,"SELL","HOLD")))</f>
        <v>HOLD</v>
      </c>
      <c r="W207" s="32" t="str">
        <f aca="false">IF(O207="","",IF(E207&gt;O207,"BUY","SELL"))</f>
        <v>BUY</v>
      </c>
      <c r="X207" s="32" t="str">
        <f aca="false">IF(T207="","",IF(S207&gt;T207,"BUY","SELL"))</f>
        <v>SELL</v>
      </c>
      <c r="Y207" s="34" t="n">
        <f aca="false">IF(OR(V207="",W207="",X207=""),"",IFERROR(IF(V207="BUY",1,IF(V207="SELL",-1,0))+IF(W207="BUY",1,IF(W207="SELL",-1,0))+IF(X207="BUY",1,IF(X207="SELL",-1,0)),0))</f>
        <v>0</v>
      </c>
      <c r="Z207" s="32" t="str">
        <f aca="false">IF(Y207="","",IF(Y207&gt;=2,"STRONG BUY",IF(Y207=1,"BUY",IF(Y207=0,"HOLD",IF(Y207=-1,"SELL","STRONG SELL")))))</f>
        <v>HOLD</v>
      </c>
    </row>
    <row r="208" customFormat="false" ht="15" hidden="false" customHeight="false" outlineLevel="0" collapsed="false">
      <c r="A208" s="24" t="n">
        <v>46058</v>
      </c>
      <c r="B208" s="25" t="n">
        <v>70.5</v>
      </c>
      <c r="C208" s="25" t="n">
        <v>71.09</v>
      </c>
      <c r="D208" s="25" t="n">
        <v>70.49</v>
      </c>
      <c r="E208" s="25" t="n">
        <v>70.79</v>
      </c>
      <c r="F208" s="26" t="n">
        <v>10508972</v>
      </c>
      <c r="G208" s="27" t="n">
        <f aca="false">E208-E207</f>
        <v>0.300000000000011</v>
      </c>
      <c r="H208" s="28" t="n">
        <f aca="false">G208/E207</f>
        <v>0.00425592282593292</v>
      </c>
      <c r="I208" s="29" t="n">
        <f aca="false">MAX(G208,0)</f>
        <v>0.300000000000011</v>
      </c>
      <c r="J208" s="29" t="n">
        <f aca="false">MAX(-G208,0)</f>
        <v>0</v>
      </c>
      <c r="K208" s="29" t="n">
        <f aca="false">(K207*13+I208)/14</f>
        <v>0.428446669297989</v>
      </c>
      <c r="L208" s="29" t="n">
        <f aca="false">(L207*13+J208)/14</f>
        <v>0.400211430422641</v>
      </c>
      <c r="M208" s="31" t="n">
        <f aca="false">IF(L208=0,100,100-100/(1+K208/MAX(L208,0.000001)))</f>
        <v>51.7036724123536</v>
      </c>
      <c r="N208" s="30" t="n">
        <f aca="false">AVERAGE(E189:E208)</f>
        <v>71.53</v>
      </c>
      <c r="O208" s="30" t="n">
        <f aca="false">AVERAGE(E159:E208)</f>
        <v>67.7512</v>
      </c>
      <c r="P208" s="30" t="n">
        <f aca="false">AVERAGE(E9:E208)</f>
        <v>67.6779</v>
      </c>
      <c r="Q208" s="30" t="n">
        <f aca="false">Q207+(2/13)*(E208-Q207)</f>
        <v>71.5351789430697</v>
      </c>
      <c r="R208" s="30" t="n">
        <f aca="false">R207+(2/27)*(E208-R207)</f>
        <v>70.513333066294</v>
      </c>
      <c r="S208" s="33" t="n">
        <f aca="false">Q208-R208</f>
        <v>1.02184587677571</v>
      </c>
      <c r="T208" s="33" t="n">
        <f aca="false">T207+(2/10)*(S208-T207)</f>
        <v>1.44406551154934</v>
      </c>
      <c r="U208" s="33" t="n">
        <f aca="false">S208-T208</f>
        <v>-0.422219634773631</v>
      </c>
      <c r="V208" s="32" t="str">
        <f aca="false">IF(M208="","",IF(M208&lt;Assumptions!$B$5,"BUY",IF(M208&gt;Assumptions!$B$4,"SELL","HOLD")))</f>
        <v>HOLD</v>
      </c>
      <c r="W208" s="32" t="str">
        <f aca="false">IF(O208="","",IF(E208&gt;O208,"BUY","SELL"))</f>
        <v>BUY</v>
      </c>
      <c r="X208" s="32" t="str">
        <f aca="false">IF(T208="","",IF(S208&gt;T208,"BUY","SELL"))</f>
        <v>SELL</v>
      </c>
      <c r="Y208" s="34" t="n">
        <f aca="false">IF(OR(V208="",W208="",X208=""),"",IFERROR(IF(V208="BUY",1,IF(V208="SELL",-1,0))+IF(W208="BUY",1,IF(W208="SELL",-1,0))+IF(X208="BUY",1,IF(X208="SELL",-1,0)),0))</f>
        <v>0</v>
      </c>
      <c r="Z208" s="32" t="str">
        <f aca="false">IF(Y208="","",IF(Y208&gt;=2,"STRONG BUY",IF(Y208=1,"BUY",IF(Y208=0,"HOLD",IF(Y208=-1,"SELL","STRONG SELL")))))</f>
        <v>HOLD</v>
      </c>
    </row>
    <row r="209" customFormat="false" ht="15" hidden="false" customHeight="false" outlineLevel="0" collapsed="false">
      <c r="A209" s="24" t="n">
        <v>46059</v>
      </c>
      <c r="B209" s="25" t="n">
        <v>69.05</v>
      </c>
      <c r="C209" s="25" t="n">
        <v>69.45</v>
      </c>
      <c r="D209" s="25" t="n">
        <v>69.05</v>
      </c>
      <c r="E209" s="25" t="n">
        <v>69.25</v>
      </c>
      <c r="F209" s="26" t="n">
        <v>30303677</v>
      </c>
      <c r="G209" s="27" t="n">
        <f aca="false">E209-E208</f>
        <v>-1.54000000000001</v>
      </c>
      <c r="H209" s="28" t="n">
        <f aca="false">G209/E208</f>
        <v>-0.0217544850967652</v>
      </c>
      <c r="I209" s="29" t="n">
        <f aca="false">MAX(G209,0)</f>
        <v>0</v>
      </c>
      <c r="J209" s="29" t="n">
        <f aca="false">MAX(-G209,0)</f>
        <v>1.54000000000001</v>
      </c>
      <c r="K209" s="29" t="n">
        <f aca="false">(K208*13+I209)/14</f>
        <v>0.397843335776704</v>
      </c>
      <c r="L209" s="29" t="n">
        <f aca="false">(L208*13+J209)/14</f>
        <v>0.481624899678167</v>
      </c>
      <c r="M209" s="31" t="n">
        <f aca="false">IF(L209=0,100,100-100/(1+K209/MAX(L209,0.000001)))</f>
        <v>45.2368055761485</v>
      </c>
      <c r="N209" s="30" t="n">
        <f aca="false">AVERAGE(E190:E209)</f>
        <v>71.4875</v>
      </c>
      <c r="O209" s="30" t="n">
        <f aca="false">AVERAGE(E160:E209)</f>
        <v>67.883</v>
      </c>
      <c r="P209" s="30" t="n">
        <f aca="false">AVERAGE(E10:E209)</f>
        <v>67.67425</v>
      </c>
      <c r="Q209" s="30" t="n">
        <f aca="false">Q208+(2/13)*(E209-Q208)</f>
        <v>71.1836129518282</v>
      </c>
      <c r="R209" s="30" t="n">
        <f aca="false">R208+(2/27)*(E209-R208)</f>
        <v>70.4197528391611</v>
      </c>
      <c r="S209" s="33" t="n">
        <f aca="false">Q209-R209</f>
        <v>0.763860112667118</v>
      </c>
      <c r="T209" s="33" t="n">
        <f aca="false">T208+(2/10)*(S209-T208)</f>
        <v>1.3080244317729</v>
      </c>
      <c r="U209" s="33" t="n">
        <f aca="false">S209-T209</f>
        <v>-0.544164319105782</v>
      </c>
      <c r="V209" s="32" t="str">
        <f aca="false">IF(M209="","",IF(M209&lt;Assumptions!$B$5,"BUY",IF(M209&gt;Assumptions!$B$4,"SELL","HOLD")))</f>
        <v>HOLD</v>
      </c>
      <c r="W209" s="32" t="str">
        <f aca="false">IF(O209="","",IF(E209&gt;O209,"BUY","SELL"))</f>
        <v>BUY</v>
      </c>
      <c r="X209" s="32" t="str">
        <f aca="false">IF(T209="","",IF(S209&gt;T209,"BUY","SELL"))</f>
        <v>SELL</v>
      </c>
      <c r="Y209" s="34" t="n">
        <f aca="false">IF(OR(V209="",W209="",X209=""),"",IFERROR(IF(V209="BUY",1,IF(V209="SELL",-1,0))+IF(W209="BUY",1,IF(W209="SELL",-1,0))+IF(X209="BUY",1,IF(X209="SELL",-1,0)),0))</f>
        <v>0</v>
      </c>
      <c r="Z209" s="32" t="str">
        <f aca="false">IF(Y209="","",IF(Y209&gt;=2,"STRONG BUY",IF(Y209=1,"BUY",IF(Y209=0,"HOLD",IF(Y209=-1,"SELL","STRONG SELL")))))</f>
        <v>HOLD</v>
      </c>
    </row>
    <row r="210" customFormat="false" ht="15" hidden="false" customHeight="false" outlineLevel="0" collapsed="false">
      <c r="A210" s="24" t="n">
        <v>46062</v>
      </c>
      <c r="B210" s="25" t="n">
        <v>68.99</v>
      </c>
      <c r="C210" s="25" t="n">
        <v>69.58</v>
      </c>
      <c r="D210" s="25" t="n">
        <v>68.72</v>
      </c>
      <c r="E210" s="25" t="n">
        <v>69.15</v>
      </c>
      <c r="F210" s="26" t="n">
        <v>26822666</v>
      </c>
      <c r="G210" s="27" t="n">
        <f aca="false">E210-E209</f>
        <v>-0.0999999999999943</v>
      </c>
      <c r="H210" s="28" t="n">
        <f aca="false">G210/E209</f>
        <v>-0.00144404332129956</v>
      </c>
      <c r="I210" s="29" t="n">
        <f aca="false">MAX(G210,0)</f>
        <v>0</v>
      </c>
      <c r="J210" s="29" t="n">
        <f aca="false">MAX(-G210,0)</f>
        <v>0.0999999999999943</v>
      </c>
      <c r="K210" s="29" t="n">
        <f aca="false">(K209*13+I210)/14</f>
        <v>0.369425954649797</v>
      </c>
      <c r="L210" s="29" t="n">
        <f aca="false">(L209*13+J210)/14</f>
        <v>0.454365978272583</v>
      </c>
      <c r="M210" s="31" t="n">
        <f aca="false">IF(L210=0,100,100-100/(1+K210/MAX(L210,0.000001)))</f>
        <v>44.8445705627716</v>
      </c>
      <c r="N210" s="30" t="n">
        <f aca="false">AVERAGE(E191:E210)</f>
        <v>71.4465</v>
      </c>
      <c r="O210" s="30" t="n">
        <f aca="false">AVERAGE(E161:E210)</f>
        <v>68.027</v>
      </c>
      <c r="P210" s="30" t="n">
        <f aca="false">AVERAGE(E11:E210)</f>
        <v>67.66245</v>
      </c>
      <c r="Q210" s="30" t="n">
        <f aca="false">Q209+(2/13)*(E210-Q209)</f>
        <v>70.8707494207777</v>
      </c>
      <c r="R210" s="30" t="n">
        <f aca="false">R209+(2/27)*(E210-R209)</f>
        <v>70.3256970732973</v>
      </c>
      <c r="S210" s="33" t="n">
        <f aca="false">Q210-R210</f>
        <v>0.545052347480421</v>
      </c>
      <c r="T210" s="33" t="n">
        <f aca="false">T209+(2/10)*(S210-T209)</f>
        <v>1.1554300149144</v>
      </c>
      <c r="U210" s="33" t="n">
        <f aca="false">S210-T210</f>
        <v>-0.610377667433982</v>
      </c>
      <c r="V210" s="32" t="str">
        <f aca="false">IF(M210="","",IF(M210&lt;Assumptions!$B$5,"BUY",IF(M210&gt;Assumptions!$B$4,"SELL","HOLD")))</f>
        <v>HOLD</v>
      </c>
      <c r="W210" s="32" t="str">
        <f aca="false">IF(O210="","",IF(E210&gt;O210,"BUY","SELL"))</f>
        <v>BUY</v>
      </c>
      <c r="X210" s="32" t="str">
        <f aca="false">IF(T210="","",IF(S210&gt;T210,"BUY","SELL"))</f>
        <v>SELL</v>
      </c>
      <c r="Y210" s="34" t="n">
        <f aca="false">IF(OR(V210="",W210="",X210=""),"",IFERROR(IF(V210="BUY",1,IF(V210="SELL",-1,0))+IF(W210="BUY",1,IF(W210="SELL",-1,0))+IF(X210="BUY",1,IF(X210="SELL",-1,0)),0))</f>
        <v>0</v>
      </c>
      <c r="Z210" s="32" t="str">
        <f aca="false">IF(Y210="","",IF(Y210&gt;=2,"STRONG BUY",IF(Y210=1,"BUY",IF(Y210=0,"HOLD",IF(Y210=-1,"SELL","STRONG SELL")))))</f>
        <v>HOLD</v>
      </c>
    </row>
    <row r="211" customFormat="false" ht="15" hidden="false" customHeight="false" outlineLevel="0" collapsed="false">
      <c r="A211" s="24" t="n">
        <v>46063</v>
      </c>
      <c r="B211" s="25" t="n">
        <v>69.58</v>
      </c>
      <c r="C211" s="25" t="n">
        <v>70.29</v>
      </c>
      <c r="D211" s="25" t="n">
        <v>69.13</v>
      </c>
      <c r="E211" s="25" t="n">
        <v>69.71</v>
      </c>
      <c r="F211" s="26" t="n">
        <v>38986471</v>
      </c>
      <c r="G211" s="27" t="n">
        <f aca="false">E211-E210</f>
        <v>0.559999999999988</v>
      </c>
      <c r="H211" s="28" t="n">
        <f aca="false">G211/E210</f>
        <v>0.00809833694866216</v>
      </c>
      <c r="I211" s="29" t="n">
        <f aca="false">MAX(G211,0)</f>
        <v>0.559999999999988</v>
      </c>
      <c r="J211" s="29" t="n">
        <f aca="false">MAX(-G211,0)</f>
        <v>0</v>
      </c>
      <c r="K211" s="29" t="n">
        <f aca="false">(K210*13+I211)/14</f>
        <v>0.383038386460525</v>
      </c>
      <c r="L211" s="29" t="n">
        <f aca="false">(L210*13+J211)/14</f>
        <v>0.421911265538827</v>
      </c>
      <c r="M211" s="31" t="n">
        <f aca="false">IF(L211=0,100,100-100/(1+K211/MAX(L211,0.000001)))</f>
        <v>47.5853844410176</v>
      </c>
      <c r="N211" s="30" t="n">
        <f aca="false">AVERAGE(E192:E211)</f>
        <v>71.368</v>
      </c>
      <c r="O211" s="30" t="n">
        <f aca="false">AVERAGE(E162:E211)</f>
        <v>68.1872</v>
      </c>
      <c r="P211" s="30" t="n">
        <f aca="false">AVERAGE(E12:E211)</f>
        <v>67.65495</v>
      </c>
      <c r="Q211" s="30" t="n">
        <f aca="false">Q210+(2/13)*(E211-Q210)</f>
        <v>70.6921725868119</v>
      </c>
      <c r="R211" s="30" t="n">
        <f aca="false">R210+(2/27)*(E211-R210)</f>
        <v>70.2800898826827</v>
      </c>
      <c r="S211" s="33" t="n">
        <f aca="false">Q211-R211</f>
        <v>0.412082704129233</v>
      </c>
      <c r="T211" s="33" t="n">
        <f aca="false">T210+(2/10)*(S211-T210)</f>
        <v>1.00676055275737</v>
      </c>
      <c r="U211" s="33" t="n">
        <f aca="false">S211-T211</f>
        <v>-0.594677848628137</v>
      </c>
      <c r="V211" s="32" t="str">
        <f aca="false">IF(M211="","",IF(M211&lt;Assumptions!$B$5,"BUY",IF(M211&gt;Assumptions!$B$4,"SELL","HOLD")))</f>
        <v>HOLD</v>
      </c>
      <c r="W211" s="32" t="str">
        <f aca="false">IF(O211="","",IF(E211&gt;O211,"BUY","SELL"))</f>
        <v>BUY</v>
      </c>
      <c r="X211" s="32" t="str">
        <f aca="false">IF(T211="","",IF(S211&gt;T211,"BUY","SELL"))</f>
        <v>SELL</v>
      </c>
      <c r="Y211" s="34" t="n">
        <f aca="false">IF(OR(V211="",W211="",X211=""),"",IFERROR(IF(V211="BUY",1,IF(V211="SELL",-1,0))+IF(W211="BUY",1,IF(W211="SELL",-1,0))+IF(X211="BUY",1,IF(X211="SELL",-1,0)),0))</f>
        <v>0</v>
      </c>
      <c r="Z211" s="32" t="str">
        <f aca="false">IF(Y211="","",IF(Y211&gt;=2,"STRONG BUY",IF(Y211=1,"BUY",IF(Y211=0,"HOLD",IF(Y211=-1,"SELL","STRONG SELL")))))</f>
        <v>HOLD</v>
      </c>
    </row>
    <row r="212" customFormat="false" ht="15" hidden="false" customHeight="false" outlineLevel="0" collapsed="false">
      <c r="A212" s="24" t="n">
        <v>46064</v>
      </c>
      <c r="B212" s="25" t="n">
        <v>68.74</v>
      </c>
      <c r="C212" s="25" t="n">
        <v>69.02</v>
      </c>
      <c r="D212" s="25" t="n">
        <v>68.74</v>
      </c>
      <c r="E212" s="25" t="n">
        <v>68.88</v>
      </c>
      <c r="F212" s="26" t="n">
        <v>25853511</v>
      </c>
      <c r="G212" s="27" t="n">
        <f aca="false">E212-E211</f>
        <v>-0.829999999999998</v>
      </c>
      <c r="H212" s="28" t="n">
        <f aca="false">G212/E211</f>
        <v>-0.0119064696600201</v>
      </c>
      <c r="I212" s="29" t="n">
        <f aca="false">MAX(G212,0)</f>
        <v>0</v>
      </c>
      <c r="J212" s="29" t="n">
        <f aca="false">MAX(-G212,0)</f>
        <v>0.829999999999998</v>
      </c>
      <c r="K212" s="29" t="n">
        <f aca="false">(K211*13+I212)/14</f>
        <v>0.355678501713344</v>
      </c>
      <c r="L212" s="29" t="n">
        <f aca="false">(L211*13+J212)/14</f>
        <v>0.451060460857482</v>
      </c>
      <c r="M212" s="31" t="n">
        <f aca="false">IF(L212=0,100,100-100/(1+K212/MAX(L212,0.000001)))</f>
        <v>44.0884249075943</v>
      </c>
      <c r="N212" s="30" t="n">
        <f aca="false">AVERAGE(E193:E212)</f>
        <v>71.288</v>
      </c>
      <c r="O212" s="30" t="n">
        <f aca="false">AVERAGE(E163:E212)</f>
        <v>68.2962</v>
      </c>
      <c r="P212" s="30" t="n">
        <f aca="false">AVERAGE(E13:E212)</f>
        <v>67.65165</v>
      </c>
      <c r="Q212" s="30" t="n">
        <f aca="false">Q211+(2/13)*(E212-Q211)</f>
        <v>70.4133768042255</v>
      </c>
      <c r="R212" s="30" t="n">
        <f aca="false">R211+(2/27)*(E212-R211)</f>
        <v>70.1763795210025</v>
      </c>
      <c r="S212" s="33" t="n">
        <f aca="false">Q212-R212</f>
        <v>0.236997283222991</v>
      </c>
      <c r="T212" s="33" t="n">
        <f aca="false">T211+(2/10)*(S212-T211)</f>
        <v>0.852807898850494</v>
      </c>
      <c r="U212" s="33" t="n">
        <f aca="false">S212-T212</f>
        <v>-0.615810615627503</v>
      </c>
      <c r="V212" s="32" t="str">
        <f aca="false">IF(M212="","",IF(M212&lt;Assumptions!$B$5,"BUY",IF(M212&gt;Assumptions!$B$4,"SELL","HOLD")))</f>
        <v>HOLD</v>
      </c>
      <c r="W212" s="32" t="str">
        <f aca="false">IF(O212="","",IF(E212&gt;O212,"BUY","SELL"))</f>
        <v>BUY</v>
      </c>
      <c r="X212" s="32" t="str">
        <f aca="false">IF(T212="","",IF(S212&gt;T212,"BUY","SELL"))</f>
        <v>SELL</v>
      </c>
      <c r="Y212" s="34" t="n">
        <f aca="false">IF(OR(V212="",W212="",X212=""),"",IFERROR(IF(V212="BUY",1,IF(V212="SELL",-1,0))+IF(W212="BUY",1,IF(W212="SELL",-1,0))+IF(X212="BUY",1,IF(X212="SELL",-1,0)),0))</f>
        <v>0</v>
      </c>
      <c r="Z212" s="32" t="str">
        <f aca="false">IF(Y212="","",IF(Y212&gt;=2,"STRONG BUY",IF(Y212=1,"BUY",IF(Y212=0,"HOLD",IF(Y212=-1,"SELL","STRONG SELL")))))</f>
        <v>HOLD</v>
      </c>
    </row>
    <row r="213" customFormat="false" ht="15" hidden="false" customHeight="false" outlineLevel="0" collapsed="false">
      <c r="A213" s="24" t="n">
        <v>46065</v>
      </c>
      <c r="B213" s="25" t="n">
        <v>68.13</v>
      </c>
      <c r="C213" s="25" t="n">
        <v>68.13</v>
      </c>
      <c r="D213" s="25" t="n">
        <v>67.95</v>
      </c>
      <c r="E213" s="25" t="n">
        <v>68.04</v>
      </c>
      <c r="F213" s="26" t="n">
        <v>32756127</v>
      </c>
      <c r="G213" s="27" t="n">
        <f aca="false">E213-E212</f>
        <v>-0.839999999999989</v>
      </c>
      <c r="H213" s="28" t="n">
        <f aca="false">G213/E212</f>
        <v>-0.0121951219512194</v>
      </c>
      <c r="I213" s="29" t="n">
        <f aca="false">MAX(G213,0)</f>
        <v>0</v>
      </c>
      <c r="J213" s="29" t="n">
        <f aca="false">MAX(-G213,0)</f>
        <v>0.839999999999989</v>
      </c>
      <c r="K213" s="29" t="n">
        <f aca="false">(K212*13+I213)/14</f>
        <v>0.330272894448105</v>
      </c>
      <c r="L213" s="29" t="n">
        <f aca="false">(L212*13+J213)/14</f>
        <v>0.478841856510518</v>
      </c>
      <c r="M213" s="31" t="n">
        <f aca="false">IF(L213=0,100,100-100/(1+K213/MAX(L213,0.000001)))</f>
        <v>40.8190425470311</v>
      </c>
      <c r="N213" s="30" t="n">
        <f aca="false">AVERAGE(E194:E213)</f>
        <v>71.171</v>
      </c>
      <c r="O213" s="30" t="n">
        <f aca="false">AVERAGE(E164:E213)</f>
        <v>68.415</v>
      </c>
      <c r="P213" s="30" t="n">
        <f aca="false">AVERAGE(E14:E213)</f>
        <v>67.6445</v>
      </c>
      <c r="Q213" s="30" t="n">
        <f aca="false">Q212+(2/13)*(E213-Q212)</f>
        <v>70.0482419112677</v>
      </c>
      <c r="R213" s="30" t="n">
        <f aca="false">R212+(2/27)*(E213-R212)</f>
        <v>70.0181291861134</v>
      </c>
      <c r="S213" s="33" t="n">
        <f aca="false">Q213-R213</f>
        <v>0.0301127251543107</v>
      </c>
      <c r="T213" s="33" t="n">
        <f aca="false">T212+(2/10)*(S213-T212)</f>
        <v>0.688268864111257</v>
      </c>
      <c r="U213" s="33" t="n">
        <f aca="false">S213-T213</f>
        <v>-0.658156138956946</v>
      </c>
      <c r="V213" s="32" t="str">
        <f aca="false">IF(M213="","",IF(M213&lt;Assumptions!$B$5,"BUY",IF(M213&gt;Assumptions!$B$4,"SELL","HOLD")))</f>
        <v>HOLD</v>
      </c>
      <c r="W213" s="32" t="str">
        <f aca="false">IF(O213="","",IF(E213&gt;O213,"BUY","SELL"))</f>
        <v>SELL</v>
      </c>
      <c r="X213" s="32" t="str">
        <f aca="false">IF(T213="","",IF(S213&gt;T213,"BUY","SELL"))</f>
        <v>SELL</v>
      </c>
      <c r="Y213" s="34" t="n">
        <f aca="false">IF(OR(V213="",W213="",X213=""),"",IFERROR(IF(V213="BUY",1,IF(V213="SELL",-1,0))+IF(W213="BUY",1,IF(W213="SELL",-1,0))+IF(X213="BUY",1,IF(X213="SELL",-1,0)),0))</f>
        <v>-2</v>
      </c>
      <c r="Z213" s="32" t="str">
        <f aca="false">IF(Y213="","",IF(Y213&gt;=2,"STRONG BUY",IF(Y213=1,"BUY",IF(Y213=0,"HOLD",IF(Y213=-1,"SELL","STRONG SELL")))))</f>
        <v>STRONG SELL</v>
      </c>
    </row>
    <row r="214" customFormat="false" ht="15" hidden="false" customHeight="false" outlineLevel="0" collapsed="false">
      <c r="A214" s="24" t="n">
        <v>46066</v>
      </c>
      <c r="B214" s="25" t="n">
        <v>67.09</v>
      </c>
      <c r="C214" s="25" t="n">
        <v>67.09</v>
      </c>
      <c r="D214" s="25" t="n">
        <v>66.79</v>
      </c>
      <c r="E214" s="25" t="n">
        <v>66.94</v>
      </c>
      <c r="F214" s="26" t="n">
        <v>26582692</v>
      </c>
      <c r="G214" s="27" t="n">
        <f aca="false">E214-E213</f>
        <v>-1.10000000000001</v>
      </c>
      <c r="H214" s="28" t="n">
        <f aca="false">G214/E213</f>
        <v>-0.0161669606114052</v>
      </c>
      <c r="I214" s="29" t="n">
        <f aca="false">MAX(G214,0)</f>
        <v>0</v>
      </c>
      <c r="J214" s="29" t="n">
        <f aca="false">MAX(-G214,0)</f>
        <v>1.10000000000001</v>
      </c>
      <c r="K214" s="29" t="n">
        <f aca="false">(K213*13+I214)/14</f>
        <v>0.306681973416098</v>
      </c>
      <c r="L214" s="29" t="n">
        <f aca="false">(L213*13+J214)/14</f>
        <v>0.523210295331196</v>
      </c>
      <c r="M214" s="31" t="n">
        <f aca="false">IF(L214=0,100,100-100/(1+K214/MAX(L214,0.000001)))</f>
        <v>36.9544319142807</v>
      </c>
      <c r="N214" s="30" t="n">
        <f aca="false">AVERAGE(E195:E214)</f>
        <v>71.0025</v>
      </c>
      <c r="O214" s="30" t="n">
        <f aca="false">AVERAGE(E165:E214)</f>
        <v>68.5126</v>
      </c>
      <c r="P214" s="30" t="n">
        <f aca="false">AVERAGE(E15:E214)</f>
        <v>67.62755</v>
      </c>
      <c r="Q214" s="30" t="n">
        <f aca="false">Q213+(2/13)*(E214-Q213)</f>
        <v>69.5700508479957</v>
      </c>
      <c r="R214" s="30" t="n">
        <f aca="false">R213+(2/27)*(E214-R213)</f>
        <v>69.7901196167717</v>
      </c>
      <c r="S214" s="33" t="n">
        <f aca="false">Q214-R214</f>
        <v>-0.220068768775903</v>
      </c>
      <c r="T214" s="33" t="n">
        <f aca="false">T213+(2/10)*(S214-T213)</f>
        <v>0.506601337533825</v>
      </c>
      <c r="U214" s="33" t="n">
        <f aca="false">S214-T214</f>
        <v>-0.726670106309728</v>
      </c>
      <c r="V214" s="32" t="str">
        <f aca="false">IF(M214="","",IF(M214&lt;Assumptions!$B$5,"BUY",IF(M214&gt;Assumptions!$B$4,"SELL","HOLD")))</f>
        <v>HOLD</v>
      </c>
      <c r="W214" s="32" t="str">
        <f aca="false">IF(O214="","",IF(E214&gt;O214,"BUY","SELL"))</f>
        <v>SELL</v>
      </c>
      <c r="X214" s="32" t="str">
        <f aca="false">IF(T214="","",IF(S214&gt;T214,"BUY","SELL"))</f>
        <v>SELL</v>
      </c>
      <c r="Y214" s="34" t="n">
        <f aca="false">IF(OR(V214="",W214="",X214=""),"",IFERROR(IF(V214="BUY",1,IF(V214="SELL",-1,0))+IF(W214="BUY",1,IF(W214="SELL",-1,0))+IF(X214="BUY",1,IF(X214="SELL",-1,0)),0))</f>
        <v>-2</v>
      </c>
      <c r="Z214" s="32" t="str">
        <f aca="false">IF(Y214="","",IF(Y214&gt;=2,"STRONG BUY",IF(Y214=1,"BUY",IF(Y214=0,"HOLD",IF(Y214=-1,"SELL","STRONG SELL")))))</f>
        <v>STRONG SELL</v>
      </c>
    </row>
    <row r="215" customFormat="false" ht="15" hidden="false" customHeight="false" outlineLevel="0" collapsed="false">
      <c r="A215" s="24" t="n">
        <v>46069</v>
      </c>
      <c r="B215" s="25" t="n">
        <v>66.66</v>
      </c>
      <c r="C215" s="25" t="n">
        <v>67.12</v>
      </c>
      <c r="D215" s="25" t="n">
        <v>66.48</v>
      </c>
      <c r="E215" s="25" t="n">
        <v>66.8</v>
      </c>
      <c r="F215" s="26" t="n">
        <v>15538927</v>
      </c>
      <c r="G215" s="27" t="n">
        <f aca="false">E215-E214</f>
        <v>-0.140000000000001</v>
      </c>
      <c r="H215" s="28" t="n">
        <f aca="false">G215/E214</f>
        <v>-0.0020914251568569</v>
      </c>
      <c r="I215" s="29" t="n">
        <f aca="false">MAX(G215,0)</f>
        <v>0</v>
      </c>
      <c r="J215" s="29" t="n">
        <f aca="false">MAX(-G215,0)</f>
        <v>0.140000000000001</v>
      </c>
      <c r="K215" s="29" t="n">
        <f aca="false">(K214*13+I215)/14</f>
        <v>0.284776118172091</v>
      </c>
      <c r="L215" s="29" t="n">
        <f aca="false">(L214*13+J215)/14</f>
        <v>0.495838131378968</v>
      </c>
      <c r="M215" s="31" t="n">
        <f aca="false">IF(L215=0,100,100-100/(1+K215/MAX(L215,0.000001)))</f>
        <v>36.4810299499233</v>
      </c>
      <c r="N215" s="30" t="n">
        <f aca="false">AVERAGE(E196:E215)</f>
        <v>70.828</v>
      </c>
      <c r="O215" s="30" t="n">
        <f aca="false">AVERAGE(E166:E215)</f>
        <v>68.604</v>
      </c>
      <c r="P215" s="30" t="n">
        <f aca="false">AVERAGE(E16:E215)</f>
        <v>67.60975</v>
      </c>
      <c r="Q215" s="30" t="n">
        <f aca="false">Q214+(2/13)*(E215-Q214)</f>
        <v>69.1438891790733</v>
      </c>
      <c r="R215" s="30" t="n">
        <f aca="false">R214+(2/27)*(E215-R214)</f>
        <v>69.5686292747886</v>
      </c>
      <c r="S215" s="33" t="n">
        <f aca="false">Q215-R215</f>
        <v>-0.424740095715237</v>
      </c>
      <c r="T215" s="33" t="n">
        <f aca="false">T214+(2/10)*(S215-T214)</f>
        <v>0.320333050884013</v>
      </c>
      <c r="U215" s="33" t="n">
        <f aca="false">S215-T215</f>
        <v>-0.745073146599249</v>
      </c>
      <c r="V215" s="32" t="str">
        <f aca="false">IF(M215="","",IF(M215&lt;Assumptions!$B$5,"BUY",IF(M215&gt;Assumptions!$B$4,"SELL","HOLD")))</f>
        <v>HOLD</v>
      </c>
      <c r="W215" s="32" t="str">
        <f aca="false">IF(O215="","",IF(E215&gt;O215,"BUY","SELL"))</f>
        <v>SELL</v>
      </c>
      <c r="X215" s="32" t="str">
        <f aca="false">IF(T215="","",IF(S215&gt;T215,"BUY","SELL"))</f>
        <v>SELL</v>
      </c>
      <c r="Y215" s="34" t="n">
        <f aca="false">IF(OR(V215="",W215="",X215=""),"",IFERROR(IF(V215="BUY",1,IF(V215="SELL",-1,0))+IF(W215="BUY",1,IF(W215="SELL",-1,0))+IF(X215="BUY",1,IF(X215="SELL",-1,0)),0))</f>
        <v>-2</v>
      </c>
      <c r="Z215" s="32" t="str">
        <f aca="false">IF(Y215="","",IF(Y215&gt;=2,"STRONG BUY",IF(Y215=1,"BUY",IF(Y215=0,"HOLD",IF(Y215=-1,"SELL","STRONG SELL")))))</f>
        <v>STRONG SELL</v>
      </c>
    </row>
    <row r="216" customFormat="false" ht="15" hidden="false" customHeight="false" outlineLevel="0" collapsed="false">
      <c r="A216" s="24" t="n">
        <v>46070</v>
      </c>
      <c r="B216" s="25" t="n">
        <v>67.35</v>
      </c>
      <c r="C216" s="25" t="n">
        <v>67.35</v>
      </c>
      <c r="D216" s="25" t="n">
        <v>67.19</v>
      </c>
      <c r="E216" s="25" t="n">
        <v>67.27</v>
      </c>
      <c r="F216" s="26" t="n">
        <v>32067202</v>
      </c>
      <c r="G216" s="27" t="n">
        <f aca="false">E216-E215</f>
        <v>0.469999999999999</v>
      </c>
      <c r="H216" s="28" t="n">
        <f aca="false">G216/E215</f>
        <v>0.00703592814371256</v>
      </c>
      <c r="I216" s="29" t="n">
        <f aca="false">MAX(G216,0)</f>
        <v>0.469999999999999</v>
      </c>
      <c r="J216" s="29" t="n">
        <f aca="false">MAX(-G216,0)</f>
        <v>0</v>
      </c>
      <c r="K216" s="29" t="n">
        <f aca="false">(K215*13+I216)/14</f>
        <v>0.298006395445513</v>
      </c>
      <c r="L216" s="29" t="n">
        <f aca="false">(L215*13+J216)/14</f>
        <v>0.460421121994756</v>
      </c>
      <c r="M216" s="31" t="n">
        <f aca="false">IF(L216=0,100,100-100/(1+K216/MAX(L216,0.000001)))</f>
        <v>39.2926665492438</v>
      </c>
      <c r="N216" s="30" t="n">
        <f aca="false">AVERAGE(E197:E216)</f>
        <v>70.58</v>
      </c>
      <c r="O216" s="30" t="n">
        <f aca="false">AVERAGE(E167:E216)</f>
        <v>68.7014</v>
      </c>
      <c r="P216" s="30" t="n">
        <f aca="false">AVERAGE(E17:E216)</f>
        <v>67.5926</v>
      </c>
      <c r="Q216" s="30" t="n">
        <f aca="false">Q215+(2/13)*(E216-Q215)</f>
        <v>68.855598536139</v>
      </c>
      <c r="R216" s="30" t="n">
        <f aca="false">R215+(2/27)*(E216-R215)</f>
        <v>69.398360439619</v>
      </c>
      <c r="S216" s="33" t="n">
        <f aca="false">Q216-R216</f>
        <v>-0.54276190348007</v>
      </c>
      <c r="T216" s="33" t="n">
        <f aca="false">T215+(2/10)*(S216-T215)</f>
        <v>0.147714060011196</v>
      </c>
      <c r="U216" s="33" t="n">
        <f aca="false">S216-T216</f>
        <v>-0.690475963491266</v>
      </c>
      <c r="V216" s="32" t="str">
        <f aca="false">IF(M216="","",IF(M216&lt;Assumptions!$B$5,"BUY",IF(M216&gt;Assumptions!$B$4,"SELL","HOLD")))</f>
        <v>HOLD</v>
      </c>
      <c r="W216" s="32" t="str">
        <f aca="false">IF(O216="","",IF(E216&gt;O216,"BUY","SELL"))</f>
        <v>SELL</v>
      </c>
      <c r="X216" s="32" t="str">
        <f aca="false">IF(T216="","",IF(S216&gt;T216,"BUY","SELL"))</f>
        <v>SELL</v>
      </c>
      <c r="Y216" s="34" t="n">
        <f aca="false">IF(OR(V216="",W216="",X216=""),"",IFERROR(IF(V216="BUY",1,IF(V216="SELL",-1,0))+IF(W216="BUY",1,IF(W216="SELL",-1,0))+IF(X216="BUY",1,IF(X216="SELL",-1,0)),0))</f>
        <v>-2</v>
      </c>
      <c r="Z216" s="32" t="str">
        <f aca="false">IF(Y216="","",IF(Y216&gt;=2,"STRONG BUY",IF(Y216=1,"BUY",IF(Y216=0,"HOLD",IF(Y216=-1,"SELL","STRONG SELL")))))</f>
        <v>STRONG SELL</v>
      </c>
    </row>
    <row r="217" customFormat="false" ht="15" hidden="false" customHeight="false" outlineLevel="0" collapsed="false">
      <c r="A217" s="24" t="n">
        <v>46071</v>
      </c>
      <c r="B217" s="25" t="n">
        <v>70.4</v>
      </c>
      <c r="C217" s="25" t="n">
        <v>70.4</v>
      </c>
      <c r="D217" s="25" t="n">
        <v>69.82</v>
      </c>
      <c r="E217" s="25" t="n">
        <v>70.11</v>
      </c>
      <c r="F217" s="26" t="n">
        <v>8685732</v>
      </c>
      <c r="G217" s="27" t="n">
        <f aca="false">E217-E216</f>
        <v>2.84</v>
      </c>
      <c r="H217" s="28" t="n">
        <f aca="false">G217/E216</f>
        <v>0.0422179277538279</v>
      </c>
      <c r="I217" s="29" t="n">
        <f aca="false">MAX(G217,0)</f>
        <v>2.84</v>
      </c>
      <c r="J217" s="29" t="n">
        <f aca="false">MAX(-G217,0)</f>
        <v>0</v>
      </c>
      <c r="K217" s="29" t="n">
        <f aca="false">(K216*13+I217)/14</f>
        <v>0.479577367199405</v>
      </c>
      <c r="L217" s="29" t="n">
        <f aca="false">(L216*13+J217)/14</f>
        <v>0.427533898995131</v>
      </c>
      <c r="M217" s="31" t="n">
        <f aca="false">IF(L217=0,100,100-100/(1+K217/MAX(L217,0.000001)))</f>
        <v>52.868637516906</v>
      </c>
      <c r="N217" s="30" t="n">
        <f aca="false">AVERAGE(E198:E217)</f>
        <v>70.5215</v>
      </c>
      <c r="O217" s="30" t="n">
        <f aca="false">AVERAGE(E168:E217)</f>
        <v>68.8728</v>
      </c>
      <c r="P217" s="30" t="n">
        <f aca="false">AVERAGE(E18:E217)</f>
        <v>67.59865</v>
      </c>
      <c r="Q217" s="30" t="n">
        <f aca="false">Q216+(2/13)*(E217-Q216)</f>
        <v>69.048583376733</v>
      </c>
      <c r="R217" s="30" t="n">
        <f aca="false">R216+(2/27)*(E217-R216)</f>
        <v>69.4510744811287</v>
      </c>
      <c r="S217" s="33" t="n">
        <f aca="false">Q217-R217</f>
        <v>-0.402491104395764</v>
      </c>
      <c r="T217" s="33" t="n">
        <f aca="false">T216+(2/10)*(S217-T216)</f>
        <v>0.0376730271298041</v>
      </c>
      <c r="U217" s="33" t="n">
        <f aca="false">S217-T217</f>
        <v>-0.440164131525569</v>
      </c>
      <c r="V217" s="32" t="str">
        <f aca="false">IF(M217="","",IF(M217&lt;Assumptions!$B$5,"BUY",IF(M217&gt;Assumptions!$B$4,"SELL","HOLD")))</f>
        <v>HOLD</v>
      </c>
      <c r="W217" s="32" t="str">
        <f aca="false">IF(O217="","",IF(E217&gt;O217,"BUY","SELL"))</f>
        <v>BUY</v>
      </c>
      <c r="X217" s="32" t="str">
        <f aca="false">IF(T217="","",IF(S217&gt;T217,"BUY","SELL"))</f>
        <v>SELL</v>
      </c>
      <c r="Y217" s="34" t="n">
        <f aca="false">IF(OR(V217="",W217="",X217=""),"",IFERROR(IF(V217="BUY",1,IF(V217="SELL",-1,0))+IF(W217="BUY",1,IF(W217="SELL",-1,0))+IF(X217="BUY",1,IF(X217="SELL",-1,0)),0))</f>
        <v>0</v>
      </c>
      <c r="Z217" s="32" t="str">
        <f aca="false">IF(Y217="","",IF(Y217&gt;=2,"STRONG BUY",IF(Y217=1,"BUY",IF(Y217=0,"HOLD",IF(Y217=-1,"SELL","STRONG SELL")))))</f>
        <v>HOLD</v>
      </c>
    </row>
    <row r="218" customFormat="false" ht="15" hidden="false" customHeight="false" outlineLevel="0" collapsed="false">
      <c r="A218" s="24" t="n">
        <v>46072</v>
      </c>
      <c r="B218" s="25" t="n">
        <v>71.46</v>
      </c>
      <c r="C218" s="25" t="n">
        <v>71.46</v>
      </c>
      <c r="D218" s="25" t="n">
        <v>71.24</v>
      </c>
      <c r="E218" s="25" t="n">
        <v>71.35</v>
      </c>
      <c r="F218" s="26" t="n">
        <v>19109175</v>
      </c>
      <c r="G218" s="27" t="n">
        <f aca="false">E218-E217</f>
        <v>1.23999999999999</v>
      </c>
      <c r="H218" s="28" t="n">
        <f aca="false">G218/E217</f>
        <v>0.0176864926544002</v>
      </c>
      <c r="I218" s="29" t="n">
        <f aca="false">MAX(G218,0)</f>
        <v>1.23999999999999</v>
      </c>
      <c r="J218" s="29" t="n">
        <f aca="false">MAX(-G218,0)</f>
        <v>0</v>
      </c>
      <c r="K218" s="29" t="n">
        <f aca="false">(K217*13+I218)/14</f>
        <v>0.533893269542304</v>
      </c>
      <c r="L218" s="29" t="n">
        <f aca="false">(L217*13+J218)/14</f>
        <v>0.396995763352621</v>
      </c>
      <c r="M218" s="31" t="n">
        <f aca="false">IF(L218=0,100,100-100/(1+K218/MAX(L218,0.000001)))</f>
        <v>57.3530518328244</v>
      </c>
      <c r="N218" s="30" t="n">
        <f aca="false">AVERAGE(E199:E218)</f>
        <v>70.391</v>
      </c>
      <c r="O218" s="30" t="n">
        <f aca="false">AVERAGE(E169:E218)</f>
        <v>69.051</v>
      </c>
      <c r="P218" s="30" t="n">
        <f aca="false">AVERAGE(E19:E218)</f>
        <v>67.61515</v>
      </c>
      <c r="Q218" s="30" t="n">
        <f aca="false">Q217+(2/13)*(E218-Q217)</f>
        <v>69.4026474726202</v>
      </c>
      <c r="R218" s="30" t="n">
        <f aca="false">R217+(2/27)*(E218-R217)</f>
        <v>69.5917356306748</v>
      </c>
      <c r="S218" s="33" t="n">
        <f aca="false">Q218-R218</f>
        <v>-0.189088158054545</v>
      </c>
      <c r="T218" s="33" t="n">
        <f aca="false">T217+(2/10)*(S218-T217)</f>
        <v>-0.00767920990706581</v>
      </c>
      <c r="U218" s="33" t="n">
        <f aca="false">S218-T218</f>
        <v>-0.18140894814748</v>
      </c>
      <c r="V218" s="32" t="str">
        <f aca="false">IF(M218="","",IF(M218&lt;Assumptions!$B$5,"BUY",IF(M218&gt;Assumptions!$B$4,"SELL","HOLD")))</f>
        <v>HOLD</v>
      </c>
      <c r="W218" s="32" t="str">
        <f aca="false">IF(O218="","",IF(E218&gt;O218,"BUY","SELL"))</f>
        <v>BUY</v>
      </c>
      <c r="X218" s="32" t="str">
        <f aca="false">IF(T218="","",IF(S218&gt;T218,"BUY","SELL"))</f>
        <v>SELL</v>
      </c>
      <c r="Y218" s="34" t="n">
        <f aca="false">IF(OR(V218="",W218="",X218=""),"",IFERROR(IF(V218="BUY",1,IF(V218="SELL",-1,0))+IF(W218="BUY",1,IF(W218="SELL",-1,0))+IF(X218="BUY",1,IF(X218="SELL",-1,0)),0))</f>
        <v>0</v>
      </c>
      <c r="Z218" s="32" t="str">
        <f aca="false">IF(Y218="","",IF(Y218&gt;=2,"STRONG BUY",IF(Y218=1,"BUY",IF(Y218=0,"HOLD",IF(Y218=-1,"SELL","STRONG SELL")))))</f>
        <v>HOLD</v>
      </c>
    </row>
    <row r="219" customFormat="false" ht="15" hidden="false" customHeight="false" outlineLevel="0" collapsed="false">
      <c r="A219" s="24" t="n">
        <v>46073</v>
      </c>
      <c r="B219" s="25" t="n">
        <v>69.97</v>
      </c>
      <c r="C219" s="25" t="n">
        <v>70.27</v>
      </c>
      <c r="D219" s="25" t="n">
        <v>69.77</v>
      </c>
      <c r="E219" s="25" t="n">
        <v>70.02</v>
      </c>
      <c r="F219" s="26" t="n">
        <v>20253110</v>
      </c>
      <c r="G219" s="27" t="n">
        <f aca="false">E219-E218</f>
        <v>-1.33</v>
      </c>
      <c r="H219" s="28" t="n">
        <f aca="false">G219/E218</f>
        <v>-0.0186405045550105</v>
      </c>
      <c r="I219" s="29" t="n">
        <f aca="false">MAX(G219,0)</f>
        <v>0</v>
      </c>
      <c r="J219" s="29" t="n">
        <f aca="false">MAX(-G219,0)</f>
        <v>1.33</v>
      </c>
      <c r="K219" s="29" t="n">
        <f aca="false">(K218*13+I219)/14</f>
        <v>0.495758036003568</v>
      </c>
      <c r="L219" s="29" t="n">
        <f aca="false">(L218*13+J219)/14</f>
        <v>0.463638923113148</v>
      </c>
      <c r="M219" s="31" t="n">
        <f aca="false">IF(L219=0,100,100-100/(1+K219/MAX(L219,0.000001)))</f>
        <v>51.6739219665649</v>
      </c>
      <c r="N219" s="30" t="n">
        <f aca="false">AVERAGE(E200:E219)</f>
        <v>70.23</v>
      </c>
      <c r="O219" s="30" t="n">
        <f aca="false">AVERAGE(E170:E219)</f>
        <v>69.1858</v>
      </c>
      <c r="P219" s="30" t="n">
        <f aca="false">AVERAGE(E20:E219)</f>
        <v>67.6222</v>
      </c>
      <c r="Q219" s="30" t="n">
        <f aca="false">Q218+(2/13)*(E219-Q218)</f>
        <v>69.4976247845248</v>
      </c>
      <c r="R219" s="30" t="n">
        <f aca="false">R218+(2/27)*(E219-R218)</f>
        <v>69.6234589172914</v>
      </c>
      <c r="S219" s="33" t="n">
        <f aca="false">Q219-R219</f>
        <v>-0.125834132766641</v>
      </c>
      <c r="T219" s="33" t="n">
        <f aca="false">T218+(2/10)*(S219-T218)</f>
        <v>-0.0313101944789809</v>
      </c>
      <c r="U219" s="33" t="n">
        <f aca="false">S219-T219</f>
        <v>-0.0945239382876605</v>
      </c>
      <c r="V219" s="32" t="str">
        <f aca="false">IF(M219="","",IF(M219&lt;Assumptions!$B$5,"BUY",IF(M219&gt;Assumptions!$B$4,"SELL","HOLD")))</f>
        <v>HOLD</v>
      </c>
      <c r="W219" s="32" t="str">
        <f aca="false">IF(O219="","",IF(E219&gt;O219,"BUY","SELL"))</f>
        <v>BUY</v>
      </c>
      <c r="X219" s="32" t="str">
        <f aca="false">IF(T219="","",IF(S219&gt;T219,"BUY","SELL"))</f>
        <v>SELL</v>
      </c>
      <c r="Y219" s="34" t="n">
        <f aca="false">IF(OR(V219="",W219="",X219=""),"",IFERROR(IF(V219="BUY",1,IF(V219="SELL",-1,0))+IF(W219="BUY",1,IF(W219="SELL",-1,0))+IF(X219="BUY",1,IF(X219="SELL",-1,0)),0))</f>
        <v>0</v>
      </c>
      <c r="Z219" s="32" t="str">
        <f aca="false">IF(Y219="","",IF(Y219&gt;=2,"STRONG BUY",IF(Y219=1,"BUY",IF(Y219=0,"HOLD",IF(Y219=-1,"SELL","STRONG SELL")))))</f>
        <v>HOLD</v>
      </c>
    </row>
    <row r="220" customFormat="false" ht="15" hidden="false" customHeight="false" outlineLevel="0" collapsed="false">
      <c r="A220" s="24" t="n">
        <v>46076</v>
      </c>
      <c r="B220" s="25" t="n">
        <v>68.13</v>
      </c>
      <c r="C220" s="25" t="n">
        <v>68.75</v>
      </c>
      <c r="D220" s="25" t="n">
        <v>68.11</v>
      </c>
      <c r="E220" s="25" t="n">
        <v>68.43</v>
      </c>
      <c r="F220" s="26" t="n">
        <v>11349501</v>
      </c>
      <c r="G220" s="27" t="n">
        <f aca="false">E220-E219</f>
        <v>-1.58999999999999</v>
      </c>
      <c r="H220" s="28" t="n">
        <f aca="false">G220/E219</f>
        <v>-0.022707797772065</v>
      </c>
      <c r="I220" s="29" t="n">
        <f aca="false">MAX(G220,0)</f>
        <v>0</v>
      </c>
      <c r="J220" s="29" t="n">
        <f aca="false">MAX(-G220,0)</f>
        <v>1.58999999999999</v>
      </c>
      <c r="K220" s="29" t="n">
        <f aca="false">(K219*13+I220)/14</f>
        <v>0.460346747717599</v>
      </c>
      <c r="L220" s="29" t="n">
        <f aca="false">(L219*13+J220)/14</f>
        <v>0.544093285747923</v>
      </c>
      <c r="M220" s="31" t="n">
        <f aca="false">IF(L220=0,100,100-100/(1+K220/MAX(L220,0.000001)))</f>
        <v>45.8311827864238</v>
      </c>
      <c r="N220" s="30" t="n">
        <f aca="false">AVERAGE(E201:E220)</f>
        <v>70.034</v>
      </c>
      <c r="O220" s="30" t="n">
        <f aca="false">AVERAGE(E171:E220)</f>
        <v>69.2538</v>
      </c>
      <c r="P220" s="30" t="n">
        <f aca="false">AVERAGE(E21:E220)</f>
        <v>67.61725</v>
      </c>
      <c r="Q220" s="30" t="n">
        <f aca="false">Q219+(2/13)*(E220-Q219)</f>
        <v>69.3333748176748</v>
      </c>
      <c r="R220" s="30" t="n">
        <f aca="false">R219+(2/27)*(E220-R219)</f>
        <v>69.5350545530476</v>
      </c>
      <c r="S220" s="33" t="n">
        <f aca="false">Q220-R220</f>
        <v>-0.201679735372792</v>
      </c>
      <c r="T220" s="33" t="n">
        <f aca="false">T219+(2/10)*(S220-T219)</f>
        <v>-0.0653841026577432</v>
      </c>
      <c r="U220" s="33" t="n">
        <f aca="false">S220-T220</f>
        <v>-0.136295632715049</v>
      </c>
      <c r="V220" s="32" t="str">
        <f aca="false">IF(M220="","",IF(M220&lt;Assumptions!$B$5,"BUY",IF(M220&gt;Assumptions!$B$4,"SELL","HOLD")))</f>
        <v>HOLD</v>
      </c>
      <c r="W220" s="32" t="str">
        <f aca="false">IF(O220="","",IF(E220&gt;O220,"BUY","SELL"))</f>
        <v>SELL</v>
      </c>
      <c r="X220" s="32" t="str">
        <f aca="false">IF(T220="","",IF(S220&gt;T220,"BUY","SELL"))</f>
        <v>SELL</v>
      </c>
      <c r="Y220" s="34" t="n">
        <f aca="false">IF(OR(V220="",W220="",X220=""),"",IFERROR(IF(V220="BUY",1,IF(V220="SELL",-1,0))+IF(W220="BUY",1,IF(W220="SELL",-1,0))+IF(X220="BUY",1,IF(X220="SELL",-1,0)),0))</f>
        <v>-2</v>
      </c>
      <c r="Z220" s="32" t="str">
        <f aca="false">IF(Y220="","",IF(Y220&gt;=2,"STRONG BUY",IF(Y220=1,"BUY",IF(Y220=0,"HOLD",IF(Y220=-1,"SELL","STRONG SELL")))))</f>
        <v>STRONG SELL</v>
      </c>
    </row>
    <row r="221" customFormat="false" ht="15" hidden="false" customHeight="false" outlineLevel="0" collapsed="false">
      <c r="A221" s="24" t="n">
        <v>46077</v>
      </c>
      <c r="B221" s="25" t="n">
        <v>68.29</v>
      </c>
      <c r="C221" s="25" t="n">
        <v>68.72</v>
      </c>
      <c r="D221" s="25" t="n">
        <v>67.92</v>
      </c>
      <c r="E221" s="25" t="n">
        <v>68.32</v>
      </c>
      <c r="F221" s="26" t="n">
        <v>33805748</v>
      </c>
      <c r="G221" s="27" t="n">
        <f aca="false">E221-E220</f>
        <v>-0.110000000000014</v>
      </c>
      <c r="H221" s="28" t="n">
        <f aca="false">G221/E220</f>
        <v>-0.00160748209849501</v>
      </c>
      <c r="I221" s="29" t="n">
        <f aca="false">MAX(G221,0)</f>
        <v>0</v>
      </c>
      <c r="J221" s="29" t="n">
        <f aca="false">MAX(-G221,0)</f>
        <v>0.110000000000014</v>
      </c>
      <c r="K221" s="29" t="n">
        <f aca="false">(K220*13+I221)/14</f>
        <v>0.427464837166342</v>
      </c>
      <c r="L221" s="29" t="n">
        <f aca="false">(L220*13+J221)/14</f>
        <v>0.513086622480215</v>
      </c>
      <c r="M221" s="31" t="n">
        <f aca="false">IF(L221=0,100,100-100/(1+K221/MAX(L221,0.000001)))</f>
        <v>45.4483200022863</v>
      </c>
      <c r="N221" s="30" t="n">
        <f aca="false">AVERAGE(E202:E221)</f>
        <v>69.868</v>
      </c>
      <c r="O221" s="30" t="n">
        <f aca="false">AVERAGE(E172:E221)</f>
        <v>69.3348</v>
      </c>
      <c r="P221" s="30" t="n">
        <f aca="false">AVERAGE(E22:E221)</f>
        <v>67.6156</v>
      </c>
      <c r="Q221" s="30" t="n">
        <f aca="false">Q220+(2/13)*(E221-Q220)</f>
        <v>69.177470999571</v>
      </c>
      <c r="R221" s="30" t="n">
        <f aca="false">R220+(2/27)*(E221-R220)</f>
        <v>69.4450505120811</v>
      </c>
      <c r="S221" s="33" t="n">
        <f aca="false">Q221-R221</f>
        <v>-0.267579512510125</v>
      </c>
      <c r="T221" s="33" t="n">
        <f aca="false">T220+(2/10)*(S221-T220)</f>
        <v>-0.10582318462822</v>
      </c>
      <c r="U221" s="33" t="n">
        <f aca="false">S221-T221</f>
        <v>-0.161756327881905</v>
      </c>
      <c r="V221" s="32" t="str">
        <f aca="false">IF(M221="","",IF(M221&lt;Assumptions!$B$5,"BUY",IF(M221&gt;Assumptions!$B$4,"SELL","HOLD")))</f>
        <v>HOLD</v>
      </c>
      <c r="W221" s="32" t="str">
        <f aca="false">IF(O221="","",IF(E221&gt;O221,"BUY","SELL"))</f>
        <v>SELL</v>
      </c>
      <c r="X221" s="32" t="str">
        <f aca="false">IF(T221="","",IF(S221&gt;T221,"BUY","SELL"))</f>
        <v>SELL</v>
      </c>
      <c r="Y221" s="34" t="n">
        <f aca="false">IF(OR(V221="",W221="",X221=""),"",IFERROR(IF(V221="BUY",1,IF(V221="SELL",-1,0))+IF(W221="BUY",1,IF(W221="SELL",-1,0))+IF(X221="BUY",1,IF(X221="SELL",-1,0)),0))</f>
        <v>-2</v>
      </c>
      <c r="Z221" s="32" t="str">
        <f aca="false">IF(Y221="","",IF(Y221&gt;=2,"STRONG BUY",IF(Y221=1,"BUY",IF(Y221=0,"HOLD",IF(Y221=-1,"SELL","STRONG SELL")))))</f>
        <v>STRONG SELL</v>
      </c>
    </row>
    <row r="222" customFormat="false" ht="15" hidden="false" customHeight="false" outlineLevel="0" collapsed="false">
      <c r="A222" s="24" t="n">
        <v>46078</v>
      </c>
      <c r="B222" s="25" t="n">
        <v>69.68</v>
      </c>
      <c r="C222" s="25" t="n">
        <v>70.24</v>
      </c>
      <c r="D222" s="25" t="n">
        <v>69.68</v>
      </c>
      <c r="E222" s="25" t="n">
        <v>69.96</v>
      </c>
      <c r="F222" s="26" t="n">
        <v>39047658</v>
      </c>
      <c r="G222" s="27" t="n">
        <f aca="false">E222-E221</f>
        <v>1.64</v>
      </c>
      <c r="H222" s="28" t="n">
        <f aca="false">G222/E221</f>
        <v>0.0240046838407494</v>
      </c>
      <c r="I222" s="29" t="n">
        <f aca="false">MAX(G222,0)</f>
        <v>1.64</v>
      </c>
      <c r="J222" s="29" t="n">
        <f aca="false">MAX(-G222,0)</f>
        <v>0</v>
      </c>
      <c r="K222" s="29" t="n">
        <f aca="false">(K221*13+I222)/14</f>
        <v>0.514074491654461</v>
      </c>
      <c r="L222" s="29" t="n">
        <f aca="false">(L221*13+J222)/14</f>
        <v>0.476437578017342</v>
      </c>
      <c r="M222" s="31" t="n">
        <f aca="false">IF(L222=0,100,100-100/(1+K222/MAX(L222,0.000001)))</f>
        <v>51.8998715305705</v>
      </c>
      <c r="N222" s="30" t="n">
        <f aca="false">AVERAGE(E203:E222)</f>
        <v>69.7485</v>
      </c>
      <c r="O222" s="30" t="n">
        <f aca="false">AVERAGE(E173:E222)</f>
        <v>69.4578</v>
      </c>
      <c r="P222" s="30" t="n">
        <f aca="false">AVERAGE(E23:E222)</f>
        <v>67.6202</v>
      </c>
      <c r="Q222" s="30" t="n">
        <f aca="false">Q221+(2/13)*(E222-Q221)</f>
        <v>69.2978600765601</v>
      </c>
      <c r="R222" s="30" t="n">
        <f aca="false">R221+(2/27)*(E222-R221)</f>
        <v>69.4831949185936</v>
      </c>
      <c r="S222" s="33" t="n">
        <f aca="false">Q222-R222</f>
        <v>-0.185334842033555</v>
      </c>
      <c r="T222" s="33" t="n">
        <f aca="false">T221+(2/10)*(S222-T221)</f>
        <v>-0.121725516109287</v>
      </c>
      <c r="U222" s="33" t="n">
        <f aca="false">S222-T222</f>
        <v>-0.0636093259242684</v>
      </c>
      <c r="V222" s="32" t="str">
        <f aca="false">IF(M222="","",IF(M222&lt;Assumptions!$B$5,"BUY",IF(M222&gt;Assumptions!$B$4,"SELL","HOLD")))</f>
        <v>HOLD</v>
      </c>
      <c r="W222" s="32" t="str">
        <f aca="false">IF(O222="","",IF(E222&gt;O222,"BUY","SELL"))</f>
        <v>BUY</v>
      </c>
      <c r="X222" s="32" t="str">
        <f aca="false">IF(T222="","",IF(S222&gt;T222,"BUY","SELL"))</f>
        <v>SELL</v>
      </c>
      <c r="Y222" s="34" t="n">
        <f aca="false">IF(OR(V222="",W222="",X222=""),"",IFERROR(IF(V222="BUY",1,IF(V222="SELL",-1,0))+IF(W222="BUY",1,IF(W222="SELL",-1,0))+IF(X222="BUY",1,IF(X222="SELL",-1,0)),0))</f>
        <v>0</v>
      </c>
      <c r="Z222" s="32" t="str">
        <f aca="false">IF(Y222="","",IF(Y222&gt;=2,"STRONG BUY",IF(Y222=1,"BUY",IF(Y222=0,"HOLD",IF(Y222=-1,"SELL","STRONG SELL")))))</f>
        <v>HOLD</v>
      </c>
    </row>
    <row r="223" customFormat="false" ht="15" hidden="false" customHeight="false" outlineLevel="0" collapsed="false">
      <c r="A223" s="24" t="n">
        <v>46079</v>
      </c>
      <c r="B223" s="25" t="n">
        <v>70.69</v>
      </c>
      <c r="C223" s="25" t="n">
        <v>71.14</v>
      </c>
      <c r="D223" s="25" t="n">
        <v>70.18</v>
      </c>
      <c r="E223" s="25" t="n">
        <v>70.66</v>
      </c>
      <c r="F223" s="26" t="n">
        <v>16806684</v>
      </c>
      <c r="G223" s="27" t="n">
        <f aca="false">E223-E222</f>
        <v>0.700000000000003</v>
      </c>
      <c r="H223" s="28" t="n">
        <f aca="false">G223/E222</f>
        <v>0.0100057175528874</v>
      </c>
      <c r="I223" s="29" t="n">
        <f aca="false">MAX(G223,0)</f>
        <v>0.700000000000003</v>
      </c>
      <c r="J223" s="29" t="n">
        <f aca="false">MAX(-G223,0)</f>
        <v>0</v>
      </c>
      <c r="K223" s="29" t="n">
        <f aca="false">(K222*13+I223)/14</f>
        <v>0.527354885107714</v>
      </c>
      <c r="L223" s="29" t="n">
        <f aca="false">(L222*13+J223)/14</f>
        <v>0.442406322444675</v>
      </c>
      <c r="M223" s="31" t="n">
        <f aca="false">IF(L223=0,100,100-100/(1+K223/MAX(L223,0.000001)))</f>
        <v>54.3798701165539</v>
      </c>
      <c r="N223" s="30" t="n">
        <f aca="false">AVERAGE(E204:E223)</f>
        <v>69.6645</v>
      </c>
      <c r="O223" s="30" t="n">
        <f aca="false">AVERAGE(E174:E223)</f>
        <v>69.5736</v>
      </c>
      <c r="P223" s="30" t="n">
        <f aca="false">AVERAGE(E24:E223)</f>
        <v>67.63195</v>
      </c>
      <c r="Q223" s="30" t="n">
        <f aca="false">Q222+(2/13)*(E223-Q222)</f>
        <v>69.5074200647816</v>
      </c>
      <c r="R223" s="30" t="n">
        <f aca="false">R222+(2/27)*(E223-R222)</f>
        <v>69.5703656653645</v>
      </c>
      <c r="S223" s="33" t="n">
        <f aca="false">Q223-R223</f>
        <v>-0.0629456005828644</v>
      </c>
      <c r="T223" s="33" t="n">
        <f aca="false">T222+(2/10)*(S223-T222)</f>
        <v>-0.109969533004002</v>
      </c>
      <c r="U223" s="33" t="n">
        <f aca="false">S223-T223</f>
        <v>0.0470239324211378</v>
      </c>
      <c r="V223" s="32" t="str">
        <f aca="false">IF(M223="","",IF(M223&lt;Assumptions!$B$5,"BUY",IF(M223&gt;Assumptions!$B$4,"SELL","HOLD")))</f>
        <v>HOLD</v>
      </c>
      <c r="W223" s="32" t="str">
        <f aca="false">IF(O223="","",IF(E223&gt;O223,"BUY","SELL"))</f>
        <v>BUY</v>
      </c>
      <c r="X223" s="32" t="str">
        <f aca="false">IF(T223="","",IF(S223&gt;T223,"BUY","SELL"))</f>
        <v>BUY</v>
      </c>
      <c r="Y223" s="34" t="n">
        <f aca="false">IF(OR(V223="",W223="",X223=""),"",IFERROR(IF(V223="BUY",1,IF(V223="SELL",-1,0))+IF(W223="BUY",1,IF(W223="SELL",-1,0))+IF(X223="BUY",1,IF(X223="SELL",-1,0)),0))</f>
        <v>2</v>
      </c>
      <c r="Z223" s="32" t="str">
        <f aca="false">IF(Y223="","",IF(Y223&gt;=2,"STRONG BUY",IF(Y223=1,"BUY",IF(Y223=0,"HOLD",IF(Y223=-1,"SELL","STRONG SELL")))))</f>
        <v>STRONG BUY</v>
      </c>
    </row>
    <row r="224" customFormat="false" ht="15" hidden="false" customHeight="false" outlineLevel="0" collapsed="false">
      <c r="A224" s="24" t="n">
        <v>46080</v>
      </c>
      <c r="B224" s="25" t="n">
        <v>70.22</v>
      </c>
      <c r="C224" s="25" t="n">
        <v>70.41</v>
      </c>
      <c r="D224" s="25" t="n">
        <v>69.81</v>
      </c>
      <c r="E224" s="25" t="n">
        <v>70.11</v>
      </c>
      <c r="F224" s="26" t="n">
        <v>29035127</v>
      </c>
      <c r="G224" s="27" t="n">
        <f aca="false">E224-E223</f>
        <v>-0.549999999999997</v>
      </c>
      <c r="H224" s="28" t="n">
        <f aca="false">G224/E223</f>
        <v>-0.00778375318426263</v>
      </c>
      <c r="I224" s="29" t="n">
        <f aca="false">MAX(G224,0)</f>
        <v>0</v>
      </c>
      <c r="J224" s="29" t="n">
        <f aca="false">MAX(-G224,0)</f>
        <v>0.549999999999997</v>
      </c>
      <c r="K224" s="29" t="n">
        <f aca="false">(K223*13+I224)/14</f>
        <v>0.489686679028591</v>
      </c>
      <c r="L224" s="29" t="n">
        <f aca="false">(L223*13+J224)/14</f>
        <v>0.450091585127198</v>
      </c>
      <c r="M224" s="31" t="n">
        <f aca="false">IF(L224=0,100,100-100/(1+K224/MAX(L224,0.000001)))</f>
        <v>52.1066189446806</v>
      </c>
      <c r="N224" s="30" t="n">
        <f aca="false">AVERAGE(E205:E224)</f>
        <v>69.4915</v>
      </c>
      <c r="O224" s="30" t="n">
        <f aca="false">AVERAGE(E175:E224)</f>
        <v>69.6424</v>
      </c>
      <c r="P224" s="30" t="n">
        <f aca="false">AVERAGE(E25:E224)</f>
        <v>67.64675</v>
      </c>
      <c r="Q224" s="30" t="n">
        <f aca="false">Q223+(2/13)*(E224-Q223)</f>
        <v>69.6001246701998</v>
      </c>
      <c r="R224" s="30" t="n">
        <f aca="false">R223+(2/27)*(E224-R223)</f>
        <v>69.6103385790412</v>
      </c>
      <c r="S224" s="33" t="n">
        <f aca="false">Q224-R224</f>
        <v>-0.0102139088413509</v>
      </c>
      <c r="T224" s="33" t="n">
        <f aca="false">T223+(2/10)*(S224-T223)</f>
        <v>-0.0900184081714719</v>
      </c>
      <c r="U224" s="33" t="n">
        <f aca="false">S224-T224</f>
        <v>0.079804499330121</v>
      </c>
      <c r="V224" s="32" t="str">
        <f aca="false">IF(M224="","",IF(M224&lt;Assumptions!$B$5,"BUY",IF(M224&gt;Assumptions!$B$4,"SELL","HOLD")))</f>
        <v>HOLD</v>
      </c>
      <c r="W224" s="32" t="str">
        <f aca="false">IF(O224="","",IF(E224&gt;O224,"BUY","SELL"))</f>
        <v>BUY</v>
      </c>
      <c r="X224" s="32" t="str">
        <f aca="false">IF(T224="","",IF(S224&gt;T224,"BUY","SELL"))</f>
        <v>BUY</v>
      </c>
      <c r="Y224" s="34" t="n">
        <f aca="false">IF(OR(V224="",W224="",X224=""),"",IFERROR(IF(V224="BUY",1,IF(V224="SELL",-1,0))+IF(W224="BUY",1,IF(W224="SELL",-1,0))+IF(X224="BUY",1,IF(X224="SELL",-1,0)),0))</f>
        <v>2</v>
      </c>
      <c r="Z224" s="32" t="str">
        <f aca="false">IF(Y224="","",IF(Y224&gt;=2,"STRONG BUY",IF(Y224=1,"BUY",IF(Y224=0,"HOLD",IF(Y224=-1,"SELL","STRONG SELL")))))</f>
        <v>STRONG BUY</v>
      </c>
    </row>
    <row r="225" customFormat="false" ht="15" hidden="false" customHeight="false" outlineLevel="0" collapsed="false">
      <c r="A225" s="24" t="n">
        <v>46083</v>
      </c>
      <c r="B225" s="25" t="n">
        <v>71.37</v>
      </c>
      <c r="C225" s="25" t="n">
        <v>71.72</v>
      </c>
      <c r="D225" s="25" t="n">
        <v>70.64</v>
      </c>
      <c r="E225" s="25" t="n">
        <v>71.18</v>
      </c>
      <c r="F225" s="26" t="n">
        <v>26347781</v>
      </c>
      <c r="G225" s="27" t="n">
        <f aca="false">E225-E224</f>
        <v>1.07000000000001</v>
      </c>
      <c r="H225" s="28" t="n">
        <f aca="false">G225/E224</f>
        <v>0.0152617315646842</v>
      </c>
      <c r="I225" s="29" t="n">
        <f aca="false">MAX(G225,0)</f>
        <v>1.07000000000001</v>
      </c>
      <c r="J225" s="29" t="n">
        <f aca="false">MAX(-G225,0)</f>
        <v>0</v>
      </c>
      <c r="K225" s="29" t="n">
        <f aca="false">(K224*13+I225)/14</f>
        <v>0.53113763052655</v>
      </c>
      <c r="L225" s="29" t="n">
        <f aca="false">(L224*13+J225)/14</f>
        <v>0.417942186189541</v>
      </c>
      <c r="M225" s="31" t="n">
        <f aca="false">IF(L225=0,100,100-100/(1+K225/MAX(L225,0.000001)))</f>
        <v>55.9634312279802</v>
      </c>
      <c r="N225" s="30" t="n">
        <f aca="false">AVERAGE(E206:E225)</f>
        <v>69.417</v>
      </c>
      <c r="O225" s="30" t="n">
        <f aca="false">AVERAGE(E176:E225)</f>
        <v>69.7326</v>
      </c>
      <c r="P225" s="30" t="n">
        <f aca="false">AVERAGE(E26:E225)</f>
        <v>67.6665</v>
      </c>
      <c r="Q225" s="30" t="n">
        <f aca="false">Q224+(2/13)*(E225-Q224)</f>
        <v>69.843182413246</v>
      </c>
      <c r="R225" s="30" t="n">
        <f aca="false">R224+(2/27)*(E225-R224)</f>
        <v>69.7266097954085</v>
      </c>
      <c r="S225" s="33" t="n">
        <f aca="false">Q225-R225</f>
        <v>0.116572617837505</v>
      </c>
      <c r="T225" s="33" t="n">
        <f aca="false">T224+(2/10)*(S225-T224)</f>
        <v>-0.0487002029696765</v>
      </c>
      <c r="U225" s="33" t="n">
        <f aca="false">S225-T225</f>
        <v>0.165272820807182</v>
      </c>
      <c r="V225" s="32" t="str">
        <f aca="false">IF(M225="","",IF(M225&lt;Assumptions!$B$5,"BUY",IF(M225&gt;Assumptions!$B$4,"SELL","HOLD")))</f>
        <v>HOLD</v>
      </c>
      <c r="W225" s="32" t="str">
        <f aca="false">IF(O225="","",IF(E225&gt;O225,"BUY","SELL"))</f>
        <v>BUY</v>
      </c>
      <c r="X225" s="32" t="str">
        <f aca="false">IF(T225="","",IF(S225&gt;T225,"BUY","SELL"))</f>
        <v>BUY</v>
      </c>
      <c r="Y225" s="34" t="n">
        <f aca="false">IF(OR(V225="",W225="",X225=""),"",IFERROR(IF(V225="BUY",1,IF(V225="SELL",-1,0))+IF(W225="BUY",1,IF(W225="SELL",-1,0))+IF(X225="BUY",1,IF(X225="SELL",-1,0)),0))</f>
        <v>2</v>
      </c>
      <c r="Z225" s="32" t="str">
        <f aca="false">IF(Y225="","",IF(Y225&gt;=2,"STRONG BUY",IF(Y225=1,"BUY",IF(Y225=0,"HOLD",IF(Y225=-1,"SELL","STRONG SELL")))))</f>
        <v>STRONG BUY</v>
      </c>
    </row>
    <row r="226" customFormat="false" ht="15" hidden="false" customHeight="false" outlineLevel="0" collapsed="false">
      <c r="A226" s="24" t="n">
        <v>46084</v>
      </c>
      <c r="B226" s="25" t="n">
        <v>72.4</v>
      </c>
      <c r="C226" s="25" t="n">
        <v>72.94</v>
      </c>
      <c r="D226" s="25" t="n">
        <v>72.4</v>
      </c>
      <c r="E226" s="25" t="n">
        <v>72.67</v>
      </c>
      <c r="F226" s="26" t="n">
        <v>35592046</v>
      </c>
      <c r="G226" s="27" t="n">
        <f aca="false">E226-E225</f>
        <v>1.48999999999999</v>
      </c>
      <c r="H226" s="28" t="n">
        <f aca="false">G226/E225</f>
        <v>0.0209328463051418</v>
      </c>
      <c r="I226" s="29" t="n">
        <f aca="false">MAX(G226,0)</f>
        <v>1.48999999999999</v>
      </c>
      <c r="J226" s="29" t="n">
        <f aca="false">MAX(-G226,0)</f>
        <v>0</v>
      </c>
      <c r="K226" s="29" t="n">
        <f aca="false">(K225*13+I226)/14</f>
        <v>0.599627799774653</v>
      </c>
      <c r="L226" s="29" t="n">
        <f aca="false">(L225*13+J226)/14</f>
        <v>0.388089172890288</v>
      </c>
      <c r="M226" s="31" t="n">
        <f aca="false">IF(L226=0,100,100-100/(1+K226/MAX(L226,0.000001)))</f>
        <v>60.7084636965191</v>
      </c>
      <c r="N226" s="30" t="n">
        <f aca="false">AVERAGE(E207:E226)</f>
        <v>69.5065</v>
      </c>
      <c r="O226" s="30" t="n">
        <f aca="false">AVERAGE(E177:E226)</f>
        <v>69.8826</v>
      </c>
      <c r="P226" s="30" t="n">
        <f aca="false">AVERAGE(E27:E226)</f>
        <v>67.69255</v>
      </c>
      <c r="Q226" s="30" t="n">
        <f aca="false">Q225+(2/13)*(E226-Q225)</f>
        <v>70.2780774265928</v>
      </c>
      <c r="R226" s="30" t="n">
        <f aca="false">R225+(2/27)*(E226-R225)</f>
        <v>69.9446386994523</v>
      </c>
      <c r="S226" s="33" t="n">
        <f aca="false">Q226-R226</f>
        <v>0.333438727140447</v>
      </c>
      <c r="T226" s="33" t="n">
        <f aca="false">T225+(2/10)*(S226-T225)</f>
        <v>0.0277275830523482</v>
      </c>
      <c r="U226" s="33" t="n">
        <f aca="false">S226-T226</f>
        <v>0.305711144088098</v>
      </c>
      <c r="V226" s="32" t="str">
        <f aca="false">IF(M226="","",IF(M226&lt;Assumptions!$B$5,"BUY",IF(M226&gt;Assumptions!$B$4,"SELL","HOLD")))</f>
        <v>HOLD</v>
      </c>
      <c r="W226" s="32" t="str">
        <f aca="false">IF(O226="","",IF(E226&gt;O226,"BUY","SELL"))</f>
        <v>BUY</v>
      </c>
      <c r="X226" s="32" t="str">
        <f aca="false">IF(T226="","",IF(S226&gt;T226,"BUY","SELL"))</f>
        <v>BUY</v>
      </c>
      <c r="Y226" s="34" t="n">
        <f aca="false">IF(OR(V226="",W226="",X226=""),"",IFERROR(IF(V226="BUY",1,IF(V226="SELL",-1,0))+IF(W226="BUY",1,IF(W226="SELL",-1,0))+IF(X226="BUY",1,IF(X226="SELL",-1,0)),0))</f>
        <v>2</v>
      </c>
      <c r="Z226" s="32" t="str">
        <f aca="false">IF(Y226="","",IF(Y226&gt;=2,"STRONG BUY",IF(Y226=1,"BUY",IF(Y226=0,"HOLD",IF(Y226=-1,"SELL","STRONG SELL")))))</f>
        <v>STRONG BUY</v>
      </c>
    </row>
    <row r="227" customFormat="false" ht="15" hidden="false" customHeight="false" outlineLevel="0" collapsed="false">
      <c r="A227" s="24" t="n">
        <v>46085</v>
      </c>
      <c r="B227" s="25" t="n">
        <v>74.44</v>
      </c>
      <c r="C227" s="25" t="n">
        <v>74.53</v>
      </c>
      <c r="D227" s="25" t="n">
        <v>74.05</v>
      </c>
      <c r="E227" s="25" t="n">
        <v>74.29</v>
      </c>
      <c r="F227" s="26" t="n">
        <v>30236942</v>
      </c>
      <c r="G227" s="27" t="n">
        <f aca="false">E227-E226</f>
        <v>1.62</v>
      </c>
      <c r="H227" s="28" t="n">
        <f aca="false">G227/E226</f>
        <v>0.0222925553873676</v>
      </c>
      <c r="I227" s="29" t="n">
        <f aca="false">MAX(G227,0)</f>
        <v>1.62</v>
      </c>
      <c r="J227" s="29" t="n">
        <f aca="false">MAX(-G227,0)</f>
        <v>0</v>
      </c>
      <c r="K227" s="29" t="n">
        <f aca="false">(K226*13+I227)/14</f>
        <v>0.672511528362178</v>
      </c>
      <c r="L227" s="29" t="n">
        <f aca="false">(L226*13+J227)/14</f>
        <v>0.360368517683839</v>
      </c>
      <c r="M227" s="31" t="n">
        <f aca="false">IF(L227=0,100,100-100/(1+K227/MAX(L227,0.000001)))</f>
        <v>65.1103224364368</v>
      </c>
      <c r="N227" s="30" t="n">
        <f aca="false">AVERAGE(E208:E227)</f>
        <v>69.6965</v>
      </c>
      <c r="O227" s="30" t="n">
        <f aca="false">AVERAGE(E178:E227)</f>
        <v>70.069</v>
      </c>
      <c r="P227" s="30" t="n">
        <f aca="false">AVERAGE(E28:E227)</f>
        <v>67.72465</v>
      </c>
      <c r="Q227" s="30" t="n">
        <f aca="false">Q226+(2/13)*(E227-Q226)</f>
        <v>70.89529628404</v>
      </c>
      <c r="R227" s="30" t="n">
        <f aca="false">R226+(2/27)*(E227-R226)</f>
        <v>70.2665173143077</v>
      </c>
      <c r="S227" s="33" t="n">
        <f aca="false">Q227-R227</f>
        <v>0.628778969732338</v>
      </c>
      <c r="T227" s="33" t="n">
        <f aca="false">T226+(2/10)*(S227-T226)</f>
        <v>0.147937860388346</v>
      </c>
      <c r="U227" s="33" t="n">
        <f aca="false">S227-T227</f>
        <v>0.480841109343992</v>
      </c>
      <c r="V227" s="32" t="str">
        <f aca="false">IF(M227="","",IF(M227&lt;Assumptions!$B$5,"BUY",IF(M227&gt;Assumptions!$B$4,"SELL","HOLD")))</f>
        <v>HOLD</v>
      </c>
      <c r="W227" s="32" t="str">
        <f aca="false">IF(O227="","",IF(E227&gt;O227,"BUY","SELL"))</f>
        <v>BUY</v>
      </c>
      <c r="X227" s="32" t="str">
        <f aca="false">IF(T227="","",IF(S227&gt;T227,"BUY","SELL"))</f>
        <v>BUY</v>
      </c>
      <c r="Y227" s="34" t="n">
        <f aca="false">IF(OR(V227="",W227="",X227=""),"",IFERROR(IF(V227="BUY",1,IF(V227="SELL",-1,0))+IF(W227="BUY",1,IF(W227="SELL",-1,0))+IF(X227="BUY",1,IF(X227="SELL",-1,0)),0))</f>
        <v>2</v>
      </c>
      <c r="Z227" s="32" t="str">
        <f aca="false">IF(Y227="","",IF(Y227&gt;=2,"STRONG BUY",IF(Y227=1,"BUY",IF(Y227=0,"HOLD",IF(Y227=-1,"SELL","STRONG SELL")))))</f>
        <v>STRONG BUY</v>
      </c>
    </row>
    <row r="228" customFormat="false" ht="15" hidden="false" customHeight="false" outlineLevel="0" collapsed="false">
      <c r="A228" s="24" t="n">
        <v>46086</v>
      </c>
      <c r="B228" s="25" t="n">
        <v>72.79</v>
      </c>
      <c r="C228" s="25" t="n">
        <v>73.77</v>
      </c>
      <c r="D228" s="25" t="n">
        <v>72.47</v>
      </c>
      <c r="E228" s="25" t="n">
        <v>73.12</v>
      </c>
      <c r="F228" s="26" t="n">
        <v>26157481</v>
      </c>
      <c r="G228" s="27" t="n">
        <f aca="false">E228-E227</f>
        <v>-1.17</v>
      </c>
      <c r="H228" s="28" t="n">
        <f aca="false">G228/E227</f>
        <v>-0.0157490913985732</v>
      </c>
      <c r="I228" s="29" t="n">
        <f aca="false">MAX(G228,0)</f>
        <v>0</v>
      </c>
      <c r="J228" s="29" t="n">
        <f aca="false">MAX(-G228,0)</f>
        <v>1.17</v>
      </c>
      <c r="K228" s="29" t="n">
        <f aca="false">(K227*13+I228)/14</f>
        <v>0.624474990622023</v>
      </c>
      <c r="L228" s="29" t="n">
        <f aca="false">(L227*13+J228)/14</f>
        <v>0.418199337849279</v>
      </c>
      <c r="M228" s="31" t="n">
        <f aca="false">IF(L228=0,100,100-100/(1+K228/MAX(L228,0.000001)))</f>
        <v>59.8916625805476</v>
      </c>
      <c r="N228" s="30" t="n">
        <f aca="false">AVERAGE(E209:E228)</f>
        <v>69.813</v>
      </c>
      <c r="O228" s="30" t="n">
        <f aca="false">AVERAGE(E179:E228)</f>
        <v>70.213</v>
      </c>
      <c r="P228" s="30" t="n">
        <f aca="false">AVERAGE(E29:E228)</f>
        <v>67.74715</v>
      </c>
      <c r="Q228" s="30" t="n">
        <f aca="false">Q227+(2/13)*(E228-Q227)</f>
        <v>71.2375583941877</v>
      </c>
      <c r="R228" s="30" t="n">
        <f aca="false">R227+(2/27)*(E228-R227)</f>
        <v>70.4778864021368</v>
      </c>
      <c r="S228" s="33" t="n">
        <f aca="false">Q228-R228</f>
        <v>0.759671992050969</v>
      </c>
      <c r="T228" s="33" t="n">
        <f aca="false">T227+(2/10)*(S228-T227)</f>
        <v>0.270284686720871</v>
      </c>
      <c r="U228" s="33" t="n">
        <f aca="false">S228-T228</f>
        <v>0.489387305330098</v>
      </c>
      <c r="V228" s="32" t="str">
        <f aca="false">IF(M228="","",IF(M228&lt;Assumptions!$B$5,"BUY",IF(M228&gt;Assumptions!$B$4,"SELL","HOLD")))</f>
        <v>HOLD</v>
      </c>
      <c r="W228" s="32" t="str">
        <f aca="false">IF(O228="","",IF(E228&gt;O228,"BUY","SELL"))</f>
        <v>BUY</v>
      </c>
      <c r="X228" s="32" t="str">
        <f aca="false">IF(T228="","",IF(S228&gt;T228,"BUY","SELL"))</f>
        <v>BUY</v>
      </c>
      <c r="Y228" s="34" t="n">
        <f aca="false">IF(OR(V228="",W228="",X228=""),"",IFERROR(IF(V228="BUY",1,IF(V228="SELL",-1,0))+IF(W228="BUY",1,IF(W228="SELL",-1,0))+IF(X228="BUY",1,IF(X228="SELL",-1,0)),0))</f>
        <v>2</v>
      </c>
      <c r="Z228" s="32" t="str">
        <f aca="false">IF(Y228="","",IF(Y228&gt;=2,"STRONG BUY",IF(Y228=1,"BUY",IF(Y228=0,"HOLD",IF(Y228=-1,"SELL","STRONG SELL")))))</f>
        <v>STRONG BUY</v>
      </c>
    </row>
    <row r="229" customFormat="false" ht="15" hidden="false" customHeight="false" outlineLevel="0" collapsed="false">
      <c r="A229" s="24" t="n">
        <v>46087</v>
      </c>
      <c r="B229" s="25" t="n">
        <v>73.67</v>
      </c>
      <c r="C229" s="25" t="n">
        <v>73.67</v>
      </c>
      <c r="D229" s="25" t="n">
        <v>73.55</v>
      </c>
      <c r="E229" s="25" t="n">
        <v>73.61</v>
      </c>
      <c r="F229" s="26" t="n">
        <v>25932551</v>
      </c>
      <c r="G229" s="27" t="n">
        <f aca="false">E229-E228</f>
        <v>0.489999999999995</v>
      </c>
      <c r="H229" s="28" t="n">
        <f aca="false">G229/E228</f>
        <v>0.00670131291028439</v>
      </c>
      <c r="I229" s="29" t="n">
        <f aca="false">MAX(G229,0)</f>
        <v>0.489999999999995</v>
      </c>
      <c r="J229" s="29" t="n">
        <f aca="false">MAX(-G229,0)</f>
        <v>0</v>
      </c>
      <c r="K229" s="29" t="n">
        <f aca="false">(K228*13+I229)/14</f>
        <v>0.614869634149021</v>
      </c>
      <c r="L229" s="29" t="n">
        <f aca="false">(L228*13+J229)/14</f>
        <v>0.388327956574331</v>
      </c>
      <c r="M229" s="31" t="n">
        <f aca="false">IF(L229=0,100,100-100/(1+K229/MAX(L229,0.000001)))</f>
        <v>61.2909799460016</v>
      </c>
      <c r="N229" s="30" t="n">
        <f aca="false">AVERAGE(E210:E229)</f>
        <v>70.031</v>
      </c>
      <c r="O229" s="30" t="n">
        <f aca="false">AVERAGE(E180:E229)</f>
        <v>70.3532</v>
      </c>
      <c r="P229" s="30" t="n">
        <f aca="false">AVERAGE(E30:E229)</f>
        <v>67.7633</v>
      </c>
      <c r="Q229" s="30" t="n">
        <f aca="false">Q228+(2/13)*(E229-Q228)</f>
        <v>71.6025494104665</v>
      </c>
      <c r="R229" s="30" t="n">
        <f aca="false">R228+(2/27)*(E229-R228)</f>
        <v>70.7098948167933</v>
      </c>
      <c r="S229" s="33" t="n">
        <f aca="false">Q229-R229</f>
        <v>0.892654593673242</v>
      </c>
      <c r="T229" s="33" t="n">
        <f aca="false">T228+(2/10)*(S229-T228)</f>
        <v>0.394758668111345</v>
      </c>
      <c r="U229" s="33" t="n">
        <f aca="false">S229-T229</f>
        <v>0.497895925561898</v>
      </c>
      <c r="V229" s="32" t="str">
        <f aca="false">IF(M229="","",IF(M229&lt;Assumptions!$B$5,"BUY",IF(M229&gt;Assumptions!$B$4,"SELL","HOLD")))</f>
        <v>HOLD</v>
      </c>
      <c r="W229" s="32" t="str">
        <f aca="false">IF(O229="","",IF(E229&gt;O229,"BUY","SELL"))</f>
        <v>BUY</v>
      </c>
      <c r="X229" s="32" t="str">
        <f aca="false">IF(T229="","",IF(S229&gt;T229,"BUY","SELL"))</f>
        <v>BUY</v>
      </c>
      <c r="Y229" s="34" t="n">
        <f aca="false">IF(OR(V229="",W229="",X229=""),"",IFERROR(IF(V229="BUY",1,IF(V229="SELL",-1,0))+IF(W229="BUY",1,IF(W229="SELL",-1,0))+IF(X229="BUY",1,IF(X229="SELL",-1,0)),0))</f>
        <v>2</v>
      </c>
      <c r="Z229" s="32" t="str">
        <f aca="false">IF(Y229="","",IF(Y229&gt;=2,"STRONG BUY",IF(Y229=1,"BUY",IF(Y229=0,"HOLD",IF(Y229=-1,"SELL","STRONG SELL")))))</f>
        <v>STRONG BUY</v>
      </c>
    </row>
    <row r="230" customFormat="false" ht="15" hidden="false" customHeight="false" outlineLevel="0" collapsed="false">
      <c r="A230" s="24" t="n">
        <v>46090</v>
      </c>
      <c r="B230" s="25" t="n">
        <v>72.3</v>
      </c>
      <c r="C230" s="25" t="n">
        <v>72.3</v>
      </c>
      <c r="D230" s="25" t="n">
        <v>72.14</v>
      </c>
      <c r="E230" s="25" t="n">
        <v>72.22</v>
      </c>
      <c r="F230" s="26" t="n">
        <v>28058740</v>
      </c>
      <c r="G230" s="27" t="n">
        <f aca="false">E230-E229</f>
        <v>-1.39</v>
      </c>
      <c r="H230" s="28" t="n">
        <f aca="false">G230/E229</f>
        <v>-0.0188833038989268</v>
      </c>
      <c r="I230" s="29" t="n">
        <f aca="false">MAX(G230,0)</f>
        <v>0</v>
      </c>
      <c r="J230" s="29" t="n">
        <f aca="false">MAX(-G230,0)</f>
        <v>1.39</v>
      </c>
      <c r="K230" s="29" t="n">
        <f aca="false">(K229*13+I230)/14</f>
        <v>0.570950374566948</v>
      </c>
      <c r="L230" s="29" t="n">
        <f aca="false">(L229*13+J230)/14</f>
        <v>0.459875959676164</v>
      </c>
      <c r="M230" s="31" t="n">
        <f aca="false">IF(L230=0,100,100-100/(1+K230/MAX(L230,0.000001)))</f>
        <v>55.3876395664814</v>
      </c>
      <c r="N230" s="30" t="n">
        <f aca="false">AVERAGE(E211:E230)</f>
        <v>70.1845</v>
      </c>
      <c r="O230" s="30" t="n">
        <f aca="false">AVERAGE(E181:E230)</f>
        <v>70.443</v>
      </c>
      <c r="P230" s="30" t="n">
        <f aca="false">AVERAGE(E31:E230)</f>
        <v>67.7674</v>
      </c>
      <c r="Q230" s="30" t="n">
        <f aca="false">Q229+(2/13)*(E230-Q229)</f>
        <v>71.6975418088563</v>
      </c>
      <c r="R230" s="30" t="n">
        <f aca="false">R229+(2/27)*(E230-R229)</f>
        <v>70.8217544599938</v>
      </c>
      <c r="S230" s="33" t="n">
        <f aca="false">Q230-R230</f>
        <v>0.875787348862502</v>
      </c>
      <c r="T230" s="33" t="n">
        <f aca="false">T229+(2/10)*(S230-T229)</f>
        <v>0.490964404261576</v>
      </c>
      <c r="U230" s="33" t="n">
        <f aca="false">S230-T230</f>
        <v>0.384822944600926</v>
      </c>
      <c r="V230" s="32" t="str">
        <f aca="false">IF(M230="","",IF(M230&lt;Assumptions!$B$5,"BUY",IF(M230&gt;Assumptions!$B$4,"SELL","HOLD")))</f>
        <v>HOLD</v>
      </c>
      <c r="W230" s="32" t="str">
        <f aca="false">IF(O230="","",IF(E230&gt;O230,"BUY","SELL"))</f>
        <v>BUY</v>
      </c>
      <c r="X230" s="32" t="str">
        <f aca="false">IF(T230="","",IF(S230&gt;T230,"BUY","SELL"))</f>
        <v>BUY</v>
      </c>
      <c r="Y230" s="34" t="n">
        <f aca="false">IF(OR(V230="",W230="",X230=""),"",IFERROR(IF(V230="BUY",1,IF(V230="SELL",-1,0))+IF(W230="BUY",1,IF(W230="SELL",-1,0))+IF(X230="BUY",1,IF(X230="SELL",-1,0)),0))</f>
        <v>2</v>
      </c>
      <c r="Z230" s="32" t="str">
        <f aca="false">IF(Y230="","",IF(Y230&gt;=2,"STRONG BUY",IF(Y230=1,"BUY",IF(Y230=0,"HOLD",IF(Y230=-1,"SELL","STRONG SELL")))))</f>
        <v>STRONG BUY</v>
      </c>
    </row>
    <row r="231" customFormat="false" ht="15" hidden="false" customHeight="false" outlineLevel="0" collapsed="false">
      <c r="A231" s="24" t="n">
        <v>46091</v>
      </c>
      <c r="B231" s="25" t="n">
        <v>71.68</v>
      </c>
      <c r="C231" s="25" t="n">
        <v>71.68</v>
      </c>
      <c r="D231" s="25" t="n">
        <v>71.04</v>
      </c>
      <c r="E231" s="25" t="n">
        <v>71.36</v>
      </c>
      <c r="F231" s="26" t="n">
        <v>36059655</v>
      </c>
      <c r="G231" s="27" t="n">
        <f aca="false">E231-E230</f>
        <v>-0.859999999999999</v>
      </c>
      <c r="H231" s="28" t="n">
        <f aca="false">G231/E230</f>
        <v>-0.0119080587094987</v>
      </c>
      <c r="I231" s="29" t="n">
        <f aca="false">MAX(G231,0)</f>
        <v>0</v>
      </c>
      <c r="J231" s="29" t="n">
        <f aca="false">MAX(-G231,0)</f>
        <v>0.859999999999999</v>
      </c>
      <c r="K231" s="29" t="n">
        <f aca="false">(K230*13+I231)/14</f>
        <v>0.530168204955023</v>
      </c>
      <c r="L231" s="29" t="n">
        <f aca="false">(L230*13+J231)/14</f>
        <v>0.488456248270724</v>
      </c>
      <c r="M231" s="31" t="n">
        <f aca="false">IF(L231=0,100,100-100/(1+K231/MAX(L231,0.000001)))</f>
        <v>52.0474649195887</v>
      </c>
      <c r="N231" s="30" t="n">
        <f aca="false">AVERAGE(E212:E231)</f>
        <v>70.267</v>
      </c>
      <c r="O231" s="30" t="n">
        <f aca="false">AVERAGE(E182:E231)</f>
        <v>70.4758</v>
      </c>
      <c r="P231" s="30" t="n">
        <f aca="false">AVERAGE(E32:E231)</f>
        <v>67.7691</v>
      </c>
      <c r="Q231" s="30" t="n">
        <f aca="false">Q230+(2/13)*(E231-Q230)</f>
        <v>71.6456122998015</v>
      </c>
      <c r="R231" s="30" t="n">
        <f aca="false">R230+(2/27)*(E231-R230)</f>
        <v>70.8616244999943</v>
      </c>
      <c r="S231" s="33" t="n">
        <f aca="false">Q231-R231</f>
        <v>0.783987799807221</v>
      </c>
      <c r="T231" s="33" t="n">
        <f aca="false">T230+(2/10)*(S231-T230)</f>
        <v>0.549569083370705</v>
      </c>
      <c r="U231" s="33" t="n">
        <f aca="false">S231-T231</f>
        <v>0.234418716436516</v>
      </c>
      <c r="V231" s="32" t="str">
        <f aca="false">IF(M231="","",IF(M231&lt;Assumptions!$B$5,"BUY",IF(M231&gt;Assumptions!$B$4,"SELL","HOLD")))</f>
        <v>HOLD</v>
      </c>
      <c r="W231" s="32" t="str">
        <f aca="false">IF(O231="","",IF(E231&gt;O231,"BUY","SELL"))</f>
        <v>BUY</v>
      </c>
      <c r="X231" s="32" t="str">
        <f aca="false">IF(T231="","",IF(S231&gt;T231,"BUY","SELL"))</f>
        <v>BUY</v>
      </c>
      <c r="Y231" s="34" t="n">
        <f aca="false">IF(OR(V231="",W231="",X231=""),"",IFERROR(IF(V231="BUY",1,IF(V231="SELL",-1,0))+IF(W231="BUY",1,IF(W231="SELL",-1,0))+IF(X231="BUY",1,IF(X231="SELL",-1,0)),0))</f>
        <v>2</v>
      </c>
      <c r="Z231" s="32" t="str">
        <f aca="false">IF(Y231="","",IF(Y231&gt;=2,"STRONG BUY",IF(Y231=1,"BUY",IF(Y231=0,"HOLD",IF(Y231=-1,"SELL","STRONG SELL")))))</f>
        <v>STRONG BUY</v>
      </c>
    </row>
    <row r="232" customFormat="false" ht="15" hidden="false" customHeight="false" outlineLevel="0" collapsed="false">
      <c r="A232" s="24" t="n">
        <v>46092</v>
      </c>
      <c r="B232" s="25" t="n">
        <v>70.14</v>
      </c>
      <c r="C232" s="25" t="n">
        <v>70.14</v>
      </c>
      <c r="D232" s="25" t="n">
        <v>69.88</v>
      </c>
      <c r="E232" s="25" t="n">
        <v>70.01</v>
      </c>
      <c r="F232" s="26" t="n">
        <v>27327534</v>
      </c>
      <c r="G232" s="27" t="n">
        <f aca="false">E232-E231</f>
        <v>-1.34999999999999</v>
      </c>
      <c r="H232" s="28" t="n">
        <f aca="false">G232/E231</f>
        <v>-0.0189181614349775</v>
      </c>
      <c r="I232" s="29" t="n">
        <f aca="false">MAX(G232,0)</f>
        <v>0</v>
      </c>
      <c r="J232" s="29" t="n">
        <f aca="false">MAX(-G232,0)</f>
        <v>1.34999999999999</v>
      </c>
      <c r="K232" s="29" t="n">
        <f aca="false">(K231*13+I232)/14</f>
        <v>0.492299047458236</v>
      </c>
      <c r="L232" s="29" t="n">
        <f aca="false">(L231*13+J232)/14</f>
        <v>0.549995087679957</v>
      </c>
      <c r="M232" s="31" t="n">
        <f aca="false">IF(L232=0,100,100-100/(1+K232/MAX(L232,0.000001)))</f>
        <v>47.2322572738034</v>
      </c>
      <c r="N232" s="30" t="n">
        <f aca="false">AVERAGE(E213:E232)</f>
        <v>70.3235</v>
      </c>
      <c r="O232" s="30" t="n">
        <f aca="false">AVERAGE(E183:E232)</f>
        <v>70.4904</v>
      </c>
      <c r="P232" s="30" t="n">
        <f aca="false">AVERAGE(E33:E232)</f>
        <v>67.75895</v>
      </c>
      <c r="Q232" s="30" t="n">
        <f aca="false">Q231+(2/13)*(E232-Q231)</f>
        <v>71.3939796382936</v>
      </c>
      <c r="R232" s="30" t="n">
        <f aca="false">R231+(2/27)*(E232-R231)</f>
        <v>70.7985412036984</v>
      </c>
      <c r="S232" s="33" t="n">
        <f aca="false">Q232-R232</f>
        <v>0.595438434595167</v>
      </c>
      <c r="T232" s="33" t="n">
        <f aca="false">T231+(2/10)*(S232-T231)</f>
        <v>0.558742953615598</v>
      </c>
      <c r="U232" s="33" t="n">
        <f aca="false">S232-T232</f>
        <v>0.0366954809795691</v>
      </c>
      <c r="V232" s="32" t="str">
        <f aca="false">IF(M232="","",IF(M232&lt;Assumptions!$B$5,"BUY",IF(M232&gt;Assumptions!$B$4,"SELL","HOLD")))</f>
        <v>HOLD</v>
      </c>
      <c r="W232" s="32" t="str">
        <f aca="false">IF(O232="","",IF(E232&gt;O232,"BUY","SELL"))</f>
        <v>SELL</v>
      </c>
      <c r="X232" s="32" t="str">
        <f aca="false">IF(T232="","",IF(S232&gt;T232,"BUY","SELL"))</f>
        <v>BUY</v>
      </c>
      <c r="Y232" s="34" t="n">
        <f aca="false">IF(OR(V232="",W232="",X232=""),"",IFERROR(IF(V232="BUY",1,IF(V232="SELL",-1,0))+IF(W232="BUY",1,IF(W232="SELL",-1,0))+IF(X232="BUY",1,IF(X232="SELL",-1,0)),0))</f>
        <v>0</v>
      </c>
      <c r="Z232" s="32" t="str">
        <f aca="false">IF(Y232="","",IF(Y232&gt;=2,"STRONG BUY",IF(Y232=1,"BUY",IF(Y232=0,"HOLD",IF(Y232=-1,"SELL","STRONG SELL")))))</f>
        <v>HOLD</v>
      </c>
    </row>
    <row r="233" customFormat="false" ht="15" hidden="false" customHeight="false" outlineLevel="0" collapsed="false">
      <c r="A233" s="24" t="n">
        <v>46093</v>
      </c>
      <c r="B233" s="25" t="n">
        <v>70.19</v>
      </c>
      <c r="C233" s="25" t="n">
        <v>70.19</v>
      </c>
      <c r="D233" s="25" t="n">
        <v>69.29</v>
      </c>
      <c r="E233" s="25" t="n">
        <v>69.74</v>
      </c>
      <c r="F233" s="26" t="n">
        <v>15857173</v>
      </c>
      <c r="G233" s="27" t="n">
        <f aca="false">E233-E232</f>
        <v>-0.27000000000001</v>
      </c>
      <c r="H233" s="28" t="n">
        <f aca="false">G233/E232</f>
        <v>-0.0038565919154408</v>
      </c>
      <c r="I233" s="29" t="n">
        <f aca="false">MAX(G233,0)</f>
        <v>0</v>
      </c>
      <c r="J233" s="29" t="n">
        <f aca="false">MAX(-G233,0)</f>
        <v>0.27000000000001</v>
      </c>
      <c r="K233" s="29" t="n">
        <f aca="false">(K232*13+I233)/14</f>
        <v>0.457134829782647</v>
      </c>
      <c r="L233" s="29" t="n">
        <f aca="false">(L232*13+J233)/14</f>
        <v>0.529995438559961</v>
      </c>
      <c r="M233" s="31" t="n">
        <f aca="false">IF(L233=0,100,100-100/(1+K233/MAX(L233,0.000001)))</f>
        <v>46.3094734750842</v>
      </c>
      <c r="N233" s="30" t="n">
        <f aca="false">AVERAGE(E214:E233)</f>
        <v>70.4085</v>
      </c>
      <c r="O233" s="30" t="n">
        <f aca="false">AVERAGE(E184:E233)</f>
        <v>70.5182</v>
      </c>
      <c r="P233" s="30" t="n">
        <f aca="false">AVERAGE(E34:E233)</f>
        <v>67.75525</v>
      </c>
      <c r="Q233" s="30" t="n">
        <f aca="false">Q232+(2/13)*(E233-Q232)</f>
        <v>71.1395212324023</v>
      </c>
      <c r="R233" s="30" t="n">
        <f aca="false">R232+(2/27)*(E233-R232)</f>
        <v>70.7201307441652</v>
      </c>
      <c r="S233" s="33" t="n">
        <f aca="false">Q233-R233</f>
        <v>0.41939048823707</v>
      </c>
      <c r="T233" s="33" t="n">
        <f aca="false">T232+(2/10)*(S233-T232)</f>
        <v>0.530872460539892</v>
      </c>
      <c r="U233" s="33" t="n">
        <f aca="false">S233-T233</f>
        <v>-0.111481972302822</v>
      </c>
      <c r="V233" s="32" t="str">
        <f aca="false">IF(M233="","",IF(M233&lt;Assumptions!$B$5,"BUY",IF(M233&gt;Assumptions!$B$4,"SELL","HOLD")))</f>
        <v>HOLD</v>
      </c>
      <c r="W233" s="32" t="str">
        <f aca="false">IF(O233="","",IF(E233&gt;O233,"BUY","SELL"))</f>
        <v>SELL</v>
      </c>
      <c r="X233" s="32" t="str">
        <f aca="false">IF(T233="","",IF(S233&gt;T233,"BUY","SELL"))</f>
        <v>SELL</v>
      </c>
      <c r="Y233" s="34" t="n">
        <f aca="false">IF(OR(V233="",W233="",X233=""),"",IFERROR(IF(V233="BUY",1,IF(V233="SELL",-1,0))+IF(W233="BUY",1,IF(W233="SELL",-1,0))+IF(X233="BUY",1,IF(X233="SELL",-1,0)),0))</f>
        <v>-2</v>
      </c>
      <c r="Z233" s="32" t="str">
        <f aca="false">IF(Y233="","",IF(Y233&gt;=2,"STRONG BUY",IF(Y233=1,"BUY",IF(Y233=0,"HOLD",IF(Y233=-1,"SELL","STRONG SELL")))))</f>
        <v>STRONG SELL</v>
      </c>
    </row>
    <row r="234" customFormat="false" ht="15" hidden="false" customHeight="false" outlineLevel="0" collapsed="false">
      <c r="A234" s="24" t="n">
        <v>46094</v>
      </c>
      <c r="B234" s="25" t="n">
        <v>68.57</v>
      </c>
      <c r="C234" s="25" t="n">
        <v>68.57</v>
      </c>
      <c r="D234" s="25" t="n">
        <v>67.95</v>
      </c>
      <c r="E234" s="25" t="n">
        <v>68.26</v>
      </c>
      <c r="F234" s="26" t="n">
        <v>26628639</v>
      </c>
      <c r="G234" s="27" t="n">
        <f aca="false">E234-E233</f>
        <v>-1.47999999999999</v>
      </c>
      <c r="H234" s="28" t="n">
        <f aca="false">G234/E233</f>
        <v>-0.0212216805276741</v>
      </c>
      <c r="I234" s="29" t="n">
        <f aca="false">MAX(G234,0)</f>
        <v>0</v>
      </c>
      <c r="J234" s="29" t="n">
        <f aca="false">MAX(-G234,0)</f>
        <v>1.47999999999999</v>
      </c>
      <c r="K234" s="29" t="n">
        <f aca="false">(K233*13+I234)/14</f>
        <v>0.42448234194103</v>
      </c>
      <c r="L234" s="29" t="n">
        <f aca="false">(L233*13+J234)/14</f>
        <v>0.597852907234249</v>
      </c>
      <c r="M234" s="31" t="n">
        <f aca="false">IF(L234=0,100,100-100/(1+K234/MAX(L234,0.000001)))</f>
        <v>41.5208555396541</v>
      </c>
      <c r="N234" s="30" t="n">
        <f aca="false">AVERAGE(E215:E234)</f>
        <v>70.4745</v>
      </c>
      <c r="O234" s="30" t="n">
        <f aca="false">AVERAGE(E185:E234)</f>
        <v>70.5408</v>
      </c>
      <c r="P234" s="30" t="n">
        <f aca="false">AVERAGE(E35:E234)</f>
        <v>67.7436</v>
      </c>
      <c r="Q234" s="30" t="n">
        <f aca="false">Q233+(2/13)*(E234-Q233)</f>
        <v>70.6965179658788</v>
      </c>
      <c r="R234" s="30" t="n">
        <f aca="false">R233+(2/27)*(E234-R233)</f>
        <v>70.53789883719</v>
      </c>
      <c r="S234" s="33" t="n">
        <f aca="false">Q234-R234</f>
        <v>0.158619128688855</v>
      </c>
      <c r="T234" s="33" t="n">
        <f aca="false">T233+(2/10)*(S234-T233)</f>
        <v>0.456421794169685</v>
      </c>
      <c r="U234" s="33" t="n">
        <f aca="false">S234-T234</f>
        <v>-0.29780266548083</v>
      </c>
      <c r="V234" s="32" t="str">
        <f aca="false">IF(M234="","",IF(M234&lt;Assumptions!$B$5,"BUY",IF(M234&gt;Assumptions!$B$4,"SELL","HOLD")))</f>
        <v>HOLD</v>
      </c>
      <c r="W234" s="32" t="str">
        <f aca="false">IF(O234="","",IF(E234&gt;O234,"BUY","SELL"))</f>
        <v>SELL</v>
      </c>
      <c r="X234" s="32" t="str">
        <f aca="false">IF(T234="","",IF(S234&gt;T234,"BUY","SELL"))</f>
        <v>SELL</v>
      </c>
      <c r="Y234" s="34" t="n">
        <f aca="false">IF(OR(V234="",W234="",X234=""),"",IFERROR(IF(V234="BUY",1,IF(V234="SELL",-1,0))+IF(W234="BUY",1,IF(W234="SELL",-1,0))+IF(X234="BUY",1,IF(X234="SELL",-1,0)),0))</f>
        <v>-2</v>
      </c>
      <c r="Z234" s="32" t="str">
        <f aca="false">IF(Y234="","",IF(Y234&gt;=2,"STRONG BUY",IF(Y234=1,"BUY",IF(Y234=0,"HOLD",IF(Y234=-1,"SELL","STRONG SELL")))))</f>
        <v>STRONG SELL</v>
      </c>
    </row>
    <row r="235" customFormat="false" ht="15" hidden="false" customHeight="false" outlineLevel="0" collapsed="false">
      <c r="A235" s="24" t="n">
        <v>46097</v>
      </c>
      <c r="B235" s="25" t="n">
        <v>68.88</v>
      </c>
      <c r="C235" s="25" t="n">
        <v>69.24</v>
      </c>
      <c r="D235" s="25" t="n">
        <v>68.88</v>
      </c>
      <c r="E235" s="25" t="n">
        <v>69.06</v>
      </c>
      <c r="F235" s="26" t="n">
        <v>33202508</v>
      </c>
      <c r="G235" s="27" t="n">
        <f aca="false">E235-E234</f>
        <v>0.799999999999997</v>
      </c>
      <c r="H235" s="28" t="n">
        <f aca="false">G235/E234</f>
        <v>0.0117198945209493</v>
      </c>
      <c r="I235" s="29" t="n">
        <f aca="false">MAX(G235,0)</f>
        <v>0.799999999999997</v>
      </c>
      <c r="J235" s="29" t="n">
        <f aca="false">MAX(-G235,0)</f>
        <v>0</v>
      </c>
      <c r="K235" s="29" t="n">
        <f aca="false">(K234*13+I235)/14</f>
        <v>0.451305031802384</v>
      </c>
      <c r="L235" s="29" t="n">
        <f aca="false">(L234*13+J235)/14</f>
        <v>0.555149128146088</v>
      </c>
      <c r="M235" s="31" t="n">
        <f aca="false">IF(L235=0,100,100-100/(1+K235/MAX(L235,0.000001)))</f>
        <v>44.8410916027701</v>
      </c>
      <c r="N235" s="30" t="n">
        <f aca="false">AVERAGE(E216:E235)</f>
        <v>70.5875</v>
      </c>
      <c r="O235" s="30" t="n">
        <f aca="false">AVERAGE(E186:E235)</f>
        <v>70.5818</v>
      </c>
      <c r="P235" s="30" t="n">
        <f aca="false">AVERAGE(E36:E235)</f>
        <v>67.7303</v>
      </c>
      <c r="Q235" s="30" t="n">
        <f aca="false">Q234+(2/13)*(E235-Q234)</f>
        <v>70.4447459711282</v>
      </c>
      <c r="R235" s="30" t="n">
        <f aca="false">R234+(2/27)*(E235-R234)</f>
        <v>70.42842484925</v>
      </c>
      <c r="S235" s="33" t="n">
        <f aca="false">Q235-R235</f>
        <v>0.0163211218782635</v>
      </c>
      <c r="T235" s="33" t="n">
        <f aca="false">T234+(2/10)*(S235-T234)</f>
        <v>0.368401659711401</v>
      </c>
      <c r="U235" s="33" t="n">
        <f aca="false">S235-T235</f>
        <v>-0.352080537833137</v>
      </c>
      <c r="V235" s="32" t="str">
        <f aca="false">IF(M235="","",IF(M235&lt;Assumptions!$B$5,"BUY",IF(M235&gt;Assumptions!$B$4,"SELL","HOLD")))</f>
        <v>HOLD</v>
      </c>
      <c r="W235" s="32" t="str">
        <f aca="false">IF(O235="","",IF(E235&gt;O235,"BUY","SELL"))</f>
        <v>SELL</v>
      </c>
      <c r="X235" s="32" t="str">
        <f aca="false">IF(T235="","",IF(S235&gt;T235,"BUY","SELL"))</f>
        <v>SELL</v>
      </c>
      <c r="Y235" s="34" t="n">
        <f aca="false">IF(OR(V235="",W235="",X235=""),"",IFERROR(IF(V235="BUY",1,IF(V235="SELL",-1,0))+IF(W235="BUY",1,IF(W235="SELL",-1,0))+IF(X235="BUY",1,IF(X235="SELL",-1,0)),0))</f>
        <v>-2</v>
      </c>
      <c r="Z235" s="32" t="str">
        <f aca="false">IF(Y235="","",IF(Y235&gt;=2,"STRONG BUY",IF(Y235=1,"BUY",IF(Y235=0,"HOLD",IF(Y235=-1,"SELL","STRONG SELL")))))</f>
        <v>STRONG SELL</v>
      </c>
    </row>
    <row r="236" customFormat="false" ht="15" hidden="false" customHeight="false" outlineLevel="0" collapsed="false">
      <c r="A236" s="24" t="n">
        <v>46098</v>
      </c>
      <c r="B236" s="25" t="n">
        <v>69.28</v>
      </c>
      <c r="C236" s="25" t="n">
        <v>69.28</v>
      </c>
      <c r="D236" s="25" t="n">
        <v>68.82</v>
      </c>
      <c r="E236" s="25" t="n">
        <v>69.05</v>
      </c>
      <c r="F236" s="26" t="n">
        <v>24202035</v>
      </c>
      <c r="G236" s="27" t="n">
        <f aca="false">E236-E235</f>
        <v>-0.0100000000000051</v>
      </c>
      <c r="H236" s="28" t="n">
        <f aca="false">G236/E235</f>
        <v>-0.000144801621778238</v>
      </c>
      <c r="I236" s="29" t="n">
        <f aca="false">MAX(G236,0)</f>
        <v>0</v>
      </c>
      <c r="J236" s="29" t="n">
        <f aca="false">MAX(-G236,0)</f>
        <v>0.0100000000000051</v>
      </c>
      <c r="K236" s="29" t="n">
        <f aca="false">(K235*13+I236)/14</f>
        <v>0.419068958102214</v>
      </c>
      <c r="L236" s="29" t="n">
        <f aca="false">(L235*13+J236)/14</f>
        <v>0.516209904707082</v>
      </c>
      <c r="M236" s="31" t="n">
        <f aca="false">IF(L236=0,100,100-100/(1+K236/MAX(L236,0.000001)))</f>
        <v>44.8068458260093</v>
      </c>
      <c r="N236" s="30" t="n">
        <f aca="false">AVERAGE(E217:E236)</f>
        <v>70.6765</v>
      </c>
      <c r="O236" s="30" t="n">
        <f aca="false">AVERAGE(E187:E236)</f>
        <v>70.6018</v>
      </c>
      <c r="P236" s="30" t="n">
        <f aca="false">AVERAGE(E37:E236)</f>
        <v>67.71325</v>
      </c>
      <c r="Q236" s="30" t="n">
        <f aca="false">Q235+(2/13)*(E236-Q235)</f>
        <v>70.2301696678778</v>
      </c>
      <c r="R236" s="30" t="n">
        <f aca="false">R235+(2/27)*(E236-R235)</f>
        <v>70.3263193048611</v>
      </c>
      <c r="S236" s="33" t="n">
        <f aca="false">Q236-R236</f>
        <v>-0.0961496369833412</v>
      </c>
      <c r="T236" s="33" t="n">
        <f aca="false">T235+(2/10)*(S236-T235)</f>
        <v>0.275491400372452</v>
      </c>
      <c r="U236" s="33" t="n">
        <f aca="false">S236-T236</f>
        <v>-0.371641037355793</v>
      </c>
      <c r="V236" s="32" t="str">
        <f aca="false">IF(M236="","",IF(M236&lt;Assumptions!$B$5,"BUY",IF(M236&gt;Assumptions!$B$4,"SELL","HOLD")))</f>
        <v>HOLD</v>
      </c>
      <c r="W236" s="32" t="str">
        <f aca="false">IF(O236="","",IF(E236&gt;O236,"BUY","SELL"))</f>
        <v>SELL</v>
      </c>
      <c r="X236" s="32" t="str">
        <f aca="false">IF(T236="","",IF(S236&gt;T236,"BUY","SELL"))</f>
        <v>SELL</v>
      </c>
      <c r="Y236" s="34" t="n">
        <f aca="false">IF(OR(V236="",W236="",X236=""),"",IFERROR(IF(V236="BUY",1,IF(V236="SELL",-1,0))+IF(W236="BUY",1,IF(W236="SELL",-1,0))+IF(X236="BUY",1,IF(X236="SELL",-1,0)),0))</f>
        <v>-2</v>
      </c>
      <c r="Z236" s="32" t="str">
        <f aca="false">IF(Y236="","",IF(Y236&gt;=2,"STRONG BUY",IF(Y236=1,"BUY",IF(Y236=0,"HOLD",IF(Y236=-1,"SELL","STRONG SELL")))))</f>
        <v>STRONG SELL</v>
      </c>
    </row>
    <row r="237" customFormat="false" ht="15" hidden="false" customHeight="false" outlineLevel="0" collapsed="false">
      <c r="A237" s="24" t="n">
        <v>46099</v>
      </c>
      <c r="B237" s="25" t="n">
        <v>68.54</v>
      </c>
      <c r="C237" s="25" t="n">
        <v>68.54</v>
      </c>
      <c r="D237" s="25" t="n">
        <v>67.8</v>
      </c>
      <c r="E237" s="25" t="n">
        <v>68.17</v>
      </c>
      <c r="F237" s="26" t="n">
        <v>12453232</v>
      </c>
      <c r="G237" s="27" t="n">
        <f aca="false">E237-E236</f>
        <v>-0.879999999999996</v>
      </c>
      <c r="H237" s="28" t="n">
        <f aca="false">G237/E236</f>
        <v>-0.0127443881245474</v>
      </c>
      <c r="I237" s="29" t="n">
        <f aca="false">MAX(G237,0)</f>
        <v>0</v>
      </c>
      <c r="J237" s="29" t="n">
        <f aca="false">MAX(-G237,0)</f>
        <v>0.879999999999996</v>
      </c>
      <c r="K237" s="29" t="n">
        <f aca="false">(K236*13+I237)/14</f>
        <v>0.389135461094913</v>
      </c>
      <c r="L237" s="29" t="n">
        <f aca="false">(L236*13+J237)/14</f>
        <v>0.542194911513719</v>
      </c>
      <c r="M237" s="31" t="n">
        <f aca="false">IF(L237=0,100,100-100/(1+K237/MAX(L237,0.000001)))</f>
        <v>41.7827521296181</v>
      </c>
      <c r="N237" s="30" t="n">
        <f aca="false">AVERAGE(E218:E237)</f>
        <v>70.5795</v>
      </c>
      <c r="O237" s="30" t="n">
        <f aca="false">AVERAGE(E188:E237)</f>
        <v>70.5684</v>
      </c>
      <c r="P237" s="30" t="n">
        <f aca="false">AVERAGE(E38:E237)</f>
        <v>67.68725</v>
      </c>
      <c r="Q237" s="30" t="n">
        <f aca="false">Q236+(2/13)*(E237-Q236)</f>
        <v>69.9132204882043</v>
      </c>
      <c r="R237" s="30" t="n">
        <f aca="false">R236+(2/27)*(E237-R236)</f>
        <v>70.1665919489455</v>
      </c>
      <c r="S237" s="33" t="n">
        <f aca="false">Q237-R237</f>
        <v>-0.253371460741207</v>
      </c>
      <c r="T237" s="33" t="n">
        <f aca="false">T236+(2/10)*(S237-T236)</f>
        <v>0.16971882814972</v>
      </c>
      <c r="U237" s="33" t="n">
        <f aca="false">S237-T237</f>
        <v>-0.423090288890927</v>
      </c>
      <c r="V237" s="32" t="str">
        <f aca="false">IF(M237="","",IF(M237&lt;Assumptions!$B$5,"BUY",IF(M237&gt;Assumptions!$B$4,"SELL","HOLD")))</f>
        <v>HOLD</v>
      </c>
      <c r="W237" s="32" t="str">
        <f aca="false">IF(O237="","",IF(E237&gt;O237,"BUY","SELL"))</f>
        <v>SELL</v>
      </c>
      <c r="X237" s="32" t="str">
        <f aca="false">IF(T237="","",IF(S237&gt;T237,"BUY","SELL"))</f>
        <v>SELL</v>
      </c>
      <c r="Y237" s="34" t="n">
        <f aca="false">IF(OR(V237="",W237="",X237=""),"",IFERROR(IF(V237="BUY",1,IF(V237="SELL",-1,0))+IF(W237="BUY",1,IF(W237="SELL",-1,0))+IF(X237="BUY",1,IF(X237="SELL",-1,0)),0))</f>
        <v>-2</v>
      </c>
      <c r="Z237" s="32" t="str">
        <f aca="false">IF(Y237="","",IF(Y237&gt;=2,"STRONG BUY",IF(Y237=1,"BUY",IF(Y237=0,"HOLD",IF(Y237=-1,"SELL","STRONG SELL")))))</f>
        <v>STRONG SELL</v>
      </c>
    </row>
    <row r="238" customFormat="false" ht="15" hidden="false" customHeight="false" outlineLevel="0" collapsed="false">
      <c r="A238" s="24" t="n">
        <v>46100</v>
      </c>
      <c r="B238" s="25" t="n">
        <v>68.75</v>
      </c>
      <c r="C238" s="25" t="n">
        <v>69.11</v>
      </c>
      <c r="D238" s="25" t="n">
        <v>68.25</v>
      </c>
      <c r="E238" s="25" t="n">
        <v>68.68</v>
      </c>
      <c r="F238" s="26" t="n">
        <v>19990045</v>
      </c>
      <c r="G238" s="27" t="n">
        <f aca="false">E238-E237</f>
        <v>0.510000000000005</v>
      </c>
      <c r="H238" s="28" t="n">
        <f aca="false">G238/E237</f>
        <v>0.00748129675810481</v>
      </c>
      <c r="I238" s="29" t="n">
        <f aca="false">MAX(G238,0)</f>
        <v>0.510000000000005</v>
      </c>
      <c r="J238" s="29" t="n">
        <f aca="false">MAX(-G238,0)</f>
        <v>0</v>
      </c>
      <c r="K238" s="29" t="n">
        <f aca="false">(K237*13+I238)/14</f>
        <v>0.397768642445277</v>
      </c>
      <c r="L238" s="29" t="n">
        <f aca="false">(L237*13+J238)/14</f>
        <v>0.503466703548453</v>
      </c>
      <c r="M238" s="31" t="n">
        <f aca="false">IF(L238=0,100,100-100/(1+K238/MAX(L238,0.000001)))</f>
        <v>44.1359345495582</v>
      </c>
      <c r="N238" s="30" t="n">
        <f aca="false">AVERAGE(E219:E238)</f>
        <v>70.446</v>
      </c>
      <c r="O238" s="30" t="n">
        <f aca="false">AVERAGE(E189:E238)</f>
        <v>70.5404</v>
      </c>
      <c r="P238" s="30" t="n">
        <f aca="false">AVERAGE(E39:E238)</f>
        <v>67.6531</v>
      </c>
      <c r="Q238" s="30" t="n">
        <f aca="false">Q237+(2/13)*(E238-Q237)</f>
        <v>69.7234942592498</v>
      </c>
      <c r="R238" s="30" t="n">
        <f aca="false">R237+(2/27)*(E238-R237)</f>
        <v>70.0564740268013</v>
      </c>
      <c r="S238" s="33" t="n">
        <f aca="false">Q238-R238</f>
        <v>-0.332979767551592</v>
      </c>
      <c r="T238" s="33" t="n">
        <f aca="false">T237+(2/10)*(S238-T237)</f>
        <v>0.0691791090094579</v>
      </c>
      <c r="U238" s="33" t="n">
        <f aca="false">S238-T238</f>
        <v>-0.40215887656105</v>
      </c>
      <c r="V238" s="32" t="str">
        <f aca="false">IF(M238="","",IF(M238&lt;Assumptions!$B$5,"BUY",IF(M238&gt;Assumptions!$B$4,"SELL","HOLD")))</f>
        <v>HOLD</v>
      </c>
      <c r="W238" s="32" t="str">
        <f aca="false">IF(O238="","",IF(E238&gt;O238,"BUY","SELL"))</f>
        <v>SELL</v>
      </c>
      <c r="X238" s="32" t="str">
        <f aca="false">IF(T238="","",IF(S238&gt;T238,"BUY","SELL"))</f>
        <v>SELL</v>
      </c>
      <c r="Y238" s="34" t="n">
        <f aca="false">IF(OR(V238="",W238="",X238=""),"",IFERROR(IF(V238="BUY",1,IF(V238="SELL",-1,0))+IF(W238="BUY",1,IF(W238="SELL",-1,0))+IF(X238="BUY",1,IF(X238="SELL",-1,0)),0))</f>
        <v>-2</v>
      </c>
      <c r="Z238" s="32" t="str">
        <f aca="false">IF(Y238="","",IF(Y238&gt;=2,"STRONG BUY",IF(Y238=1,"BUY",IF(Y238=0,"HOLD",IF(Y238=-1,"SELL","STRONG SELL")))))</f>
        <v>STRONG SELL</v>
      </c>
    </row>
    <row r="239" customFormat="false" ht="15" hidden="false" customHeight="false" outlineLevel="0" collapsed="false">
      <c r="A239" s="24" t="n">
        <v>46101</v>
      </c>
      <c r="B239" s="25" t="n">
        <v>70.1</v>
      </c>
      <c r="C239" s="25" t="n">
        <v>70.46</v>
      </c>
      <c r="D239" s="25" t="n">
        <v>70.1</v>
      </c>
      <c r="E239" s="25" t="n">
        <v>70.28</v>
      </c>
      <c r="F239" s="26" t="n">
        <v>23705679</v>
      </c>
      <c r="G239" s="27" t="n">
        <f aca="false">E239-E238</f>
        <v>1.59999999999999</v>
      </c>
      <c r="H239" s="28" t="n">
        <f aca="false">G239/E238</f>
        <v>0.0232964472917879</v>
      </c>
      <c r="I239" s="29" t="n">
        <f aca="false">MAX(G239,0)</f>
        <v>1.59999999999999</v>
      </c>
      <c r="J239" s="29" t="n">
        <f aca="false">MAX(-G239,0)</f>
        <v>0</v>
      </c>
      <c r="K239" s="29" t="n">
        <f aca="false">(K238*13+I239)/14</f>
        <v>0.483642310842042</v>
      </c>
      <c r="L239" s="29" t="n">
        <f aca="false">(L238*13+J239)/14</f>
        <v>0.467504796152135</v>
      </c>
      <c r="M239" s="31" t="n">
        <f aca="false">IF(L239=0,100,100-100/(1+K239/MAX(L239,0.000001)))</f>
        <v>50.8483185498458</v>
      </c>
      <c r="N239" s="30" t="n">
        <f aca="false">AVERAGE(E220:E239)</f>
        <v>70.459</v>
      </c>
      <c r="O239" s="30" t="n">
        <f aca="false">AVERAGE(E190:E239)</f>
        <v>70.544</v>
      </c>
      <c r="P239" s="30" t="n">
        <f aca="false">AVERAGE(E40:E239)</f>
        <v>67.6311</v>
      </c>
      <c r="Q239" s="30" t="n">
        <f aca="false">Q238+(2/13)*(E239-Q238)</f>
        <v>69.8091105270575</v>
      </c>
      <c r="R239" s="30" t="n">
        <f aca="false">R238+(2/27)*(E239-R238)</f>
        <v>70.0730315062975</v>
      </c>
      <c r="S239" s="33" t="n">
        <f aca="false">Q239-R239</f>
        <v>-0.263920979240055</v>
      </c>
      <c r="T239" s="33" t="n">
        <f aca="false">T238+(2/10)*(S239-T238)</f>
        <v>0.00255909135955533</v>
      </c>
      <c r="U239" s="33" t="n">
        <f aca="false">S239-T239</f>
        <v>-0.26648007059961</v>
      </c>
      <c r="V239" s="32" t="str">
        <f aca="false">IF(M239="","",IF(M239&lt;Assumptions!$B$5,"BUY",IF(M239&gt;Assumptions!$B$4,"SELL","HOLD")))</f>
        <v>HOLD</v>
      </c>
      <c r="W239" s="32" t="str">
        <f aca="false">IF(O239="","",IF(E239&gt;O239,"BUY","SELL"))</f>
        <v>SELL</v>
      </c>
      <c r="X239" s="32" t="str">
        <f aca="false">IF(T239="","",IF(S239&gt;T239,"BUY","SELL"))</f>
        <v>SELL</v>
      </c>
      <c r="Y239" s="34" t="n">
        <f aca="false">IF(OR(V239="",W239="",X239=""),"",IFERROR(IF(V239="BUY",1,IF(V239="SELL",-1,0))+IF(W239="BUY",1,IF(W239="SELL",-1,0))+IF(X239="BUY",1,IF(X239="SELL",-1,0)),0))</f>
        <v>-2</v>
      </c>
      <c r="Z239" s="32" t="str">
        <f aca="false">IF(Y239="","",IF(Y239&gt;=2,"STRONG BUY",IF(Y239=1,"BUY",IF(Y239=0,"HOLD",IF(Y239=-1,"SELL","STRONG SELL")))))</f>
        <v>STRONG SELL</v>
      </c>
    </row>
    <row r="240" customFormat="false" ht="15" hidden="false" customHeight="false" outlineLevel="0" collapsed="false">
      <c r="A240" s="24" t="n">
        <v>46104</v>
      </c>
      <c r="B240" s="25" t="n">
        <v>70.29</v>
      </c>
      <c r="C240" s="25" t="n">
        <v>71.03</v>
      </c>
      <c r="D240" s="25" t="n">
        <v>70.27</v>
      </c>
      <c r="E240" s="25" t="n">
        <v>70.65</v>
      </c>
      <c r="F240" s="26" t="n">
        <v>28370301</v>
      </c>
      <c r="G240" s="27" t="n">
        <f aca="false">E240-E239</f>
        <v>0.370000000000005</v>
      </c>
      <c r="H240" s="28" t="n">
        <f aca="false">G240/E239</f>
        <v>0.0052646556630621</v>
      </c>
      <c r="I240" s="29" t="n">
        <f aca="false">MAX(G240,0)</f>
        <v>0.370000000000005</v>
      </c>
      <c r="J240" s="29" t="n">
        <f aca="false">MAX(-G240,0)</f>
        <v>0</v>
      </c>
      <c r="K240" s="29" t="n">
        <f aca="false">(K239*13+I240)/14</f>
        <v>0.475525002924754</v>
      </c>
      <c r="L240" s="29" t="n">
        <f aca="false">(L239*13+J240)/14</f>
        <v>0.434111596426983</v>
      </c>
      <c r="M240" s="31" t="n">
        <f aca="false">IF(L240=0,100,100-100/(1+K240/MAX(L240,0.000001)))</f>
        <v>52.2763709445775</v>
      </c>
      <c r="N240" s="30" t="n">
        <f aca="false">AVERAGE(E221:E240)</f>
        <v>70.57</v>
      </c>
      <c r="O240" s="30" t="n">
        <f aca="false">AVERAGE(E191:E240)</f>
        <v>70.5576</v>
      </c>
      <c r="P240" s="30" t="n">
        <f aca="false">AVERAGE(E41:E240)</f>
        <v>67.60645</v>
      </c>
      <c r="Q240" s="30" t="n">
        <f aca="false">Q239+(2/13)*(E240-Q239)</f>
        <v>69.9384781382794</v>
      </c>
      <c r="R240" s="30" t="n">
        <f aca="false">R239+(2/27)*(E240-R239)</f>
        <v>70.1157699132385</v>
      </c>
      <c r="S240" s="33" t="n">
        <f aca="false">Q240-R240</f>
        <v>-0.177291774959059</v>
      </c>
      <c r="T240" s="33" t="n">
        <f aca="false">T239+(2/10)*(S240-T239)</f>
        <v>-0.0334110819041675</v>
      </c>
      <c r="U240" s="33" t="n">
        <f aca="false">S240-T240</f>
        <v>-0.143880693054891</v>
      </c>
      <c r="V240" s="32" t="str">
        <f aca="false">IF(M240="","",IF(M240&lt;Assumptions!$B$5,"BUY",IF(M240&gt;Assumptions!$B$4,"SELL","HOLD")))</f>
        <v>HOLD</v>
      </c>
      <c r="W240" s="32" t="str">
        <f aca="false">IF(O240="","",IF(E240&gt;O240,"BUY","SELL"))</f>
        <v>BUY</v>
      </c>
      <c r="X240" s="32" t="str">
        <f aca="false">IF(T240="","",IF(S240&gt;T240,"BUY","SELL"))</f>
        <v>SELL</v>
      </c>
      <c r="Y240" s="34" t="n">
        <f aca="false">IF(OR(V240="",W240="",X240=""),"",IFERROR(IF(V240="BUY",1,IF(V240="SELL",-1,0))+IF(W240="BUY",1,IF(W240="SELL",-1,0))+IF(X240="BUY",1,IF(X240="SELL",-1,0)),0))</f>
        <v>0</v>
      </c>
      <c r="Z240" s="32" t="str">
        <f aca="false">IF(Y240="","",IF(Y240&gt;=2,"STRONG BUY",IF(Y240=1,"BUY",IF(Y240=0,"HOLD",IF(Y240=-1,"SELL","STRONG SELL")))))</f>
        <v>HOLD</v>
      </c>
    </row>
    <row r="241" customFormat="false" ht="15" hidden="false" customHeight="false" outlineLevel="0" collapsed="false">
      <c r="A241" s="24" t="n">
        <v>46105</v>
      </c>
      <c r="B241" s="25" t="n">
        <v>70.09</v>
      </c>
      <c r="C241" s="25" t="n">
        <v>70.09</v>
      </c>
      <c r="D241" s="25" t="n">
        <v>69.99</v>
      </c>
      <c r="E241" s="25" t="n">
        <v>70.04</v>
      </c>
      <c r="F241" s="26" t="n">
        <v>29567053</v>
      </c>
      <c r="G241" s="27" t="n">
        <f aca="false">E241-E240</f>
        <v>-0.609999999999999</v>
      </c>
      <c r="H241" s="28" t="n">
        <f aca="false">G241/E240</f>
        <v>-0.00863411181882519</v>
      </c>
      <c r="I241" s="29" t="n">
        <f aca="false">MAX(G241,0)</f>
        <v>0</v>
      </c>
      <c r="J241" s="29" t="n">
        <f aca="false">MAX(-G241,0)</f>
        <v>0.609999999999999</v>
      </c>
      <c r="K241" s="29" t="n">
        <f aca="false">(K240*13+I241)/14</f>
        <v>0.441558931287272</v>
      </c>
      <c r="L241" s="29" t="n">
        <f aca="false">(L240*13+J241)/14</f>
        <v>0.446675053825055</v>
      </c>
      <c r="M241" s="31" t="n">
        <f aca="false">IF(L241=0,100,100-100/(1+K241/MAX(L241,0.000001)))</f>
        <v>49.7120059227898</v>
      </c>
      <c r="N241" s="30" t="n">
        <f aca="false">AVERAGE(E222:E241)</f>
        <v>70.656</v>
      </c>
      <c r="O241" s="30" t="n">
        <f aca="false">AVERAGE(E192:E241)</f>
        <v>70.5328</v>
      </c>
      <c r="P241" s="30" t="n">
        <f aca="false">AVERAGE(E42:E241)</f>
        <v>67.57925</v>
      </c>
      <c r="Q241" s="30" t="n">
        <f aca="false">Q240+(2/13)*(E241-Q240)</f>
        <v>69.9540968862364</v>
      </c>
      <c r="R241" s="30" t="n">
        <f aca="false">R240+(2/27)*(E241-R240)</f>
        <v>70.1101573270727</v>
      </c>
      <c r="S241" s="33" t="n">
        <f aca="false">Q241-R241</f>
        <v>-0.156060440836228</v>
      </c>
      <c r="T241" s="33" t="n">
        <f aca="false">T240+(2/10)*(S241-T240)</f>
        <v>-0.0579409536905796</v>
      </c>
      <c r="U241" s="33" t="n">
        <f aca="false">S241-T241</f>
        <v>-0.0981194871456484</v>
      </c>
      <c r="V241" s="32" t="str">
        <f aca="false">IF(M241="","",IF(M241&lt;Assumptions!$B$5,"BUY",IF(M241&gt;Assumptions!$B$4,"SELL","HOLD")))</f>
        <v>HOLD</v>
      </c>
      <c r="W241" s="32" t="str">
        <f aca="false">IF(O241="","",IF(E241&gt;O241,"BUY","SELL"))</f>
        <v>SELL</v>
      </c>
      <c r="X241" s="32" t="str">
        <f aca="false">IF(T241="","",IF(S241&gt;T241,"BUY","SELL"))</f>
        <v>SELL</v>
      </c>
      <c r="Y241" s="34" t="n">
        <f aca="false">IF(OR(V241="",W241="",X241=""),"",IFERROR(IF(V241="BUY",1,IF(V241="SELL",-1,0))+IF(W241="BUY",1,IF(W241="SELL",-1,0))+IF(X241="BUY",1,IF(X241="SELL",-1,0)),0))</f>
        <v>-2</v>
      </c>
      <c r="Z241" s="32" t="str">
        <f aca="false">IF(Y241="","",IF(Y241&gt;=2,"STRONG BUY",IF(Y241=1,"BUY",IF(Y241=0,"HOLD",IF(Y241=-1,"SELL","STRONG SELL")))))</f>
        <v>STRONG SELL</v>
      </c>
    </row>
    <row r="242" customFormat="false" ht="15" hidden="false" customHeight="false" outlineLevel="0" collapsed="false">
      <c r="A242" s="24" t="n">
        <v>46106</v>
      </c>
      <c r="B242" s="25" t="n">
        <v>69.93</v>
      </c>
      <c r="C242" s="25" t="n">
        <v>69.93</v>
      </c>
      <c r="D242" s="25" t="n">
        <v>69.57</v>
      </c>
      <c r="E242" s="25" t="n">
        <v>69.75</v>
      </c>
      <c r="F242" s="26" t="n">
        <v>16994997</v>
      </c>
      <c r="G242" s="27" t="n">
        <f aca="false">E242-E241</f>
        <v>-0.290000000000006</v>
      </c>
      <c r="H242" s="28" t="n">
        <f aca="false">G242/E241</f>
        <v>-0.00414049114791557</v>
      </c>
      <c r="I242" s="29" t="n">
        <f aca="false">MAX(G242,0)</f>
        <v>0</v>
      </c>
      <c r="J242" s="29" t="n">
        <f aca="false">MAX(-G242,0)</f>
        <v>0.290000000000006</v>
      </c>
      <c r="K242" s="29" t="n">
        <f aca="false">(K241*13+I242)/14</f>
        <v>0.410019007623895</v>
      </c>
      <c r="L242" s="29" t="n">
        <f aca="false">(L241*13+J242)/14</f>
        <v>0.435483978551838</v>
      </c>
      <c r="M242" s="31" t="n">
        <f aca="false">IF(L242=0,100,100-100/(1+K242/MAX(L242,0.000001)))</f>
        <v>48.4940933772971</v>
      </c>
      <c r="N242" s="30" t="n">
        <f aca="false">AVERAGE(E223:E242)</f>
        <v>70.6455</v>
      </c>
      <c r="O242" s="30" t="n">
        <f aca="false">AVERAGE(E193:E242)</f>
        <v>70.5182</v>
      </c>
      <c r="P242" s="30" t="n">
        <f aca="false">AVERAGE(E43:E242)</f>
        <v>67.5442</v>
      </c>
      <c r="Q242" s="30" t="n">
        <f aca="false">Q241+(2/13)*(E242-Q241)</f>
        <v>69.922697365277</v>
      </c>
      <c r="R242" s="30" t="n">
        <f aca="false">R241+(2/27)*(E242-R241)</f>
        <v>70.0834790065488</v>
      </c>
      <c r="S242" s="33" t="n">
        <f aca="false">Q242-R242</f>
        <v>-0.160781641271782</v>
      </c>
      <c r="T242" s="33" t="n">
        <f aca="false">T241+(2/10)*(S242-T241)</f>
        <v>-0.0785090912068202</v>
      </c>
      <c r="U242" s="33" t="n">
        <f aca="false">S242-T242</f>
        <v>-0.0822725500649622</v>
      </c>
      <c r="V242" s="32" t="str">
        <f aca="false">IF(M242="","",IF(M242&lt;Assumptions!$B$5,"BUY",IF(M242&gt;Assumptions!$B$4,"SELL","HOLD")))</f>
        <v>HOLD</v>
      </c>
      <c r="W242" s="32" t="str">
        <f aca="false">IF(O242="","",IF(E242&gt;O242,"BUY","SELL"))</f>
        <v>SELL</v>
      </c>
      <c r="X242" s="32" t="str">
        <f aca="false">IF(T242="","",IF(S242&gt;T242,"BUY","SELL"))</f>
        <v>SELL</v>
      </c>
      <c r="Y242" s="34" t="n">
        <f aca="false">IF(OR(V242="",W242="",X242=""),"",IFERROR(IF(V242="BUY",1,IF(V242="SELL",-1,0))+IF(W242="BUY",1,IF(W242="SELL",-1,0))+IF(X242="BUY",1,IF(X242="SELL",-1,0)),0))</f>
        <v>-2</v>
      </c>
      <c r="Z242" s="32" t="str">
        <f aca="false">IF(Y242="","",IF(Y242&gt;=2,"STRONG BUY",IF(Y242=1,"BUY",IF(Y242=0,"HOLD",IF(Y242=-1,"SELL","STRONG SELL")))))</f>
        <v>STRONG SELL</v>
      </c>
    </row>
    <row r="243" customFormat="false" ht="15" hidden="false" customHeight="false" outlineLevel="0" collapsed="false">
      <c r="A243" s="24" t="n">
        <v>46107</v>
      </c>
      <c r="B243" s="25" t="n">
        <v>69.73</v>
      </c>
      <c r="C243" s="25" t="n">
        <v>69.86</v>
      </c>
      <c r="D243" s="25" t="n">
        <v>69.44</v>
      </c>
      <c r="E243" s="25" t="n">
        <v>69.65</v>
      </c>
      <c r="F243" s="26" t="n">
        <v>33180172</v>
      </c>
      <c r="G243" s="27" t="n">
        <f aca="false">E243-E242</f>
        <v>-0.0999999999999943</v>
      </c>
      <c r="H243" s="28" t="n">
        <f aca="false">G243/E242</f>
        <v>-0.00143369175627232</v>
      </c>
      <c r="I243" s="29" t="n">
        <f aca="false">MAX(G243,0)</f>
        <v>0</v>
      </c>
      <c r="J243" s="29" t="n">
        <f aca="false">MAX(-G243,0)</f>
        <v>0.0999999999999943</v>
      </c>
      <c r="K243" s="29" t="n">
        <f aca="false">(K242*13+I243)/14</f>
        <v>0.38073193565076</v>
      </c>
      <c r="L243" s="29" t="n">
        <f aca="false">(L242*13+J243)/14</f>
        <v>0.411520837226706</v>
      </c>
      <c r="M243" s="31" t="n">
        <f aca="false">IF(L243=0,100,100-100/(1+K243/MAX(L243,0.000001)))</f>
        <v>48.0568763764549</v>
      </c>
      <c r="N243" s="30" t="n">
        <f aca="false">AVERAGE(E224:E243)</f>
        <v>70.595</v>
      </c>
      <c r="O243" s="30" t="n">
        <f aca="false">AVERAGE(E194:E243)</f>
        <v>70.5036</v>
      </c>
      <c r="P243" s="30" t="n">
        <f aca="false">AVERAGE(E44:E243)</f>
        <v>67.50795</v>
      </c>
      <c r="Q243" s="30" t="n">
        <f aca="false">Q242+(2/13)*(E243-Q242)</f>
        <v>69.8807439244651</v>
      </c>
      <c r="R243" s="30" t="n">
        <f aca="false">R242+(2/27)*(E243-R242)</f>
        <v>70.0513694505081</v>
      </c>
      <c r="S243" s="33" t="n">
        <f aca="false">Q243-R243</f>
        <v>-0.170625526042969</v>
      </c>
      <c r="T243" s="33" t="n">
        <f aca="false">T242+(2/10)*(S243-T242)</f>
        <v>-0.0969323781740499</v>
      </c>
      <c r="U243" s="33" t="n">
        <f aca="false">S243-T243</f>
        <v>-0.0736931478689187</v>
      </c>
      <c r="V243" s="32" t="str">
        <f aca="false">IF(M243="","",IF(M243&lt;Assumptions!$B$5,"BUY",IF(M243&gt;Assumptions!$B$4,"SELL","HOLD")))</f>
        <v>HOLD</v>
      </c>
      <c r="W243" s="32" t="str">
        <f aca="false">IF(O243="","",IF(E243&gt;O243,"BUY","SELL"))</f>
        <v>SELL</v>
      </c>
      <c r="X243" s="32" t="str">
        <f aca="false">IF(T243="","",IF(S243&gt;T243,"BUY","SELL"))</f>
        <v>SELL</v>
      </c>
      <c r="Y243" s="34" t="n">
        <f aca="false">IF(OR(V243="",W243="",X243=""),"",IFERROR(IF(V243="BUY",1,IF(V243="SELL",-1,0))+IF(W243="BUY",1,IF(W243="SELL",-1,0))+IF(X243="BUY",1,IF(X243="SELL",-1,0)),0))</f>
        <v>-2</v>
      </c>
      <c r="Z243" s="32" t="str">
        <f aca="false">IF(Y243="","",IF(Y243&gt;=2,"STRONG BUY",IF(Y243=1,"BUY",IF(Y243=0,"HOLD",IF(Y243=-1,"SELL","STRONG SELL")))))</f>
        <v>STRONG SELL</v>
      </c>
    </row>
    <row r="244" customFormat="false" ht="15" hidden="false" customHeight="false" outlineLevel="0" collapsed="false">
      <c r="A244" s="24" t="n">
        <v>46108</v>
      </c>
      <c r="B244" s="25" t="n">
        <v>68.87</v>
      </c>
      <c r="C244" s="25" t="n">
        <v>69.2</v>
      </c>
      <c r="D244" s="25" t="n">
        <v>68.66</v>
      </c>
      <c r="E244" s="25" t="n">
        <v>68.93</v>
      </c>
      <c r="F244" s="26" t="n">
        <v>23369978</v>
      </c>
      <c r="G244" s="27" t="n">
        <f aca="false">E244-E243</f>
        <v>-0.719999999999999</v>
      </c>
      <c r="H244" s="28" t="n">
        <f aca="false">G244/E243</f>
        <v>-0.0103374012921751</v>
      </c>
      <c r="I244" s="29" t="n">
        <f aca="false">MAX(G244,0)</f>
        <v>0</v>
      </c>
      <c r="J244" s="29" t="n">
        <f aca="false">MAX(-G244,0)</f>
        <v>0.719999999999999</v>
      </c>
      <c r="K244" s="29" t="n">
        <f aca="false">(K243*13+I244)/14</f>
        <v>0.353536797389991</v>
      </c>
      <c r="L244" s="29" t="n">
        <f aca="false">(L243*13+J244)/14</f>
        <v>0.433555063139084</v>
      </c>
      <c r="M244" s="31" t="n">
        <f aca="false">IF(L244=0,100,100-100/(1+K244/MAX(L244,0.000001)))</f>
        <v>44.9168407296637</v>
      </c>
      <c r="N244" s="30" t="n">
        <f aca="false">AVERAGE(E225:E244)</f>
        <v>70.536</v>
      </c>
      <c r="O244" s="30" t="n">
        <f aca="false">AVERAGE(E195:E244)</f>
        <v>70.476</v>
      </c>
      <c r="P244" s="30" t="n">
        <f aca="false">AVERAGE(E45:E244)</f>
        <v>67.4635</v>
      </c>
      <c r="Q244" s="30" t="n">
        <f aca="false">Q243+(2/13)*(E244-Q243)</f>
        <v>69.7344756283936</v>
      </c>
      <c r="R244" s="30" t="n">
        <f aca="false">R243+(2/27)*(E244-R243)</f>
        <v>69.9683050467668</v>
      </c>
      <c r="S244" s="33" t="n">
        <f aca="false">Q244-R244</f>
        <v>-0.233829418373176</v>
      </c>
      <c r="T244" s="33" t="n">
        <f aca="false">T243+(2/10)*(S244-T243)</f>
        <v>-0.124311786213875</v>
      </c>
      <c r="U244" s="33" t="n">
        <f aca="false">S244-T244</f>
        <v>-0.109517632159301</v>
      </c>
      <c r="V244" s="32" t="str">
        <f aca="false">IF(M244="","",IF(M244&lt;Assumptions!$B$5,"BUY",IF(M244&gt;Assumptions!$B$4,"SELL","HOLD")))</f>
        <v>HOLD</v>
      </c>
      <c r="W244" s="32" t="str">
        <f aca="false">IF(O244="","",IF(E244&gt;O244,"BUY","SELL"))</f>
        <v>SELL</v>
      </c>
      <c r="X244" s="32" t="str">
        <f aca="false">IF(T244="","",IF(S244&gt;T244,"BUY","SELL"))</f>
        <v>SELL</v>
      </c>
      <c r="Y244" s="34" t="n">
        <f aca="false">IF(OR(V244="",W244="",X244=""),"",IFERROR(IF(V244="BUY",1,IF(V244="SELL",-1,0))+IF(W244="BUY",1,IF(W244="SELL",-1,0))+IF(X244="BUY",1,IF(X244="SELL",-1,0)),0))</f>
        <v>-2</v>
      </c>
      <c r="Z244" s="32" t="str">
        <f aca="false">IF(Y244="","",IF(Y244&gt;=2,"STRONG BUY",IF(Y244=1,"BUY",IF(Y244=0,"HOLD",IF(Y244=-1,"SELL","STRONG SELL")))))</f>
        <v>STRONG SELL</v>
      </c>
    </row>
    <row r="245" customFormat="false" ht="15" hidden="false" customHeight="false" outlineLevel="0" collapsed="false">
      <c r="A245" s="24" t="n">
        <v>46111</v>
      </c>
      <c r="B245" s="25" t="n">
        <v>67.09</v>
      </c>
      <c r="C245" s="25" t="n">
        <v>67.29</v>
      </c>
      <c r="D245" s="25" t="n">
        <v>67.09</v>
      </c>
      <c r="E245" s="25" t="n">
        <v>67.19</v>
      </c>
      <c r="F245" s="26" t="n">
        <v>32424912</v>
      </c>
      <c r="G245" s="27" t="n">
        <f aca="false">E245-E244</f>
        <v>-1.74000000000001</v>
      </c>
      <c r="H245" s="28" t="n">
        <f aca="false">G245/E244</f>
        <v>-0.0252430001450748</v>
      </c>
      <c r="I245" s="29" t="n">
        <f aca="false">MAX(G245,0)</f>
        <v>0</v>
      </c>
      <c r="J245" s="29" t="n">
        <f aca="false">MAX(-G245,0)</f>
        <v>1.74000000000001</v>
      </c>
      <c r="K245" s="29" t="n">
        <f aca="false">(K244*13+I245)/14</f>
        <v>0.328284169004992</v>
      </c>
      <c r="L245" s="29" t="n">
        <f aca="false">(L244*13+J245)/14</f>
        <v>0.52687255862915</v>
      </c>
      <c r="M245" s="31" t="n">
        <f aca="false">IF(L245=0,100,100-100/(1+K245/MAX(L245,0.000001)))</f>
        <v>38.388772302969</v>
      </c>
      <c r="N245" s="30" t="n">
        <f aca="false">AVERAGE(E226:E245)</f>
        <v>70.3365</v>
      </c>
      <c r="O245" s="30" t="n">
        <f aca="false">AVERAGE(E196:E245)</f>
        <v>70.414</v>
      </c>
      <c r="P245" s="30" t="n">
        <f aca="false">AVERAGE(E46:E245)</f>
        <v>67.4012</v>
      </c>
      <c r="Q245" s="30" t="n">
        <f aca="false">Q244+(2/13)*(E245-Q244)</f>
        <v>69.34301783941</v>
      </c>
      <c r="R245" s="30" t="n">
        <f aca="false">R244+(2/27)*(E245-R244)</f>
        <v>69.7625046729322</v>
      </c>
      <c r="S245" s="33" t="n">
        <f aca="false">Q245-R245</f>
        <v>-0.419486833522228</v>
      </c>
      <c r="T245" s="33" t="n">
        <f aca="false">T244+(2/10)*(S245-T244)</f>
        <v>-0.183346795675546</v>
      </c>
      <c r="U245" s="33" t="n">
        <f aca="false">S245-T245</f>
        <v>-0.236140037846682</v>
      </c>
      <c r="V245" s="32" t="str">
        <f aca="false">IF(M245="","",IF(M245&lt;Assumptions!$B$5,"BUY",IF(M245&gt;Assumptions!$B$4,"SELL","HOLD")))</f>
        <v>HOLD</v>
      </c>
      <c r="W245" s="32" t="str">
        <f aca="false">IF(O245="","",IF(E245&gt;O245,"BUY","SELL"))</f>
        <v>SELL</v>
      </c>
      <c r="X245" s="32" t="str">
        <f aca="false">IF(T245="","",IF(S245&gt;T245,"BUY","SELL"))</f>
        <v>SELL</v>
      </c>
      <c r="Y245" s="34" t="n">
        <f aca="false">IF(OR(V245="",W245="",X245=""),"",IFERROR(IF(V245="BUY",1,IF(V245="SELL",-1,0))+IF(W245="BUY",1,IF(W245="SELL",-1,0))+IF(X245="BUY",1,IF(X245="SELL",-1,0)),0))</f>
        <v>-2</v>
      </c>
      <c r="Z245" s="32" t="str">
        <f aca="false">IF(Y245="","",IF(Y245&gt;=2,"STRONG BUY",IF(Y245=1,"BUY",IF(Y245=0,"HOLD",IF(Y245=-1,"SELL","STRONG SELL")))))</f>
        <v>STRONG SELL</v>
      </c>
    </row>
    <row r="246" customFormat="false" ht="15" hidden="false" customHeight="false" outlineLevel="0" collapsed="false">
      <c r="A246" s="24" t="n">
        <v>46112</v>
      </c>
      <c r="B246" s="25" t="n">
        <v>67.07</v>
      </c>
      <c r="C246" s="25" t="n">
        <v>67.13</v>
      </c>
      <c r="D246" s="25" t="n">
        <v>66.51</v>
      </c>
      <c r="E246" s="25" t="n">
        <v>66.82</v>
      </c>
      <c r="F246" s="26" t="n">
        <v>33692551</v>
      </c>
      <c r="G246" s="27" t="n">
        <f aca="false">E246-E245</f>
        <v>-0.370000000000005</v>
      </c>
      <c r="H246" s="28" t="n">
        <f aca="false">G246/E245</f>
        <v>-0.00550677184104784</v>
      </c>
      <c r="I246" s="29" t="n">
        <f aca="false">MAX(G246,0)</f>
        <v>0</v>
      </c>
      <c r="J246" s="29" t="n">
        <f aca="false">MAX(-G246,0)</f>
        <v>0.370000000000005</v>
      </c>
      <c r="K246" s="29" t="n">
        <f aca="false">(K245*13+I246)/14</f>
        <v>0.304835299790349</v>
      </c>
      <c r="L246" s="29" t="n">
        <f aca="false">(L245*13+J246)/14</f>
        <v>0.515667375869925</v>
      </c>
      <c r="M246" s="31" t="n">
        <f aca="false">IF(L246=0,100,100-100/(1+K246/MAX(L246,0.000001)))</f>
        <v>37.1522615139606</v>
      </c>
      <c r="N246" s="30" t="n">
        <f aca="false">AVERAGE(E227:E246)</f>
        <v>70.044</v>
      </c>
      <c r="O246" s="30" t="n">
        <f aca="false">AVERAGE(E197:E246)</f>
        <v>70.3058</v>
      </c>
      <c r="P246" s="30" t="n">
        <f aca="false">AVERAGE(E47:E246)</f>
        <v>67.3332</v>
      </c>
      <c r="Q246" s="30" t="n">
        <f aca="false">Q245+(2/13)*(E246-Q245)</f>
        <v>68.9548612487315</v>
      </c>
      <c r="R246" s="30" t="n">
        <f aca="false">R245+(2/27)*(E246-R245)</f>
        <v>69.5445413638261</v>
      </c>
      <c r="S246" s="33" t="n">
        <f aca="false">Q246-R246</f>
        <v>-0.589680115094595</v>
      </c>
      <c r="T246" s="33" t="n">
        <f aca="false">T245+(2/10)*(S246-T245)</f>
        <v>-0.264613459559356</v>
      </c>
      <c r="U246" s="33" t="n">
        <f aca="false">S246-T246</f>
        <v>-0.325066655535239</v>
      </c>
      <c r="V246" s="32" t="str">
        <f aca="false">IF(M246="","",IF(M246&lt;Assumptions!$B$5,"BUY",IF(M246&gt;Assumptions!$B$4,"SELL","HOLD")))</f>
        <v>HOLD</v>
      </c>
      <c r="W246" s="32" t="str">
        <f aca="false">IF(O246="","",IF(E246&gt;O246,"BUY","SELL"))</f>
        <v>SELL</v>
      </c>
      <c r="X246" s="32" t="str">
        <f aca="false">IF(T246="","",IF(S246&gt;T246,"BUY","SELL"))</f>
        <v>SELL</v>
      </c>
      <c r="Y246" s="34" t="n">
        <f aca="false">IF(OR(V246="",W246="",X246=""),"",IFERROR(IF(V246="BUY",1,IF(V246="SELL",-1,0))+IF(W246="BUY",1,IF(W246="SELL",-1,0))+IF(X246="BUY",1,IF(X246="SELL",-1,0)),0))</f>
        <v>-2</v>
      </c>
      <c r="Z246" s="32" t="str">
        <f aca="false">IF(Y246="","",IF(Y246&gt;=2,"STRONG BUY",IF(Y246=1,"BUY",IF(Y246=0,"HOLD",IF(Y246=-1,"SELL","STRONG SELL")))))</f>
        <v>STRONG SELL</v>
      </c>
    </row>
    <row r="247" customFormat="false" ht="15" hidden="false" customHeight="false" outlineLevel="0" collapsed="false">
      <c r="A247" s="24" t="n">
        <v>46113</v>
      </c>
      <c r="B247" s="25" t="n">
        <v>67.67</v>
      </c>
      <c r="C247" s="25" t="n">
        <v>68.49</v>
      </c>
      <c r="D247" s="25" t="n">
        <v>67.67</v>
      </c>
      <c r="E247" s="25" t="n">
        <v>68.08</v>
      </c>
      <c r="F247" s="26" t="n">
        <v>26971156</v>
      </c>
      <c r="G247" s="27" t="n">
        <f aca="false">E247-E246</f>
        <v>1.26000000000001</v>
      </c>
      <c r="H247" s="28" t="n">
        <f aca="false">G247/E246</f>
        <v>0.0188566297515715</v>
      </c>
      <c r="I247" s="29" t="n">
        <f aca="false">MAX(G247,0)</f>
        <v>1.26000000000001</v>
      </c>
      <c r="J247" s="29" t="n">
        <f aca="false">MAX(-G247,0)</f>
        <v>0</v>
      </c>
      <c r="K247" s="29" t="n">
        <f aca="false">(K246*13+I247)/14</f>
        <v>0.373061349805325</v>
      </c>
      <c r="L247" s="29" t="n">
        <f aca="false">(L246*13+J247)/14</f>
        <v>0.478833991879216</v>
      </c>
      <c r="M247" s="31" t="n">
        <f aca="false">IF(L247=0,100,100-100/(1+K247/MAX(L247,0.000001)))</f>
        <v>43.7919227340335</v>
      </c>
      <c r="N247" s="30" t="n">
        <f aca="false">AVERAGE(E228:E247)</f>
        <v>69.7335</v>
      </c>
      <c r="O247" s="30" t="n">
        <f aca="false">AVERAGE(E198:E247)</f>
        <v>70.2418</v>
      </c>
      <c r="P247" s="30" t="n">
        <f aca="false">AVERAGE(E48:E247)</f>
        <v>67.2727</v>
      </c>
      <c r="Q247" s="30" t="n">
        <f aca="false">Q246+(2/13)*(E247-Q246)</f>
        <v>68.8202672104651</v>
      </c>
      <c r="R247" s="30" t="n">
        <f aca="false">R246+(2/27)*(E247-R246)</f>
        <v>69.4360568183575</v>
      </c>
      <c r="S247" s="33" t="n">
        <f aca="false">Q247-R247</f>
        <v>-0.615789607892381</v>
      </c>
      <c r="T247" s="33" t="n">
        <f aca="false">T246+(2/10)*(S247-T246)</f>
        <v>-0.334848689225961</v>
      </c>
      <c r="U247" s="33" t="n">
        <f aca="false">S247-T247</f>
        <v>-0.280940918666421</v>
      </c>
      <c r="V247" s="32" t="str">
        <f aca="false">IF(M247="","",IF(M247&lt;Assumptions!$B$5,"BUY",IF(M247&gt;Assumptions!$B$4,"SELL","HOLD")))</f>
        <v>HOLD</v>
      </c>
      <c r="W247" s="32" t="str">
        <f aca="false">IF(O247="","",IF(E247&gt;O247,"BUY","SELL"))</f>
        <v>SELL</v>
      </c>
      <c r="X247" s="32" t="str">
        <f aca="false">IF(T247="","",IF(S247&gt;T247,"BUY","SELL"))</f>
        <v>SELL</v>
      </c>
      <c r="Y247" s="34" t="n">
        <f aca="false">IF(OR(V247="",W247="",X247=""),"",IFERROR(IF(V247="BUY",1,IF(V247="SELL",-1,0))+IF(W247="BUY",1,IF(W247="SELL",-1,0))+IF(X247="BUY",1,IF(X247="SELL",-1,0)),0))</f>
        <v>-2</v>
      </c>
      <c r="Z247" s="32" t="str">
        <f aca="false">IF(Y247="","",IF(Y247&gt;=2,"STRONG BUY",IF(Y247=1,"BUY",IF(Y247=0,"HOLD",IF(Y247=-1,"SELL","STRONG SELL")))))</f>
        <v>STRONG SELL</v>
      </c>
    </row>
    <row r="248" customFormat="false" ht="15" hidden="false" customHeight="false" outlineLevel="0" collapsed="false">
      <c r="A248" s="24" t="n">
        <v>46114</v>
      </c>
      <c r="B248" s="25" t="n">
        <v>66.99</v>
      </c>
      <c r="C248" s="25" t="n">
        <v>67.83</v>
      </c>
      <c r="D248" s="25" t="n">
        <v>66.67</v>
      </c>
      <c r="E248" s="25" t="n">
        <v>67.25</v>
      </c>
      <c r="F248" s="26" t="n">
        <v>23837942</v>
      </c>
      <c r="G248" s="27" t="n">
        <f aca="false">E248-E247</f>
        <v>-0.829999999999998</v>
      </c>
      <c r="H248" s="28" t="n">
        <f aca="false">G248/E247</f>
        <v>-0.0121915393654524</v>
      </c>
      <c r="I248" s="29" t="n">
        <f aca="false">MAX(G248,0)</f>
        <v>0</v>
      </c>
      <c r="J248" s="29" t="n">
        <f aca="false">MAX(-G248,0)</f>
        <v>0.829999999999998</v>
      </c>
      <c r="K248" s="29" t="n">
        <f aca="false">(K247*13+I248)/14</f>
        <v>0.346414110533516</v>
      </c>
      <c r="L248" s="29" t="n">
        <f aca="false">(L247*13+J248)/14</f>
        <v>0.503917278173558</v>
      </c>
      <c r="M248" s="31" t="n">
        <f aca="false">IF(L248=0,100,100-100/(1+K248/MAX(L248,0.000001)))</f>
        <v>40.7387184730694</v>
      </c>
      <c r="N248" s="30" t="n">
        <f aca="false">AVERAGE(E229:E248)</f>
        <v>69.44</v>
      </c>
      <c r="O248" s="30" t="n">
        <f aca="false">AVERAGE(E199:E248)</f>
        <v>70.1076</v>
      </c>
      <c r="P248" s="30" t="n">
        <f aca="false">AVERAGE(E49:E248)</f>
        <v>67.2102</v>
      </c>
      <c r="Q248" s="30" t="n">
        <f aca="false">Q247+(2/13)*(E248-Q247)</f>
        <v>68.5786876396243</v>
      </c>
      <c r="R248" s="30" t="n">
        <f aca="false">R247+(2/27)*(E248-R247)</f>
        <v>69.2741266836644</v>
      </c>
      <c r="S248" s="33" t="n">
        <f aca="false">Q248-R248</f>
        <v>-0.695439044040015</v>
      </c>
      <c r="T248" s="33" t="n">
        <f aca="false">T247+(2/10)*(S248-T247)</f>
        <v>-0.406966760188772</v>
      </c>
      <c r="U248" s="33" t="n">
        <f aca="false">S248-T248</f>
        <v>-0.288472283851243</v>
      </c>
      <c r="V248" s="32" t="str">
        <f aca="false">IF(M248="","",IF(M248&lt;Assumptions!$B$5,"BUY",IF(M248&gt;Assumptions!$B$4,"SELL","HOLD")))</f>
        <v>HOLD</v>
      </c>
      <c r="W248" s="32" t="str">
        <f aca="false">IF(O248="","",IF(E248&gt;O248,"BUY","SELL"))</f>
        <v>SELL</v>
      </c>
      <c r="X248" s="32" t="str">
        <f aca="false">IF(T248="","",IF(S248&gt;T248,"BUY","SELL"))</f>
        <v>SELL</v>
      </c>
      <c r="Y248" s="34" t="n">
        <f aca="false">IF(OR(V248="",W248="",X248=""),"",IFERROR(IF(V248="BUY",1,IF(V248="SELL",-1,0))+IF(W248="BUY",1,IF(W248="SELL",-1,0))+IF(X248="BUY",1,IF(X248="SELL",-1,0)),0))</f>
        <v>-2</v>
      </c>
      <c r="Z248" s="32" t="str">
        <f aca="false">IF(Y248="","",IF(Y248&gt;=2,"STRONG BUY",IF(Y248=1,"BUY",IF(Y248=0,"HOLD",IF(Y248=-1,"SELL","STRONG SELL")))))</f>
        <v>STRONG SELL</v>
      </c>
    </row>
    <row r="249" customFormat="false" ht="15" hidden="false" customHeight="false" outlineLevel="0" collapsed="false">
      <c r="A249" s="24" t="n">
        <v>46115</v>
      </c>
      <c r="B249" s="25" t="n">
        <v>65.43</v>
      </c>
      <c r="C249" s="25" t="n">
        <v>65.8</v>
      </c>
      <c r="D249" s="25" t="n">
        <v>64.88</v>
      </c>
      <c r="E249" s="25" t="n">
        <v>65.34</v>
      </c>
      <c r="F249" s="26" t="n">
        <v>27025055</v>
      </c>
      <c r="G249" s="27" t="n">
        <f aca="false">E249-E248</f>
        <v>-1.91</v>
      </c>
      <c r="H249" s="28" t="n">
        <f aca="false">G249/E248</f>
        <v>-0.0284014869888475</v>
      </c>
      <c r="I249" s="29" t="n">
        <f aca="false">MAX(G249,0)</f>
        <v>0</v>
      </c>
      <c r="J249" s="29" t="n">
        <f aca="false">MAX(-G249,0)</f>
        <v>1.91</v>
      </c>
      <c r="K249" s="29" t="n">
        <f aca="false">(K248*13+I249)/14</f>
        <v>0.321670245495408</v>
      </c>
      <c r="L249" s="29" t="n">
        <f aca="false">(L248*13+J249)/14</f>
        <v>0.604351758304018</v>
      </c>
      <c r="M249" s="31" t="n">
        <f aca="false">IF(L249=0,100,100-100/(1+K249/MAX(L249,0.000001)))</f>
        <v>34.736782082457</v>
      </c>
      <c r="N249" s="30" t="n">
        <f aca="false">AVERAGE(E230:E249)</f>
        <v>69.0265</v>
      </c>
      <c r="O249" s="30" t="n">
        <f aca="false">AVERAGE(E200:E249)</f>
        <v>69.9496</v>
      </c>
      <c r="P249" s="30" t="n">
        <f aca="false">AVERAGE(E50:E249)</f>
        <v>67.14225</v>
      </c>
      <c r="Q249" s="30" t="n">
        <f aca="false">Q248+(2/13)*(E249-Q248)</f>
        <v>68.0804280027591</v>
      </c>
      <c r="R249" s="30" t="n">
        <f aca="false">R248+(2/27)*(E249-R248)</f>
        <v>68.9827098922818</v>
      </c>
      <c r="S249" s="33" t="n">
        <f aca="false">Q249-R249</f>
        <v>-0.902281889522755</v>
      </c>
      <c r="T249" s="33" t="n">
        <f aca="false">T248+(2/10)*(S249-T248)</f>
        <v>-0.506029786055568</v>
      </c>
      <c r="U249" s="33" t="n">
        <f aca="false">S249-T249</f>
        <v>-0.396252103467186</v>
      </c>
      <c r="V249" s="32" t="str">
        <f aca="false">IF(M249="","",IF(M249&lt;Assumptions!$B$5,"BUY",IF(M249&gt;Assumptions!$B$4,"SELL","HOLD")))</f>
        <v>HOLD</v>
      </c>
      <c r="W249" s="32" t="str">
        <f aca="false">IF(O249="","",IF(E249&gt;O249,"BUY","SELL"))</f>
        <v>SELL</v>
      </c>
      <c r="X249" s="32" t="str">
        <f aca="false">IF(T249="","",IF(S249&gt;T249,"BUY","SELL"))</f>
        <v>SELL</v>
      </c>
      <c r="Y249" s="34" t="n">
        <f aca="false">IF(OR(V249="",W249="",X249=""),"",IFERROR(IF(V249="BUY",1,IF(V249="SELL",-1,0))+IF(W249="BUY",1,IF(W249="SELL",-1,0))+IF(X249="BUY",1,IF(X249="SELL",-1,0)),0))</f>
        <v>-2</v>
      </c>
      <c r="Z249" s="32" t="str">
        <f aca="false">IF(Y249="","",IF(Y249&gt;=2,"STRONG BUY",IF(Y249=1,"BUY",IF(Y249=0,"HOLD",IF(Y249=-1,"SELL","STRONG SELL")))))</f>
        <v>STRONG SELL</v>
      </c>
    </row>
    <row r="250" customFormat="false" ht="15" hidden="false" customHeight="false" outlineLevel="0" collapsed="false">
      <c r="A250" s="24" t="n">
        <v>46118</v>
      </c>
      <c r="B250" s="25" t="n">
        <v>65.32</v>
      </c>
      <c r="C250" s="25" t="n">
        <v>65.96</v>
      </c>
      <c r="D250" s="25" t="n">
        <v>64.56</v>
      </c>
      <c r="E250" s="25" t="n">
        <v>65.26</v>
      </c>
      <c r="F250" s="26" t="n">
        <v>16689929</v>
      </c>
      <c r="G250" s="27" t="n">
        <f aca="false">E250-E249</f>
        <v>-0.0799999999999983</v>
      </c>
      <c r="H250" s="28" t="n">
        <f aca="false">G250/E249</f>
        <v>-0.00122436486072847</v>
      </c>
      <c r="I250" s="29" t="n">
        <f aca="false">MAX(G250,0)</f>
        <v>0</v>
      </c>
      <c r="J250" s="29" t="n">
        <f aca="false">MAX(-G250,0)</f>
        <v>0.0799999999999983</v>
      </c>
      <c r="K250" s="29" t="n">
        <f aca="false">(K249*13+I250)/14</f>
        <v>0.298693799388593</v>
      </c>
      <c r="L250" s="29" t="n">
        <f aca="false">(L249*13+J250)/14</f>
        <v>0.566898061282302</v>
      </c>
      <c r="M250" s="31" t="n">
        <f aca="false">IF(L250=0,100,100-100/(1+K250/MAX(L250,0.000001)))</f>
        <v>34.5074639631066</v>
      </c>
      <c r="N250" s="30" t="n">
        <f aca="false">AVERAGE(E231:E250)</f>
        <v>68.6785</v>
      </c>
      <c r="O250" s="30" t="n">
        <f aca="false">AVERAGE(E201:E250)</f>
        <v>69.8078</v>
      </c>
      <c r="P250" s="30" t="n">
        <f aca="false">AVERAGE(E51:E250)</f>
        <v>67.06765</v>
      </c>
      <c r="Q250" s="30" t="n">
        <f aca="false">Q249+(2/13)*(E250-Q249)</f>
        <v>67.6465160023346</v>
      </c>
      <c r="R250" s="30" t="n">
        <f aca="false">R249+(2/27)*(E250-R249)</f>
        <v>68.7069536039646</v>
      </c>
      <c r="S250" s="33" t="n">
        <f aca="false">Q250-R250</f>
        <v>-1.06043760163006</v>
      </c>
      <c r="T250" s="33" t="n">
        <f aca="false">T249+(2/10)*(S250-T249)</f>
        <v>-0.616911349170466</v>
      </c>
      <c r="U250" s="33" t="n">
        <f aca="false">S250-T250</f>
        <v>-0.443526252459591</v>
      </c>
      <c r="V250" s="32" t="str">
        <f aca="false">IF(M250="","",IF(M250&lt;Assumptions!$B$5,"BUY",IF(M250&gt;Assumptions!$B$4,"SELL","HOLD")))</f>
        <v>HOLD</v>
      </c>
      <c r="W250" s="32" t="str">
        <f aca="false">IF(O250="","",IF(E250&gt;O250,"BUY","SELL"))</f>
        <v>SELL</v>
      </c>
      <c r="X250" s="32" t="str">
        <f aca="false">IF(T250="","",IF(S250&gt;T250,"BUY","SELL"))</f>
        <v>SELL</v>
      </c>
      <c r="Y250" s="34" t="n">
        <f aca="false">IF(OR(V250="",W250="",X250=""),"",IFERROR(IF(V250="BUY",1,IF(V250="SELL",-1,0))+IF(W250="BUY",1,IF(W250="SELL",-1,0))+IF(X250="BUY",1,IF(X250="SELL",-1,0)),0))</f>
        <v>-2</v>
      </c>
      <c r="Z250" s="32" t="str">
        <f aca="false">IF(Y250="","",IF(Y250&gt;=2,"STRONG BUY",IF(Y250=1,"BUY",IF(Y250=0,"HOLD",IF(Y250=-1,"SELL","STRONG SELL")))))</f>
        <v>STRONG SELL</v>
      </c>
    </row>
    <row r="251" customFormat="false" ht="15" hidden="false" customHeight="false" outlineLevel="0" collapsed="false">
      <c r="A251" s="24" t="n">
        <v>46119</v>
      </c>
      <c r="B251" s="25" t="n">
        <v>66.13</v>
      </c>
      <c r="C251" s="25" t="n">
        <v>66.91</v>
      </c>
      <c r="D251" s="25" t="n">
        <v>65.81</v>
      </c>
      <c r="E251" s="25" t="n">
        <v>66.36</v>
      </c>
      <c r="F251" s="26" t="n">
        <v>25979106</v>
      </c>
      <c r="G251" s="27" t="n">
        <f aca="false">E251-E250</f>
        <v>1.09999999999999</v>
      </c>
      <c r="H251" s="28" t="n">
        <f aca="false">G251/E250</f>
        <v>0.0168556543058534</v>
      </c>
      <c r="I251" s="29" t="n">
        <f aca="false">MAX(G251,0)</f>
        <v>1.09999999999999</v>
      </c>
      <c r="J251" s="29" t="n">
        <f aca="false">MAX(-G251,0)</f>
        <v>0</v>
      </c>
      <c r="K251" s="29" t="n">
        <f aca="false">(K250*13+I251)/14</f>
        <v>0.355929956575122</v>
      </c>
      <c r="L251" s="29" t="n">
        <f aca="false">(L250*13+J251)/14</f>
        <v>0.526405342619281</v>
      </c>
      <c r="M251" s="31" t="n">
        <f aca="false">IF(L251=0,100,100-100/(1+K251/MAX(L251,0.000001)))</f>
        <v>40.3395349704467</v>
      </c>
      <c r="N251" s="30" t="n">
        <f aca="false">AVERAGE(E232:E251)</f>
        <v>68.4285</v>
      </c>
      <c r="O251" s="30" t="n">
        <f aca="false">AVERAGE(E202:E251)</f>
        <v>69.7022</v>
      </c>
      <c r="P251" s="30" t="n">
        <f aca="false">AVERAGE(E52:E251)</f>
        <v>66.99055</v>
      </c>
      <c r="Q251" s="30" t="n">
        <f aca="false">Q250+(2/13)*(E251-Q250)</f>
        <v>67.4485904635139</v>
      </c>
      <c r="R251" s="30" t="n">
        <f aca="false">R250+(2/27)*(E251-R250)</f>
        <v>68.5331051888561</v>
      </c>
      <c r="S251" s="33" t="n">
        <f aca="false">Q251-R251</f>
        <v>-1.08451472534226</v>
      </c>
      <c r="T251" s="33" t="n">
        <f aca="false">T250+(2/10)*(S251-T250)</f>
        <v>-0.710432024404824</v>
      </c>
      <c r="U251" s="33" t="n">
        <f aca="false">S251-T251</f>
        <v>-0.374082700937435</v>
      </c>
      <c r="V251" s="32" t="str">
        <f aca="false">IF(M251="","",IF(M251&lt;Assumptions!$B$5,"BUY",IF(M251&gt;Assumptions!$B$4,"SELL","HOLD")))</f>
        <v>HOLD</v>
      </c>
      <c r="W251" s="32" t="str">
        <f aca="false">IF(O251="","",IF(E251&gt;O251,"BUY","SELL"))</f>
        <v>SELL</v>
      </c>
      <c r="X251" s="32" t="str">
        <f aca="false">IF(T251="","",IF(S251&gt;T251,"BUY","SELL"))</f>
        <v>SELL</v>
      </c>
      <c r="Y251" s="34" t="n">
        <f aca="false">IF(OR(V251="",W251="",X251=""),"",IFERROR(IF(V251="BUY",1,IF(V251="SELL",-1,0))+IF(W251="BUY",1,IF(W251="SELL",-1,0))+IF(X251="BUY",1,IF(X251="SELL",-1,0)),0))</f>
        <v>-2</v>
      </c>
      <c r="Z251" s="32" t="str">
        <f aca="false">IF(Y251="","",IF(Y251&gt;=2,"STRONG BUY",IF(Y251=1,"BUY",IF(Y251=0,"HOLD",IF(Y251=-1,"SELL","STRONG SELL")))))</f>
        <v>STRONG SELL</v>
      </c>
    </row>
    <row r="252" customFormat="false" ht="15" hidden="false" customHeight="false" outlineLevel="0" collapsed="false">
      <c r="A252" s="24" t="n">
        <v>46120</v>
      </c>
      <c r="B252" s="25" t="n">
        <v>64.78</v>
      </c>
      <c r="C252" s="25" t="n">
        <v>65.27</v>
      </c>
      <c r="D252" s="25" t="n">
        <v>64.07</v>
      </c>
      <c r="E252" s="25" t="n">
        <v>64.67</v>
      </c>
      <c r="F252" s="26" t="n">
        <v>27702823</v>
      </c>
      <c r="G252" s="27" t="n">
        <f aca="false">E252-E251</f>
        <v>-1.69</v>
      </c>
      <c r="H252" s="28" t="n">
        <f aca="false">G252/E251</f>
        <v>-0.0254671488848704</v>
      </c>
      <c r="I252" s="29" t="n">
        <f aca="false">MAX(G252,0)</f>
        <v>0</v>
      </c>
      <c r="J252" s="29" t="n">
        <f aca="false">MAX(-G252,0)</f>
        <v>1.69</v>
      </c>
      <c r="K252" s="29" t="n">
        <f aca="false">(K251*13+I252)/14</f>
        <v>0.330506388248327</v>
      </c>
      <c r="L252" s="29" t="n">
        <f aca="false">(L251*13+J252)/14</f>
        <v>0.609519246717903</v>
      </c>
      <c r="M252" s="31" t="n">
        <f aca="false">IF(L252=0,100,100-100/(1+K252/MAX(L252,0.000001)))</f>
        <v>35.1592952313689</v>
      </c>
      <c r="N252" s="30" t="n">
        <f aca="false">AVERAGE(E233:E252)</f>
        <v>68.1615</v>
      </c>
      <c r="O252" s="30" t="n">
        <f aca="false">AVERAGE(E203:E252)</f>
        <v>69.5486</v>
      </c>
      <c r="P252" s="30" t="n">
        <f aca="false">AVERAGE(E53:E252)</f>
        <v>66.90645</v>
      </c>
      <c r="Q252" s="30" t="n">
        <f aca="false">Q251+(2/13)*(E252-Q251)</f>
        <v>67.0211150075887</v>
      </c>
      <c r="R252" s="30" t="n">
        <f aca="false">R251+(2/27)*(E252-R251)</f>
        <v>68.2469492489409</v>
      </c>
      <c r="S252" s="33" t="n">
        <f aca="false">Q252-R252</f>
        <v>-1.2258342413522</v>
      </c>
      <c r="T252" s="33" t="n">
        <f aca="false">T251+(2/10)*(S252-T251)</f>
        <v>-0.8135124677943</v>
      </c>
      <c r="U252" s="33" t="n">
        <f aca="false">S252-T252</f>
        <v>-0.412321773557903</v>
      </c>
      <c r="V252" s="32" t="str">
        <f aca="false">IF(M252="","",IF(M252&lt;Assumptions!$B$5,"BUY",IF(M252&gt;Assumptions!$B$4,"SELL","HOLD")))</f>
        <v>HOLD</v>
      </c>
      <c r="W252" s="32" t="str">
        <f aca="false">IF(O252="","",IF(E252&gt;O252,"BUY","SELL"))</f>
        <v>SELL</v>
      </c>
      <c r="X252" s="32" t="str">
        <f aca="false">IF(T252="","",IF(S252&gt;T252,"BUY","SELL"))</f>
        <v>SELL</v>
      </c>
      <c r="Y252" s="34" t="n">
        <f aca="false">IF(OR(V252="",W252="",X252=""),"",IFERROR(IF(V252="BUY",1,IF(V252="SELL",-1,0))+IF(W252="BUY",1,IF(W252="SELL",-1,0))+IF(X252="BUY",1,IF(X252="SELL",-1,0)),0))</f>
        <v>-2</v>
      </c>
      <c r="Z252" s="32" t="str">
        <f aca="false">IF(Y252="","",IF(Y252&gt;=2,"STRONG BUY",IF(Y252=1,"BUY",IF(Y252=0,"HOLD",IF(Y252=-1,"SELL","STRONG SELL")))))</f>
        <v>STRONG SELL</v>
      </c>
    </row>
    <row r="253" customFormat="false" ht="15" hidden="false" customHeight="false" outlineLevel="0" collapsed="false">
      <c r="A253" s="24" t="n">
        <v>46121</v>
      </c>
      <c r="B253" s="25" t="n">
        <v>64.89</v>
      </c>
      <c r="C253" s="25" t="n">
        <v>65.14</v>
      </c>
      <c r="D253" s="25" t="n">
        <v>64.58</v>
      </c>
      <c r="E253" s="25" t="n">
        <v>64.86</v>
      </c>
      <c r="F253" s="26" t="n">
        <v>29519238</v>
      </c>
      <c r="G253" s="27" t="n">
        <f aca="false">E253-E252</f>
        <v>0.189999999999998</v>
      </c>
      <c r="H253" s="28" t="n">
        <f aca="false">G253/E252</f>
        <v>0.00293799288696455</v>
      </c>
      <c r="I253" s="29" t="n">
        <f aca="false">MAX(G253,0)</f>
        <v>0.189999999999998</v>
      </c>
      <c r="J253" s="29" t="n">
        <f aca="false">MAX(-G253,0)</f>
        <v>0</v>
      </c>
      <c r="K253" s="29" t="n">
        <f aca="false">(K252*13+I253)/14</f>
        <v>0.320470217659161</v>
      </c>
      <c r="L253" s="29" t="n">
        <f aca="false">(L252*13+J253)/14</f>
        <v>0.565982157666625</v>
      </c>
      <c r="M253" s="31" t="n">
        <f aca="false">IF(L253=0,100,100-100/(1+K253/MAX(L253,0.000001)))</f>
        <v>36.1519949158445</v>
      </c>
      <c r="N253" s="30" t="n">
        <f aca="false">AVERAGE(E234:E253)</f>
        <v>67.9175</v>
      </c>
      <c r="O253" s="30" t="n">
        <f aca="false">AVERAGE(E204:E253)</f>
        <v>69.399</v>
      </c>
      <c r="P253" s="30" t="n">
        <f aca="false">AVERAGE(E54:E253)</f>
        <v>66.83415</v>
      </c>
      <c r="Q253" s="30" t="n">
        <f aca="false">Q252+(2/13)*(E253-Q252)</f>
        <v>66.688635775652</v>
      </c>
      <c r="R253" s="30" t="n">
        <f aca="false">R252+(2/27)*(E253-R252)</f>
        <v>67.9960641193897</v>
      </c>
      <c r="S253" s="33" t="n">
        <f aca="false">Q253-R253</f>
        <v>-1.30742834373774</v>
      </c>
      <c r="T253" s="33" t="n">
        <f aca="false">T252+(2/10)*(S253-T252)</f>
        <v>-0.912295642982988</v>
      </c>
      <c r="U253" s="33" t="n">
        <f aca="false">S253-T253</f>
        <v>-0.395132700754752</v>
      </c>
      <c r="V253" s="32" t="str">
        <f aca="false">IF(M253="","",IF(M253&lt;Assumptions!$B$5,"BUY",IF(M253&gt;Assumptions!$B$4,"SELL","HOLD")))</f>
        <v>HOLD</v>
      </c>
      <c r="W253" s="32" t="str">
        <f aca="false">IF(O253="","",IF(E253&gt;O253,"BUY","SELL"))</f>
        <v>SELL</v>
      </c>
      <c r="X253" s="32" t="str">
        <f aca="false">IF(T253="","",IF(S253&gt;T253,"BUY","SELL"))</f>
        <v>SELL</v>
      </c>
      <c r="Y253" s="34" t="n">
        <f aca="false">IF(OR(V253="",W253="",X253=""),"",IFERROR(IF(V253="BUY",1,IF(V253="SELL",-1,0))+IF(W253="BUY",1,IF(W253="SELL",-1,0))+IF(X253="BUY",1,IF(X253="SELL",-1,0)),0))</f>
        <v>-2</v>
      </c>
      <c r="Z253" s="32" t="str">
        <f aca="false">IF(Y253="","",IF(Y253&gt;=2,"STRONG BUY",IF(Y253=1,"BUY",IF(Y253=0,"HOLD",IF(Y253=-1,"SELL","STRONG SELL")))))</f>
        <v>STRONG SELL</v>
      </c>
    </row>
    <row r="254" customFormat="false" ht="15" hidden="false" customHeight="false" outlineLevel="0" collapsed="false">
      <c r="A254" s="24" t="n">
        <v>46122</v>
      </c>
      <c r="B254" s="25" t="n">
        <v>65.46</v>
      </c>
      <c r="C254" s="25" t="n">
        <v>65.52</v>
      </c>
      <c r="D254" s="25" t="n">
        <v>65.02</v>
      </c>
      <c r="E254" s="25" t="n">
        <v>65.27</v>
      </c>
      <c r="F254" s="26" t="n">
        <v>18728733</v>
      </c>
      <c r="G254" s="27" t="n">
        <f aca="false">E254-E253</f>
        <v>0.409999999999997</v>
      </c>
      <c r="H254" s="28" t="n">
        <f aca="false">G254/E253</f>
        <v>0.00632130743139064</v>
      </c>
      <c r="I254" s="29" t="n">
        <f aca="false">MAX(G254,0)</f>
        <v>0.409999999999997</v>
      </c>
      <c r="J254" s="29" t="n">
        <f aca="false">MAX(-G254,0)</f>
        <v>0</v>
      </c>
      <c r="K254" s="29" t="n">
        <f aca="false">(K253*13+I254)/14</f>
        <v>0.326865202112078</v>
      </c>
      <c r="L254" s="29" t="n">
        <f aca="false">(L253*13+J254)/14</f>
        <v>0.525554860690437</v>
      </c>
      <c r="M254" s="31" t="n">
        <f aca="false">IF(L254=0,100,100-100/(1+K254/MAX(L254,0.000001)))</f>
        <v>38.3455547770002</v>
      </c>
      <c r="N254" s="30" t="n">
        <f aca="false">AVERAGE(E235:E254)</f>
        <v>67.768</v>
      </c>
      <c r="O254" s="30" t="n">
        <f aca="false">AVERAGE(E205:E254)</f>
        <v>69.233</v>
      </c>
      <c r="P254" s="30" t="n">
        <f aca="false">AVERAGE(E55:E254)</f>
        <v>66.7676</v>
      </c>
      <c r="Q254" s="30" t="n">
        <f aca="false">Q253+(2/13)*(E254-Q253)</f>
        <v>66.4703841178593</v>
      </c>
      <c r="R254" s="30" t="n">
        <f aca="false">R253+(2/27)*(E254-R253)</f>
        <v>67.7941334438793</v>
      </c>
      <c r="S254" s="33" t="n">
        <f aca="false">Q254-R254</f>
        <v>-1.32374932601999</v>
      </c>
      <c r="T254" s="33" t="n">
        <f aca="false">T253+(2/10)*(S254-T253)</f>
        <v>-0.994586379590389</v>
      </c>
      <c r="U254" s="33" t="n">
        <f aca="false">S254-T254</f>
        <v>-0.329162946429604</v>
      </c>
      <c r="V254" s="32" t="str">
        <f aca="false">IF(M254="","",IF(M254&lt;Assumptions!$B$5,"BUY",IF(M254&gt;Assumptions!$B$4,"SELL","HOLD")))</f>
        <v>HOLD</v>
      </c>
      <c r="W254" s="32" t="str">
        <f aca="false">IF(O254="","",IF(E254&gt;O254,"BUY","SELL"))</f>
        <v>SELL</v>
      </c>
      <c r="X254" s="32" t="str">
        <f aca="false">IF(T254="","",IF(S254&gt;T254,"BUY","SELL"))</f>
        <v>SELL</v>
      </c>
      <c r="Y254" s="34" t="n">
        <f aca="false">IF(OR(V254="",W254="",X254=""),"",IFERROR(IF(V254="BUY",1,IF(V254="SELL",-1,0))+IF(W254="BUY",1,IF(W254="SELL",-1,0))+IF(X254="BUY",1,IF(X254="SELL",-1,0)),0))</f>
        <v>-2</v>
      </c>
      <c r="Z254" s="32" t="str">
        <f aca="false">IF(Y254="","",IF(Y254&gt;=2,"STRONG BUY",IF(Y254=1,"BUY",IF(Y254=0,"HOLD",IF(Y254=-1,"SELL","STRONG SELL")))))</f>
        <v>STRONG SELL</v>
      </c>
    </row>
  </sheetData>
  <mergeCells count="1">
    <mergeCell ref="A1:Z1"/>
  </mergeCells>
  <conditionalFormatting sqref="V3:V254">
    <cfRule type="cellIs" priority="2" operator="equal" aboveAverage="0" equalAverage="0" bottom="0" percent="0" rank="0" text="" dxfId="5">
      <formula>"BUY"</formula>
    </cfRule>
    <cfRule type="cellIs" priority="3" operator="equal" aboveAverage="0" equalAverage="0" bottom="0" percent="0" rank="0" text="" dxfId="6">
      <formula>"SELL"</formula>
    </cfRule>
    <cfRule type="cellIs" priority="4" operator="equal" aboveAverage="0" equalAverage="0" bottom="0" percent="0" rank="0" text="" dxfId="7">
      <formula>"HOLD"</formula>
    </cfRule>
  </conditionalFormatting>
  <conditionalFormatting sqref="W3:W254">
    <cfRule type="cellIs" priority="5" operator="equal" aboveAverage="0" equalAverage="0" bottom="0" percent="0" rank="0" text="" dxfId="5">
      <formula>"BUY"</formula>
    </cfRule>
    <cfRule type="cellIs" priority="6" operator="equal" aboveAverage="0" equalAverage="0" bottom="0" percent="0" rank="0" text="" dxfId="6">
      <formula>"SELL"</formula>
    </cfRule>
    <cfRule type="cellIs" priority="7" operator="equal" aboveAverage="0" equalAverage="0" bottom="0" percent="0" rank="0" text="" dxfId="7">
      <formula>"HOLD"</formula>
    </cfRule>
  </conditionalFormatting>
  <conditionalFormatting sqref="X3:X254">
    <cfRule type="cellIs" priority="8" operator="equal" aboveAverage="0" equalAverage="0" bottom="0" percent="0" rank="0" text="" dxfId="5">
      <formula>"BUY"</formula>
    </cfRule>
    <cfRule type="cellIs" priority="9" operator="equal" aboveAverage="0" equalAverage="0" bottom="0" percent="0" rank="0" text="" dxfId="6">
      <formula>"SELL"</formula>
    </cfRule>
    <cfRule type="cellIs" priority="10" operator="equal" aboveAverage="0" equalAverage="0" bottom="0" percent="0" rank="0" text="" dxfId="7">
      <formula>"HOLD"</formula>
    </cfRule>
  </conditionalFormatting>
  <conditionalFormatting sqref="Z3:Z254">
    <cfRule type="cellIs" priority="11" operator="equal" aboveAverage="0" equalAverage="0" bottom="0" percent="0" rank="0" text="" dxfId="8">
      <formula>"STRONG BUY"</formula>
    </cfRule>
    <cfRule type="cellIs" priority="12" operator="equal" aboveAverage="0" equalAverage="0" bottom="0" percent="0" rank="0" text="" dxfId="5">
      <formula>"BUY"</formula>
    </cfRule>
    <cfRule type="cellIs" priority="13" operator="equal" aboveAverage="0" equalAverage="0" bottom="0" percent="0" rank="0" text="" dxfId="7">
      <formula>"HOLD"</formula>
    </cfRule>
    <cfRule type="cellIs" priority="14" operator="equal" aboveAverage="0" equalAverage="0" bottom="0" percent="0" rank="0" text="" dxfId="6">
      <formula>"SELL"</formula>
    </cfRule>
    <cfRule type="cellIs" priority="15" operator="equal" aboveAverage="0" equalAverage="0" bottom="0" percent="0" rank="0" text="" dxfId="9">
      <formula>"STRONG SELL"</formula>
    </cfRule>
  </conditionalFormatting>
  <conditionalFormatting sqref="M3:M254">
    <cfRule type="cellIs" priority="16" operator="greaterThan" aboveAverage="0" equalAverage="0" bottom="0" percent="0" rank="0" text="" dxfId="10">
      <formula>70</formula>
    </cfRule>
    <cfRule type="cellIs" priority="17" operator="lessThan" aboveAverage="0" equalAverage="0" bottom="0" percent="0" rank="0" text="" dxfId="11">
      <formula>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4" min="2" style="0" width="10"/>
    <col collapsed="false" customWidth="true" hidden="false" outlineLevel="0" max="5" min="5" style="0" width="12"/>
    <col collapsed="false" customWidth="true" hidden="false" outlineLevel="0" max="6" min="6" style="0" width="14"/>
    <col collapsed="false" customWidth="true" hidden="false" outlineLevel="0" max="8" min="7" style="0" width="10"/>
    <col collapsed="false" customWidth="true" hidden="true" outlineLevel="0" max="10" min="9" style="0" width="8"/>
    <col collapsed="false" customWidth="true" hidden="true" outlineLevel="0" max="12" min="11" style="0" width="10"/>
    <col collapsed="false" customWidth="true" hidden="false" outlineLevel="0" max="18" min="13" style="0" width="10"/>
    <col collapsed="false" customWidth="true" hidden="false" outlineLevel="0" max="23" min="19" style="0" width="11"/>
    <col collapsed="false" customWidth="true" hidden="false" outlineLevel="0" max="24" min="24" style="0" width="12"/>
    <col collapsed="false" customWidth="true" hidden="false" outlineLevel="0" max="25" min="25" style="0" width="8"/>
    <col collapsed="false" customWidth="true" hidden="false" outlineLevel="0" max="26" min="26" style="0" width="13"/>
  </cols>
  <sheetData>
    <row r="1" customFormat="false" ht="30" hidden="false" customHeight="true" outlineLevel="0" collapsed="false">
      <c r="A1" s="17" t="s">
        <v>92</v>
      </c>
      <c r="B1" s="17"/>
      <c r="C1" s="17"/>
      <c r="D1" s="17"/>
      <c r="E1" s="17"/>
      <c r="F1" s="17"/>
      <c r="G1" s="17"/>
      <c r="H1" s="17"/>
      <c r="I1" s="17"/>
      <c r="J1" s="17"/>
      <c r="K1" s="17"/>
      <c r="L1" s="17"/>
      <c r="M1" s="17"/>
      <c r="N1" s="17"/>
      <c r="O1" s="17"/>
      <c r="P1" s="17"/>
      <c r="Q1" s="17"/>
      <c r="R1" s="17"/>
      <c r="S1" s="17"/>
      <c r="T1" s="17"/>
      <c r="U1" s="17"/>
      <c r="V1" s="17"/>
      <c r="W1" s="17"/>
      <c r="X1" s="17"/>
      <c r="Y1" s="17"/>
      <c r="Z1" s="17"/>
    </row>
    <row r="2" customFormat="false" ht="36" hidden="false" customHeight="true" outlineLevel="0" collapsed="false">
      <c r="A2" s="18" t="s">
        <v>27</v>
      </c>
      <c r="B2" s="18" t="s">
        <v>28</v>
      </c>
      <c r="C2" s="18" t="s">
        <v>29</v>
      </c>
      <c r="D2" s="18" t="s">
        <v>30</v>
      </c>
      <c r="E2" s="18" t="s">
        <v>89</v>
      </c>
      <c r="F2" s="18" t="s">
        <v>32</v>
      </c>
      <c r="G2" s="19" t="s">
        <v>33</v>
      </c>
      <c r="H2" s="19" t="s">
        <v>34</v>
      </c>
      <c r="I2" s="20" t="s">
        <v>35</v>
      </c>
      <c r="J2" s="20" t="s">
        <v>36</v>
      </c>
      <c r="K2" s="20" t="s">
        <v>37</v>
      </c>
      <c r="L2" s="20" t="s">
        <v>38</v>
      </c>
      <c r="M2" s="21" t="s">
        <v>5</v>
      </c>
      <c r="N2" s="21" t="s">
        <v>6</v>
      </c>
      <c r="O2" s="21" t="s">
        <v>7</v>
      </c>
      <c r="P2" s="21" t="s">
        <v>8</v>
      </c>
      <c r="Q2" s="21" t="s">
        <v>39</v>
      </c>
      <c r="R2" s="21" t="s">
        <v>40</v>
      </c>
      <c r="S2" s="21" t="s">
        <v>41</v>
      </c>
      <c r="T2" s="21" t="s">
        <v>42</v>
      </c>
      <c r="U2" s="21" t="s">
        <v>43</v>
      </c>
      <c r="V2" s="22" t="s">
        <v>9</v>
      </c>
      <c r="W2" s="22" t="s">
        <v>10</v>
      </c>
      <c r="X2" s="22" t="s">
        <v>11</v>
      </c>
      <c r="Y2" s="22" t="s">
        <v>12</v>
      </c>
      <c r="Z2" s="23" t="s">
        <v>44</v>
      </c>
    </row>
    <row r="3" customFormat="false" ht="15" hidden="false" customHeight="false" outlineLevel="0" collapsed="false">
      <c r="A3" s="24" t="n">
        <v>45771</v>
      </c>
      <c r="B3" s="25" t="n">
        <v>214.37</v>
      </c>
      <c r="C3" s="25" t="n">
        <v>217.04</v>
      </c>
      <c r="D3" s="25" t="n">
        <v>212.96</v>
      </c>
      <c r="E3" s="25" t="n">
        <v>215</v>
      </c>
      <c r="F3" s="26" t="n">
        <v>11373847</v>
      </c>
    </row>
    <row r="4" customFormat="false" ht="15" hidden="false" customHeight="false" outlineLevel="0" collapsed="false">
      <c r="A4" s="24" t="n">
        <v>45772</v>
      </c>
      <c r="B4" s="25" t="n">
        <v>215.69</v>
      </c>
      <c r="C4" s="25" t="n">
        <v>218.69</v>
      </c>
      <c r="D4" s="25" t="n">
        <v>214.15</v>
      </c>
      <c r="E4" s="25" t="n">
        <v>216.42</v>
      </c>
      <c r="F4" s="26" t="n">
        <v>9500227</v>
      </c>
      <c r="G4" s="27" t="n">
        <f aca="false">E4-E3</f>
        <v>1.41999999999999</v>
      </c>
      <c r="H4" s="28" t="n">
        <f aca="false">G4/E3</f>
        <v>0.00660465116279064</v>
      </c>
      <c r="I4" s="29" t="n">
        <f aca="false">MAX(G4,0)</f>
        <v>1.41999999999999</v>
      </c>
      <c r="J4" s="29" t="n">
        <f aca="false">MAX(-G4,0)</f>
        <v>0</v>
      </c>
    </row>
    <row r="5" customFormat="false" ht="15" hidden="false" customHeight="false" outlineLevel="0" collapsed="false">
      <c r="A5" s="24" t="n">
        <v>45775</v>
      </c>
      <c r="B5" s="25" t="n">
        <v>220.04</v>
      </c>
      <c r="C5" s="25" t="n">
        <v>220.28</v>
      </c>
      <c r="D5" s="25" t="n">
        <v>219.6</v>
      </c>
      <c r="E5" s="25" t="n">
        <v>219.94</v>
      </c>
      <c r="F5" s="26" t="n">
        <v>10421598</v>
      </c>
      <c r="G5" s="27" t="n">
        <f aca="false">E5-E4</f>
        <v>3.52000000000001</v>
      </c>
      <c r="H5" s="28" t="n">
        <f aca="false">G5/E4</f>
        <v>0.0162646705480086</v>
      </c>
      <c r="I5" s="29" t="n">
        <f aca="false">MAX(G5,0)</f>
        <v>3.52000000000001</v>
      </c>
      <c r="J5" s="29" t="n">
        <f aca="false">MAX(-G5,0)</f>
        <v>0</v>
      </c>
    </row>
    <row r="6" customFormat="false" ht="15" hidden="false" customHeight="false" outlineLevel="0" collapsed="false">
      <c r="A6" s="24" t="n">
        <v>45776</v>
      </c>
      <c r="B6" s="25" t="n">
        <v>221.01</v>
      </c>
      <c r="C6" s="25" t="n">
        <v>221.01</v>
      </c>
      <c r="D6" s="25" t="n">
        <v>220.47</v>
      </c>
      <c r="E6" s="25" t="n">
        <v>220.74</v>
      </c>
      <c r="F6" s="26" t="n">
        <v>6630855</v>
      </c>
      <c r="G6" s="27" t="n">
        <f aca="false">E6-E5</f>
        <v>0.800000000000011</v>
      </c>
      <c r="H6" s="28" t="n">
        <f aca="false">G6/E5</f>
        <v>0.00363735564244799</v>
      </c>
      <c r="I6" s="29" t="n">
        <f aca="false">MAX(G6,0)</f>
        <v>0.800000000000011</v>
      </c>
      <c r="J6" s="29" t="n">
        <f aca="false">MAX(-G6,0)</f>
        <v>0</v>
      </c>
    </row>
    <row r="7" customFormat="false" ht="15" hidden="false" customHeight="false" outlineLevel="0" collapsed="false">
      <c r="A7" s="24" t="n">
        <v>45777</v>
      </c>
      <c r="B7" s="25" t="n">
        <v>216.87</v>
      </c>
      <c r="C7" s="25" t="n">
        <v>218.51</v>
      </c>
      <c r="D7" s="25" t="n">
        <v>216.87</v>
      </c>
      <c r="E7" s="25" t="n">
        <v>217.69</v>
      </c>
      <c r="F7" s="26" t="n">
        <v>9893806</v>
      </c>
      <c r="G7" s="27" t="n">
        <f aca="false">E7-E6</f>
        <v>-3.05000000000001</v>
      </c>
      <c r="H7" s="28" t="n">
        <f aca="false">G7/E6</f>
        <v>-0.0138171604602701</v>
      </c>
      <c r="I7" s="29" t="n">
        <f aca="false">MAX(G7,0)</f>
        <v>0</v>
      </c>
      <c r="J7" s="29" t="n">
        <f aca="false">MAX(-G7,0)</f>
        <v>3.05000000000001</v>
      </c>
    </row>
    <row r="8" customFormat="false" ht="15" hidden="false" customHeight="false" outlineLevel="0" collapsed="false">
      <c r="A8" s="24" t="n">
        <v>45778</v>
      </c>
      <c r="B8" s="25" t="n">
        <v>218.8</v>
      </c>
      <c r="C8" s="25" t="n">
        <v>219.05</v>
      </c>
      <c r="D8" s="25" t="n">
        <v>216.79</v>
      </c>
      <c r="E8" s="25" t="n">
        <v>217.92</v>
      </c>
      <c r="F8" s="26" t="n">
        <v>10827119</v>
      </c>
      <c r="G8" s="27" t="n">
        <f aca="false">E8-E7</f>
        <v>0.22999999999999</v>
      </c>
      <c r="H8" s="28" t="n">
        <f aca="false">G8/E7</f>
        <v>0.00105654830263214</v>
      </c>
      <c r="I8" s="29" t="n">
        <f aca="false">MAX(G8,0)</f>
        <v>0.22999999999999</v>
      </c>
      <c r="J8" s="29" t="n">
        <f aca="false">MAX(-G8,0)</f>
        <v>0</v>
      </c>
    </row>
    <row r="9" customFormat="false" ht="15" hidden="false" customHeight="false" outlineLevel="0" collapsed="false">
      <c r="A9" s="24" t="n">
        <v>45779</v>
      </c>
      <c r="B9" s="25" t="n">
        <v>218.22</v>
      </c>
      <c r="C9" s="25" t="n">
        <v>218.43</v>
      </c>
      <c r="D9" s="25" t="n">
        <v>217.85</v>
      </c>
      <c r="E9" s="25" t="n">
        <v>218.14</v>
      </c>
      <c r="F9" s="26" t="n">
        <v>8553886</v>
      </c>
      <c r="G9" s="27" t="n">
        <f aca="false">E9-E8</f>
        <v>0.219999999999999</v>
      </c>
      <c r="H9" s="28" t="n">
        <f aca="false">G9/E8</f>
        <v>0.00100954478707782</v>
      </c>
      <c r="I9" s="29" t="n">
        <f aca="false">MAX(G9,0)</f>
        <v>0.219999999999999</v>
      </c>
      <c r="J9" s="29" t="n">
        <f aca="false">MAX(-G9,0)</f>
        <v>0</v>
      </c>
    </row>
    <row r="10" customFormat="false" ht="15" hidden="false" customHeight="false" outlineLevel="0" collapsed="false">
      <c r="A10" s="24" t="n">
        <v>45782</v>
      </c>
      <c r="B10" s="25" t="n">
        <v>215.83</v>
      </c>
      <c r="C10" s="25" t="n">
        <v>216.37</v>
      </c>
      <c r="D10" s="25" t="n">
        <v>215.83</v>
      </c>
      <c r="E10" s="25" t="n">
        <v>216.1</v>
      </c>
      <c r="F10" s="26" t="n">
        <v>12048084</v>
      </c>
      <c r="G10" s="27" t="n">
        <f aca="false">E10-E9</f>
        <v>-2.03999999999999</v>
      </c>
      <c r="H10" s="28" t="n">
        <f aca="false">G10/E9</f>
        <v>-0.00935179242688178</v>
      </c>
      <c r="I10" s="29" t="n">
        <f aca="false">MAX(G10,0)</f>
        <v>0</v>
      </c>
      <c r="J10" s="29" t="n">
        <f aca="false">MAX(-G10,0)</f>
        <v>2.03999999999999</v>
      </c>
    </row>
    <row r="11" customFormat="false" ht="15" hidden="false" customHeight="false" outlineLevel="0" collapsed="false">
      <c r="A11" s="24" t="n">
        <v>45783</v>
      </c>
      <c r="B11" s="25" t="n">
        <v>213.6</v>
      </c>
      <c r="C11" s="25" t="n">
        <v>213.88</v>
      </c>
      <c r="D11" s="25" t="n">
        <v>212.42</v>
      </c>
      <c r="E11" s="25" t="n">
        <v>213.15</v>
      </c>
      <c r="F11" s="26" t="n">
        <v>8815805</v>
      </c>
      <c r="G11" s="27" t="n">
        <f aca="false">E11-E10</f>
        <v>-2.94999999999999</v>
      </c>
      <c r="H11" s="28" t="n">
        <f aca="false">G11/E10</f>
        <v>-0.0136510874595094</v>
      </c>
      <c r="I11" s="29" t="n">
        <f aca="false">MAX(G11,0)</f>
        <v>0</v>
      </c>
      <c r="J11" s="29" t="n">
        <f aca="false">MAX(-G11,0)</f>
        <v>2.94999999999999</v>
      </c>
    </row>
    <row r="12" customFormat="false" ht="15" hidden="false" customHeight="false" outlineLevel="0" collapsed="false">
      <c r="A12" s="24" t="n">
        <v>45784</v>
      </c>
      <c r="B12" s="25" t="n">
        <v>212.47</v>
      </c>
      <c r="C12" s="25" t="n">
        <v>212.65</v>
      </c>
      <c r="D12" s="25" t="n">
        <v>211.91</v>
      </c>
      <c r="E12" s="25" t="n">
        <v>212.28</v>
      </c>
      <c r="F12" s="26" t="n">
        <v>10553832</v>
      </c>
      <c r="G12" s="27" t="n">
        <f aca="false">E12-E11</f>
        <v>-0.870000000000005</v>
      </c>
      <c r="H12" s="28" t="n">
        <f aca="false">G12/E11</f>
        <v>-0.00408163265306125</v>
      </c>
      <c r="I12" s="29" t="n">
        <f aca="false">MAX(G12,0)</f>
        <v>0</v>
      </c>
      <c r="J12" s="29" t="n">
        <f aca="false">MAX(-G12,0)</f>
        <v>0.870000000000005</v>
      </c>
    </row>
    <row r="13" customFormat="false" ht="15" hidden="false" customHeight="false" outlineLevel="0" collapsed="false">
      <c r="A13" s="24" t="n">
        <v>45785</v>
      </c>
      <c r="B13" s="25" t="n">
        <v>215.19</v>
      </c>
      <c r="C13" s="25" t="n">
        <v>215.46</v>
      </c>
      <c r="D13" s="25" t="n">
        <v>213.22</v>
      </c>
      <c r="E13" s="25" t="n">
        <v>214.34</v>
      </c>
      <c r="F13" s="26" t="n">
        <v>8464414</v>
      </c>
      <c r="G13" s="27" t="n">
        <f aca="false">E13-E12</f>
        <v>2.06</v>
      </c>
      <c r="H13" s="28" t="n">
        <f aca="false">G13/E12</f>
        <v>0.00970416431128699</v>
      </c>
      <c r="I13" s="29" t="n">
        <f aca="false">MAX(G13,0)</f>
        <v>2.06</v>
      </c>
      <c r="J13" s="29" t="n">
        <f aca="false">MAX(-G13,0)</f>
        <v>0</v>
      </c>
    </row>
    <row r="14" customFormat="false" ht="15" hidden="false" customHeight="false" outlineLevel="0" collapsed="false">
      <c r="A14" s="24" t="n">
        <v>45786</v>
      </c>
      <c r="B14" s="25" t="n">
        <v>216.25</v>
      </c>
      <c r="C14" s="25" t="n">
        <v>216.35</v>
      </c>
      <c r="D14" s="25" t="n">
        <v>216.25</v>
      </c>
      <c r="E14" s="25" t="n">
        <v>216.3</v>
      </c>
      <c r="F14" s="26" t="n">
        <v>7872863</v>
      </c>
      <c r="G14" s="27" t="n">
        <f aca="false">E14-E13</f>
        <v>1.96000000000001</v>
      </c>
      <c r="H14" s="28" t="n">
        <f aca="false">G14/E13</f>
        <v>0.00914435009797522</v>
      </c>
      <c r="I14" s="29" t="n">
        <f aca="false">MAX(G14,0)</f>
        <v>1.96000000000001</v>
      </c>
      <c r="J14" s="29" t="n">
        <f aca="false">MAX(-G14,0)</f>
        <v>0</v>
      </c>
      <c r="Q14" s="30" t="n">
        <f aca="false">AVERAGE(E3:E14)</f>
        <v>216.501666666667</v>
      </c>
    </row>
    <row r="15" customFormat="false" ht="15" hidden="false" customHeight="false" outlineLevel="0" collapsed="false">
      <c r="A15" s="24" t="n">
        <v>45789</v>
      </c>
      <c r="B15" s="25" t="n">
        <v>218.44</v>
      </c>
      <c r="C15" s="25" t="n">
        <v>219.96</v>
      </c>
      <c r="D15" s="25" t="n">
        <v>218.44</v>
      </c>
      <c r="E15" s="25" t="n">
        <v>219.2</v>
      </c>
      <c r="F15" s="26" t="n">
        <v>3182378</v>
      </c>
      <c r="G15" s="27" t="n">
        <f aca="false">E15-E14</f>
        <v>2.89999999999998</v>
      </c>
      <c r="H15" s="28" t="n">
        <f aca="false">G15/E14</f>
        <v>0.0134073046694405</v>
      </c>
      <c r="I15" s="29" t="n">
        <f aca="false">MAX(G15,0)</f>
        <v>2.89999999999998</v>
      </c>
      <c r="J15" s="29" t="n">
        <f aca="false">MAX(-G15,0)</f>
        <v>0</v>
      </c>
      <c r="Q15" s="30" t="n">
        <f aca="false">Q14+(2/13)*(E15-Q14)</f>
        <v>216.916794871795</v>
      </c>
    </row>
    <row r="16" customFormat="false" ht="15" hidden="false" customHeight="false" outlineLevel="0" collapsed="false">
      <c r="A16" s="24" t="n">
        <v>45790</v>
      </c>
      <c r="B16" s="25" t="n">
        <v>219.47</v>
      </c>
      <c r="C16" s="25" t="n">
        <v>219.47</v>
      </c>
      <c r="D16" s="25" t="n">
        <v>218.75</v>
      </c>
      <c r="E16" s="25" t="n">
        <v>219.11</v>
      </c>
      <c r="F16" s="26" t="n">
        <v>7162676</v>
      </c>
      <c r="G16" s="27" t="n">
        <f aca="false">E16-E15</f>
        <v>-0.089999999999975</v>
      </c>
      <c r="H16" s="28" t="n">
        <f aca="false">G16/E15</f>
        <v>-0.000410583941605725</v>
      </c>
      <c r="I16" s="29" t="n">
        <f aca="false">MAX(G16,0)</f>
        <v>0</v>
      </c>
      <c r="J16" s="29" t="n">
        <f aca="false">MAX(-G16,0)</f>
        <v>0.089999999999975</v>
      </c>
      <c r="Q16" s="30" t="n">
        <f aca="false">Q15+(2/13)*(E16-Q15)</f>
        <v>217.254211045365</v>
      </c>
    </row>
    <row r="17" customFormat="false" ht="15" hidden="false" customHeight="false" outlineLevel="0" collapsed="false">
      <c r="A17" s="24" t="n">
        <v>45791</v>
      </c>
      <c r="B17" s="25" t="n">
        <v>225.08</v>
      </c>
      <c r="C17" s="25" t="n">
        <v>225.76</v>
      </c>
      <c r="D17" s="25" t="n">
        <v>222.08</v>
      </c>
      <c r="E17" s="25" t="n">
        <v>223.92</v>
      </c>
      <c r="F17" s="26" t="n">
        <v>11927032</v>
      </c>
      <c r="G17" s="27" t="n">
        <f aca="false">E17-E16</f>
        <v>4.80999999999997</v>
      </c>
      <c r="H17" s="28" t="n">
        <f aca="false">G17/E16</f>
        <v>0.0219524439779105</v>
      </c>
      <c r="I17" s="29" t="n">
        <f aca="false">MAX(G17,0)</f>
        <v>4.80999999999997</v>
      </c>
      <c r="J17" s="29" t="n">
        <f aca="false">MAX(-G17,0)</f>
        <v>0</v>
      </c>
      <c r="K17" s="29" t="n">
        <f aca="false">AVERAGE(I4:I17)</f>
        <v>1.28</v>
      </c>
      <c r="L17" s="29" t="n">
        <f aca="false">AVERAGE(J4:J17)</f>
        <v>0.642857142857141</v>
      </c>
      <c r="M17" s="31" t="n">
        <f aca="false">IF(L17=0,100,100-100/(1+K17/MAX(L17,0.000001)))</f>
        <v>66.5676077265973</v>
      </c>
      <c r="Q17" s="30" t="n">
        <f aca="false">Q16+(2/13)*(E17-Q16)</f>
        <v>218.279717038386</v>
      </c>
      <c r="V17" s="32" t="str">
        <f aca="false">IF(M17="","",IF(M17&lt;Assumptions!$B$5,"BUY",IF(M17&gt;Assumptions!$B$4,"SELL","HOLD")))</f>
        <v>HOLD</v>
      </c>
    </row>
    <row r="18" customFormat="false" ht="15" hidden="false" customHeight="false" outlineLevel="0" collapsed="false">
      <c r="A18" s="24" t="n">
        <v>45792</v>
      </c>
      <c r="B18" s="25" t="n">
        <v>222.1</v>
      </c>
      <c r="C18" s="25" t="n">
        <v>223.8</v>
      </c>
      <c r="D18" s="25" t="n">
        <v>219.94</v>
      </c>
      <c r="E18" s="25" t="n">
        <v>221.87</v>
      </c>
      <c r="F18" s="26" t="n">
        <v>9587448</v>
      </c>
      <c r="G18" s="27" t="n">
        <f aca="false">E18-E17</f>
        <v>-2.04999999999998</v>
      </c>
      <c r="H18" s="28" t="n">
        <f aca="false">G18/E17</f>
        <v>-0.00915505537692025</v>
      </c>
      <c r="I18" s="29" t="n">
        <f aca="false">MAX(G18,0)</f>
        <v>0</v>
      </c>
      <c r="J18" s="29" t="n">
        <f aca="false">MAX(-G18,0)</f>
        <v>2.04999999999998</v>
      </c>
      <c r="K18" s="29" t="n">
        <f aca="false">(K17*13+I18)/14</f>
        <v>1.18857142857143</v>
      </c>
      <c r="L18" s="29" t="n">
        <f aca="false">(L17*13+J18)/14</f>
        <v>0.743367346938772</v>
      </c>
      <c r="M18" s="31" t="n">
        <f aca="false">IF(L18=0,100,100-100/(1+K18/MAX(L18,0.000001)))</f>
        <v>61.5222098980616</v>
      </c>
      <c r="Q18" s="30" t="n">
        <f aca="false">Q17+(2/13)*(E18-Q17)</f>
        <v>218.832068263249</v>
      </c>
      <c r="V18" s="32" t="str">
        <f aca="false">IF(M18="","",IF(M18&lt;Assumptions!$B$5,"BUY",IF(M18&gt;Assumptions!$B$4,"SELL","HOLD")))</f>
        <v>HOLD</v>
      </c>
    </row>
    <row r="19" customFormat="false" ht="15" hidden="false" customHeight="false" outlineLevel="0" collapsed="false">
      <c r="A19" s="24" t="n">
        <v>45793</v>
      </c>
      <c r="B19" s="25" t="n">
        <v>222.06</v>
      </c>
      <c r="C19" s="25" t="n">
        <v>223.88</v>
      </c>
      <c r="D19" s="25" t="n">
        <v>222.06</v>
      </c>
      <c r="E19" s="25" t="n">
        <v>222.97</v>
      </c>
      <c r="F19" s="26" t="n">
        <v>9135096</v>
      </c>
      <c r="G19" s="27" t="n">
        <f aca="false">E19-E18</f>
        <v>1.09999999999999</v>
      </c>
      <c r="H19" s="28" t="n">
        <f aca="false">G19/E18</f>
        <v>0.0049578582052553</v>
      </c>
      <c r="I19" s="29" t="n">
        <f aca="false">MAX(G19,0)</f>
        <v>1.09999999999999</v>
      </c>
      <c r="J19" s="29" t="n">
        <f aca="false">MAX(-G19,0)</f>
        <v>0</v>
      </c>
      <c r="K19" s="29" t="n">
        <f aca="false">(K18*13+I19)/14</f>
        <v>1.18224489795918</v>
      </c>
      <c r="L19" s="29" t="n">
        <f aca="false">(L18*13+J19)/14</f>
        <v>0.690269679300289</v>
      </c>
      <c r="M19" s="31" t="n">
        <f aca="false">IF(L19=0,100,100-100/(1+K19/MAX(L19,0.000001)))</f>
        <v>63.1367527023188</v>
      </c>
      <c r="Q19" s="30" t="n">
        <f aca="false">Q18+(2/13)*(E19-Q18)</f>
        <v>219.468673145826</v>
      </c>
      <c r="V19" s="32" t="str">
        <f aca="false">IF(M19="","",IF(M19&lt;Assumptions!$B$5,"BUY",IF(M19&gt;Assumptions!$B$4,"SELL","HOLD")))</f>
        <v>HOLD</v>
      </c>
    </row>
    <row r="20" customFormat="false" ht="15" hidden="false" customHeight="false" outlineLevel="0" collapsed="false">
      <c r="A20" s="24" t="n">
        <v>45796</v>
      </c>
      <c r="B20" s="25" t="n">
        <v>222.22</v>
      </c>
      <c r="C20" s="25" t="n">
        <v>223.43</v>
      </c>
      <c r="D20" s="25" t="n">
        <v>221.37</v>
      </c>
      <c r="E20" s="25" t="n">
        <v>222.4</v>
      </c>
      <c r="F20" s="26" t="n">
        <v>1040856</v>
      </c>
      <c r="G20" s="27" t="n">
        <f aca="false">E20-E19</f>
        <v>-0.569999999999993</v>
      </c>
      <c r="H20" s="28" t="n">
        <f aca="false">G20/E19</f>
        <v>-0.00255639772166656</v>
      </c>
      <c r="I20" s="29" t="n">
        <f aca="false">MAX(G20,0)</f>
        <v>0</v>
      </c>
      <c r="J20" s="29" t="n">
        <f aca="false">MAX(-G20,0)</f>
        <v>0.569999999999993</v>
      </c>
      <c r="K20" s="29" t="n">
        <f aca="false">(K19*13+I20)/14</f>
        <v>1.09779883381924</v>
      </c>
      <c r="L20" s="29" t="n">
        <f aca="false">(L19*13+J20)/14</f>
        <v>0.681678987921696</v>
      </c>
      <c r="M20" s="31" t="n">
        <f aca="false">IF(L20=0,100,100-100/(1+K20/MAX(L20,0.000001)))</f>
        <v>61.692189720309</v>
      </c>
      <c r="Q20" s="30" t="n">
        <f aca="false">Q19+(2/13)*(E20-Q19)</f>
        <v>219.919646508007</v>
      </c>
      <c r="V20" s="32" t="str">
        <f aca="false">IF(M20="","",IF(M20&lt;Assumptions!$B$5,"BUY",IF(M20&gt;Assumptions!$B$4,"SELL","HOLD")))</f>
        <v>HOLD</v>
      </c>
    </row>
    <row r="21" customFormat="false" ht="15" hidden="false" customHeight="false" outlineLevel="0" collapsed="false">
      <c r="A21" s="24" t="n">
        <v>45797</v>
      </c>
      <c r="B21" s="25" t="n">
        <v>225.92</v>
      </c>
      <c r="C21" s="25" t="n">
        <v>227.32</v>
      </c>
      <c r="D21" s="25" t="n">
        <v>224.88</v>
      </c>
      <c r="E21" s="25" t="n">
        <v>226.1</v>
      </c>
      <c r="F21" s="26" t="n">
        <v>6345902</v>
      </c>
      <c r="G21" s="27" t="n">
        <f aca="false">E21-E20</f>
        <v>3.69999999999999</v>
      </c>
      <c r="H21" s="28" t="n">
        <f aca="false">G21/E20</f>
        <v>0.016636690647482</v>
      </c>
      <c r="I21" s="29" t="n">
        <f aca="false">MAX(G21,0)</f>
        <v>3.69999999999999</v>
      </c>
      <c r="J21" s="29" t="n">
        <f aca="false">MAX(-G21,0)</f>
        <v>0</v>
      </c>
      <c r="K21" s="29" t="n">
        <f aca="false">(K20*13+I21)/14</f>
        <v>1.28367034568929</v>
      </c>
      <c r="L21" s="29" t="n">
        <f aca="false">(L20*13+J21)/14</f>
        <v>0.632987631641575</v>
      </c>
      <c r="M21" s="31" t="n">
        <f aca="false">IF(L21=0,100,100-100/(1+K21/MAX(L21,0.000001)))</f>
        <v>66.9744086254204</v>
      </c>
      <c r="Q21" s="30" t="n">
        <f aca="false">Q20+(2/13)*(E21-Q20)</f>
        <v>220.87047012216</v>
      </c>
      <c r="V21" s="32" t="str">
        <f aca="false">IF(M21="","",IF(M21&lt;Assumptions!$B$5,"BUY",IF(M21&gt;Assumptions!$B$4,"SELL","HOLD")))</f>
        <v>HOLD</v>
      </c>
    </row>
    <row r="22" customFormat="false" ht="15" hidden="false" customHeight="false" outlineLevel="0" collapsed="false">
      <c r="A22" s="24" t="n">
        <v>45798</v>
      </c>
      <c r="B22" s="25" t="n">
        <v>225.47</v>
      </c>
      <c r="C22" s="25" t="n">
        <v>227.77</v>
      </c>
      <c r="D22" s="25" t="n">
        <v>224.63</v>
      </c>
      <c r="E22" s="25" t="n">
        <v>226.2</v>
      </c>
      <c r="F22" s="26" t="n">
        <v>5628680</v>
      </c>
      <c r="G22" s="27" t="n">
        <f aca="false">E22-E21</f>
        <v>0.0999999999999943</v>
      </c>
      <c r="H22" s="28" t="n">
        <f aca="false">G22/E21</f>
        <v>0.000442282176028281</v>
      </c>
      <c r="I22" s="29" t="n">
        <f aca="false">MAX(G22,0)</f>
        <v>0.0999999999999943</v>
      </c>
      <c r="J22" s="29" t="n">
        <f aca="false">MAX(-G22,0)</f>
        <v>0</v>
      </c>
      <c r="K22" s="29" t="n">
        <f aca="false">(K21*13+I22)/14</f>
        <v>1.19912246385434</v>
      </c>
      <c r="L22" s="29" t="n">
        <f aca="false">(L21*13+J22)/14</f>
        <v>0.587774229381462</v>
      </c>
      <c r="M22" s="31" t="n">
        <f aca="false">IF(L22=0,100,100-100/(1+K22/MAX(L22,0.000001)))</f>
        <v>67.1064235774543</v>
      </c>
      <c r="N22" s="30" t="n">
        <f aca="false">AVERAGE(E3:E22)</f>
        <v>218.9895</v>
      </c>
      <c r="Q22" s="30" t="n">
        <f aca="false">Q21+(2/13)*(E22-Q21)</f>
        <v>221.690397795674</v>
      </c>
      <c r="V22" s="32" t="str">
        <f aca="false">IF(M22="","",IF(M22&lt;Assumptions!$B$5,"BUY",IF(M22&gt;Assumptions!$B$4,"SELL","HOLD")))</f>
        <v>HOLD</v>
      </c>
    </row>
    <row r="23" customFormat="false" ht="15" hidden="false" customHeight="false" outlineLevel="0" collapsed="false">
      <c r="A23" s="24" t="n">
        <v>45799</v>
      </c>
      <c r="B23" s="25" t="n">
        <v>222.41</v>
      </c>
      <c r="C23" s="25" t="n">
        <v>224.97</v>
      </c>
      <c r="D23" s="25" t="n">
        <v>222.37</v>
      </c>
      <c r="E23" s="25" t="n">
        <v>223.67</v>
      </c>
      <c r="F23" s="26" t="n">
        <v>7412542</v>
      </c>
      <c r="G23" s="27" t="n">
        <f aca="false">E23-E22</f>
        <v>-2.53</v>
      </c>
      <c r="H23" s="28" t="n">
        <f aca="false">G23/E22</f>
        <v>-0.011184792219275</v>
      </c>
      <c r="I23" s="29" t="n">
        <f aca="false">MAX(G23,0)</f>
        <v>0</v>
      </c>
      <c r="J23" s="29" t="n">
        <f aca="false">MAX(-G23,0)</f>
        <v>2.53</v>
      </c>
      <c r="K23" s="29" t="n">
        <f aca="false">(K22*13+I23)/14</f>
        <v>1.11347085929332</v>
      </c>
      <c r="L23" s="29" t="n">
        <f aca="false">(L22*13+J23)/14</f>
        <v>0.726504641568501</v>
      </c>
      <c r="M23" s="31" t="n">
        <f aca="false">IF(L23=0,100,100-100/(1+K23/MAX(L23,0.000001)))</f>
        <v>60.5155263628121</v>
      </c>
      <c r="N23" s="30" t="n">
        <f aca="false">AVERAGE(E4:E23)</f>
        <v>219.423</v>
      </c>
      <c r="Q23" s="30" t="n">
        <f aca="false">Q22+(2/13)*(E23-Q22)</f>
        <v>221.994951980955</v>
      </c>
      <c r="V23" s="32" t="str">
        <f aca="false">IF(M23="","",IF(M23&lt;Assumptions!$B$5,"BUY",IF(M23&gt;Assumptions!$B$4,"SELL","HOLD")))</f>
        <v>HOLD</v>
      </c>
    </row>
    <row r="24" customFormat="false" ht="15" hidden="false" customHeight="false" outlineLevel="0" collapsed="false">
      <c r="A24" s="24" t="n">
        <v>45800</v>
      </c>
      <c r="B24" s="25" t="n">
        <v>224.75</v>
      </c>
      <c r="C24" s="25" t="n">
        <v>224.75</v>
      </c>
      <c r="D24" s="25" t="n">
        <v>223.83</v>
      </c>
      <c r="E24" s="25" t="n">
        <v>224.29</v>
      </c>
      <c r="F24" s="26" t="n">
        <v>3095791</v>
      </c>
      <c r="G24" s="27" t="n">
        <f aca="false">E24-E23</f>
        <v>0.620000000000005</v>
      </c>
      <c r="H24" s="28" t="n">
        <f aca="false">G24/E23</f>
        <v>0.0027719408056512</v>
      </c>
      <c r="I24" s="29" t="n">
        <f aca="false">MAX(G24,0)</f>
        <v>0.620000000000005</v>
      </c>
      <c r="J24" s="29" t="n">
        <f aca="false">MAX(-G24,0)</f>
        <v>0</v>
      </c>
      <c r="K24" s="29" t="n">
        <f aca="false">(K23*13+I24)/14</f>
        <v>1.07822294077237</v>
      </c>
      <c r="L24" s="29" t="n">
        <f aca="false">(L23*13+J24)/14</f>
        <v>0.674611452885037</v>
      </c>
      <c r="M24" s="31" t="n">
        <f aca="false">IF(L24=0,100,100-100/(1+K24/MAX(L24,0.000001)))</f>
        <v>61.5131095483918</v>
      </c>
      <c r="N24" s="30" t="n">
        <f aca="false">AVERAGE(E5:E24)</f>
        <v>219.8165</v>
      </c>
      <c r="Q24" s="30" t="n">
        <f aca="false">Q23+(2/13)*(E24-Q23)</f>
        <v>222.348036291577</v>
      </c>
      <c r="V24" s="32" t="str">
        <f aca="false">IF(M24="","",IF(M24&lt;Assumptions!$B$5,"BUY",IF(M24&gt;Assumptions!$B$4,"SELL","HOLD")))</f>
        <v>HOLD</v>
      </c>
    </row>
    <row r="25" customFormat="false" ht="15" hidden="false" customHeight="false" outlineLevel="0" collapsed="false">
      <c r="A25" s="24" t="n">
        <v>45803</v>
      </c>
      <c r="B25" s="25" t="n">
        <v>220.97</v>
      </c>
      <c r="C25" s="25" t="n">
        <v>222.15</v>
      </c>
      <c r="D25" s="25" t="n">
        <v>220.97</v>
      </c>
      <c r="E25" s="25" t="n">
        <v>221.56</v>
      </c>
      <c r="F25" s="26" t="n">
        <v>8954559</v>
      </c>
      <c r="G25" s="27" t="n">
        <f aca="false">E25-E24</f>
        <v>-2.72999999999999</v>
      </c>
      <c r="H25" s="28" t="n">
        <f aca="false">G25/E24</f>
        <v>-0.0121717419412367</v>
      </c>
      <c r="I25" s="29" t="n">
        <f aca="false">MAX(G25,0)</f>
        <v>0</v>
      </c>
      <c r="J25" s="29" t="n">
        <f aca="false">MAX(-G25,0)</f>
        <v>2.72999999999999</v>
      </c>
      <c r="K25" s="29" t="n">
        <f aca="false">(K24*13+I25)/14</f>
        <v>1.00120701643148</v>
      </c>
      <c r="L25" s="29" t="n">
        <f aca="false">(L24*13+J25)/14</f>
        <v>0.821424920536105</v>
      </c>
      <c r="M25" s="31" t="n">
        <f aca="false">IF(L25=0,100,100-100/(1+K25/MAX(L25,0.000001)))</f>
        <v>54.9319364005684</v>
      </c>
      <c r="N25" s="30" t="n">
        <f aca="false">AVERAGE(E6:E25)</f>
        <v>219.8975</v>
      </c>
      <c r="Q25" s="30" t="n">
        <f aca="false">Q24+(2/13)*(E25-Q24)</f>
        <v>222.226799939027</v>
      </c>
      <c r="V25" s="32" t="str">
        <f aca="false">IF(M25="","",IF(M25&lt;Assumptions!$B$5,"BUY",IF(M25&gt;Assumptions!$B$4,"SELL","HOLD")))</f>
        <v>HOLD</v>
      </c>
    </row>
    <row r="26" customFormat="false" ht="15" hidden="false" customHeight="false" outlineLevel="0" collapsed="false">
      <c r="A26" s="24" t="n">
        <v>45804</v>
      </c>
      <c r="B26" s="25" t="n">
        <v>219.54</v>
      </c>
      <c r="C26" s="25" t="n">
        <v>219.54</v>
      </c>
      <c r="D26" s="25" t="n">
        <v>219.4</v>
      </c>
      <c r="E26" s="25" t="n">
        <v>219.47</v>
      </c>
      <c r="F26" s="26" t="n">
        <v>13146905</v>
      </c>
      <c r="G26" s="27" t="n">
        <f aca="false">E26-E25</f>
        <v>-2.09</v>
      </c>
      <c r="H26" s="28" t="n">
        <f aca="false">G26/E25</f>
        <v>-0.00943311066979601</v>
      </c>
      <c r="I26" s="29" t="n">
        <f aca="false">MAX(G26,0)</f>
        <v>0</v>
      </c>
      <c r="J26" s="29" t="n">
        <f aca="false">MAX(-G26,0)</f>
        <v>2.09</v>
      </c>
      <c r="K26" s="29" t="n">
        <f aca="false">(K25*13+I26)/14</f>
        <v>0.929692229543521</v>
      </c>
      <c r="L26" s="29" t="n">
        <f aca="false">(L25*13+J26)/14</f>
        <v>0.912037426212097</v>
      </c>
      <c r="M26" s="31" t="n">
        <f aca="false">IF(L26=0,100,100-100/(1+K26/MAX(L26,0.000001)))</f>
        <v>50.4792995344417</v>
      </c>
      <c r="N26" s="30" t="n">
        <f aca="false">AVERAGE(E7:E26)</f>
        <v>219.834</v>
      </c>
      <c r="Q26" s="30" t="n">
        <f aca="false">Q25+(2/13)*(E26-Q25)</f>
        <v>221.802676871484</v>
      </c>
      <c r="V26" s="32" t="str">
        <f aca="false">IF(M26="","",IF(M26&lt;Assumptions!$B$5,"BUY",IF(M26&gt;Assumptions!$B$4,"SELL","HOLD")))</f>
        <v>HOLD</v>
      </c>
    </row>
    <row r="27" customFormat="false" ht="15" hidden="false" customHeight="false" outlineLevel="0" collapsed="false">
      <c r="A27" s="24" t="n">
        <v>45805</v>
      </c>
      <c r="B27" s="25" t="n">
        <v>221.74</v>
      </c>
      <c r="C27" s="25" t="n">
        <v>221.74</v>
      </c>
      <c r="D27" s="25" t="n">
        <v>221.74</v>
      </c>
      <c r="E27" s="25" t="n">
        <v>221.74</v>
      </c>
      <c r="F27" s="26" t="n">
        <v>5901040</v>
      </c>
      <c r="G27" s="27" t="n">
        <f aca="false">E27-E26</f>
        <v>2.27000000000001</v>
      </c>
      <c r="H27" s="28" t="n">
        <f aca="false">G27/E26</f>
        <v>0.0103430992846403</v>
      </c>
      <c r="I27" s="29" t="n">
        <f aca="false">MAX(G27,0)</f>
        <v>2.27000000000001</v>
      </c>
      <c r="J27" s="29" t="n">
        <f aca="false">MAX(-G27,0)</f>
        <v>0</v>
      </c>
      <c r="K27" s="29" t="n">
        <f aca="false">(K26*13+I27)/14</f>
        <v>1.02542849886184</v>
      </c>
      <c r="L27" s="29" t="n">
        <f aca="false">(L26*13+J27)/14</f>
        <v>0.846891895768376</v>
      </c>
      <c r="M27" s="31" t="n">
        <f aca="false">IF(L27=0,100,100-100/(1+K27/MAX(L27,0.000001)))</f>
        <v>54.7677898399629</v>
      </c>
      <c r="N27" s="30" t="n">
        <f aca="false">AVERAGE(E8:E27)</f>
        <v>220.0365</v>
      </c>
      <c r="Q27" s="30" t="n">
        <f aca="false">Q26+(2/13)*(E27-Q26)</f>
        <v>221.793034275871</v>
      </c>
      <c r="V27" s="32" t="str">
        <f aca="false">IF(M27="","",IF(M27&lt;Assumptions!$B$5,"BUY",IF(M27&gt;Assumptions!$B$4,"SELL","HOLD")))</f>
        <v>HOLD</v>
      </c>
    </row>
    <row r="28" customFormat="false" ht="15" hidden="false" customHeight="false" outlineLevel="0" collapsed="false">
      <c r="A28" s="24" t="n">
        <v>45806</v>
      </c>
      <c r="B28" s="25" t="n">
        <v>221.73</v>
      </c>
      <c r="C28" s="25" t="n">
        <v>221.88</v>
      </c>
      <c r="D28" s="25" t="n">
        <v>221.54</v>
      </c>
      <c r="E28" s="25" t="n">
        <v>221.71</v>
      </c>
      <c r="F28" s="26" t="n">
        <v>13988810</v>
      </c>
      <c r="G28" s="27" t="n">
        <f aca="false">E28-E27</f>
        <v>-0.0300000000000011</v>
      </c>
      <c r="H28" s="28" t="n">
        <f aca="false">G28/E27</f>
        <v>-0.000135293587083977</v>
      </c>
      <c r="I28" s="29" t="n">
        <f aca="false">MAX(G28,0)</f>
        <v>0</v>
      </c>
      <c r="J28" s="29" t="n">
        <f aca="false">MAX(-G28,0)</f>
        <v>0.0300000000000011</v>
      </c>
      <c r="K28" s="29" t="n">
        <f aca="false">(K27*13+I28)/14</f>
        <v>0.952183606085996</v>
      </c>
      <c r="L28" s="29" t="n">
        <f aca="false">(L27*13+J28)/14</f>
        <v>0.788542474642064</v>
      </c>
      <c r="M28" s="31" t="n">
        <f aca="false">IF(L28=0,100,100-100/(1+K28/MAX(L28,0.000001)))</f>
        <v>54.7003699564118</v>
      </c>
      <c r="N28" s="30" t="n">
        <f aca="false">AVERAGE(E9:E28)</f>
        <v>220.226</v>
      </c>
      <c r="Q28" s="30" t="n">
        <f aca="false">Q27+(2/13)*(E28-Q27)</f>
        <v>221.780259771891</v>
      </c>
      <c r="R28" s="30" t="n">
        <f aca="false">AVERAGE(E3:E28)</f>
        <v>219.701153846154</v>
      </c>
      <c r="S28" s="33" t="n">
        <f aca="false">Q28-R28</f>
        <v>2.07910592573717</v>
      </c>
      <c r="V28" s="32" t="str">
        <f aca="false">IF(M28="","",IF(M28&lt;Assumptions!$B$5,"BUY",IF(M28&gt;Assumptions!$B$4,"SELL","HOLD")))</f>
        <v>HOLD</v>
      </c>
    </row>
    <row r="29" customFormat="false" ht="15" hidden="false" customHeight="false" outlineLevel="0" collapsed="false">
      <c r="A29" s="24" t="n">
        <v>45807</v>
      </c>
      <c r="B29" s="25" t="n">
        <v>223.71</v>
      </c>
      <c r="C29" s="25" t="n">
        <v>225.36</v>
      </c>
      <c r="D29" s="25" t="n">
        <v>222.3</v>
      </c>
      <c r="E29" s="25" t="n">
        <v>223.83</v>
      </c>
      <c r="F29" s="26" t="n">
        <v>8054462</v>
      </c>
      <c r="G29" s="27" t="n">
        <f aca="false">E29-E28</f>
        <v>2.12</v>
      </c>
      <c r="H29" s="28" t="n">
        <f aca="false">G29/E28</f>
        <v>0.00956204050336027</v>
      </c>
      <c r="I29" s="29" t="n">
        <f aca="false">MAX(G29,0)</f>
        <v>2.12</v>
      </c>
      <c r="J29" s="29" t="n">
        <f aca="false">MAX(-G29,0)</f>
        <v>0</v>
      </c>
      <c r="K29" s="29" t="n">
        <f aca="false">(K28*13+I29)/14</f>
        <v>1.03559906279414</v>
      </c>
      <c r="L29" s="29" t="n">
        <f aca="false">(L28*13+J29)/14</f>
        <v>0.732218012167631</v>
      </c>
      <c r="M29" s="31" t="n">
        <f aca="false">IF(L29=0,100,100-100/(1+K29/MAX(L29,0.000001)))</f>
        <v>58.5806686371402</v>
      </c>
      <c r="N29" s="30" t="n">
        <f aca="false">AVERAGE(E10:E29)</f>
        <v>220.5105</v>
      </c>
      <c r="Q29" s="30" t="n">
        <f aca="false">Q28+(2/13)*(E29-Q28)</f>
        <v>222.095604422369</v>
      </c>
      <c r="R29" s="30" t="n">
        <f aca="false">R28+(2/27)*(E29-R28)</f>
        <v>220.006994301994</v>
      </c>
      <c r="S29" s="33" t="n">
        <f aca="false">Q29-R29</f>
        <v>2.08861012037502</v>
      </c>
      <c r="V29" s="32" t="str">
        <f aca="false">IF(M29="","",IF(M29&lt;Assumptions!$B$5,"BUY",IF(M29&gt;Assumptions!$B$4,"SELL","HOLD")))</f>
        <v>HOLD</v>
      </c>
    </row>
    <row r="30" customFormat="false" ht="15" hidden="false" customHeight="false" outlineLevel="0" collapsed="false">
      <c r="A30" s="24" t="n">
        <v>45810</v>
      </c>
      <c r="B30" s="25" t="n">
        <v>222.02</v>
      </c>
      <c r="C30" s="25" t="n">
        <v>222.71</v>
      </c>
      <c r="D30" s="25" t="n">
        <v>220.71</v>
      </c>
      <c r="E30" s="25" t="n">
        <v>221.71</v>
      </c>
      <c r="F30" s="26" t="n">
        <v>8039686</v>
      </c>
      <c r="G30" s="27" t="n">
        <f aca="false">E30-E29</f>
        <v>-2.12</v>
      </c>
      <c r="H30" s="28" t="n">
        <f aca="false">G30/E29</f>
        <v>-0.00947147388643169</v>
      </c>
      <c r="I30" s="29" t="n">
        <f aca="false">MAX(G30,0)</f>
        <v>0</v>
      </c>
      <c r="J30" s="29" t="n">
        <f aca="false">MAX(-G30,0)</f>
        <v>2.12</v>
      </c>
      <c r="K30" s="29" t="n">
        <f aca="false">(K29*13+I30)/14</f>
        <v>0.961627701165986</v>
      </c>
      <c r="L30" s="29" t="n">
        <f aca="false">(L29*13+J30)/14</f>
        <v>0.8313452970128</v>
      </c>
      <c r="M30" s="31" t="n">
        <f aca="false">IF(L30=0,100,100-100/(1+K30/MAX(L30,0.000001)))</f>
        <v>53.6331390457503</v>
      </c>
      <c r="N30" s="30" t="n">
        <f aca="false">AVERAGE(E11:E30)</f>
        <v>220.791</v>
      </c>
      <c r="Q30" s="30" t="n">
        <f aca="false">Q29+(2/13)*(E30-Q29)</f>
        <v>222.036280665082</v>
      </c>
      <c r="R30" s="30" t="n">
        <f aca="false">R29+(2/27)*(E30-R29)</f>
        <v>220.133142872217</v>
      </c>
      <c r="S30" s="33" t="n">
        <f aca="false">Q30-R30</f>
        <v>1.90313779286478</v>
      </c>
      <c r="V30" s="32" t="str">
        <f aca="false">IF(M30="","",IF(M30&lt;Assumptions!$B$5,"BUY",IF(M30&gt;Assumptions!$B$4,"SELL","HOLD")))</f>
        <v>HOLD</v>
      </c>
    </row>
    <row r="31" customFormat="false" ht="15" hidden="false" customHeight="false" outlineLevel="0" collapsed="false">
      <c r="A31" s="24" t="n">
        <v>45811</v>
      </c>
      <c r="B31" s="25" t="n">
        <v>224.76</v>
      </c>
      <c r="C31" s="25" t="n">
        <v>225.08</v>
      </c>
      <c r="D31" s="25" t="n">
        <v>224.76</v>
      </c>
      <c r="E31" s="25" t="n">
        <v>224.92</v>
      </c>
      <c r="F31" s="26" t="n">
        <v>10056848</v>
      </c>
      <c r="G31" s="27" t="n">
        <f aca="false">E31-E30</f>
        <v>3.20999999999998</v>
      </c>
      <c r="H31" s="28" t="n">
        <f aca="false">G31/E30</f>
        <v>0.0144783726489558</v>
      </c>
      <c r="I31" s="29" t="n">
        <f aca="false">MAX(G31,0)</f>
        <v>3.20999999999998</v>
      </c>
      <c r="J31" s="29" t="n">
        <f aca="false">MAX(-G31,0)</f>
        <v>0</v>
      </c>
      <c r="K31" s="29" t="n">
        <f aca="false">(K30*13+I31)/14</f>
        <v>1.12222572251127</v>
      </c>
      <c r="L31" s="29" t="n">
        <f aca="false">(L30*13+J31)/14</f>
        <v>0.771963490083314</v>
      </c>
      <c r="M31" s="31" t="n">
        <f aca="false">IF(L31=0,100,100-100/(1+K31/MAX(L31,0.000001)))</f>
        <v>59.2457033885274</v>
      </c>
      <c r="N31" s="30" t="n">
        <f aca="false">AVERAGE(E12:E31)</f>
        <v>221.3795</v>
      </c>
      <c r="Q31" s="30" t="n">
        <f aca="false">Q30+(2/13)*(E31-Q30)</f>
        <v>222.479929793531</v>
      </c>
      <c r="R31" s="30" t="n">
        <f aca="false">R30+(2/27)*(E31-R30)</f>
        <v>220.487724881682</v>
      </c>
      <c r="S31" s="33" t="n">
        <f aca="false">Q31-R31</f>
        <v>1.99220491184832</v>
      </c>
      <c r="V31" s="32" t="str">
        <f aca="false">IF(M31="","",IF(M31&lt;Assumptions!$B$5,"BUY",IF(M31&gt;Assumptions!$B$4,"SELL","HOLD")))</f>
        <v>HOLD</v>
      </c>
    </row>
    <row r="32" customFormat="false" ht="15" hidden="false" customHeight="false" outlineLevel="0" collapsed="false">
      <c r="A32" s="24" t="n">
        <v>45812</v>
      </c>
      <c r="B32" s="25" t="n">
        <v>224.18</v>
      </c>
      <c r="C32" s="25" t="n">
        <v>225.76</v>
      </c>
      <c r="D32" s="25" t="n">
        <v>223.26</v>
      </c>
      <c r="E32" s="25" t="n">
        <v>224.51</v>
      </c>
      <c r="F32" s="26" t="n">
        <v>10372598</v>
      </c>
      <c r="G32" s="27" t="n">
        <f aca="false">E32-E31</f>
        <v>-0.409999999999997</v>
      </c>
      <c r="H32" s="28" t="n">
        <f aca="false">G32/E31</f>
        <v>-0.0018228703539036</v>
      </c>
      <c r="I32" s="29" t="n">
        <f aca="false">MAX(G32,0)</f>
        <v>0</v>
      </c>
      <c r="J32" s="29" t="n">
        <f aca="false">MAX(-G32,0)</f>
        <v>0.409999999999997</v>
      </c>
      <c r="K32" s="29" t="n">
        <f aca="false">(K31*13+I32)/14</f>
        <v>1.0420667423319</v>
      </c>
      <c r="L32" s="29" t="n">
        <f aca="false">(L31*13+J32)/14</f>
        <v>0.746108955077363</v>
      </c>
      <c r="M32" s="31" t="n">
        <f aca="false">IF(L32=0,100,100-100/(1+K32/MAX(L32,0.000001)))</f>
        <v>58.2754112944081</v>
      </c>
      <c r="N32" s="30" t="n">
        <f aca="false">AVERAGE(E13:E32)</f>
        <v>221.991</v>
      </c>
      <c r="Q32" s="30" t="n">
        <f aca="false">Q31+(2/13)*(E32-Q31)</f>
        <v>222.792248286834</v>
      </c>
      <c r="R32" s="30" t="n">
        <f aca="false">R31+(2/27)*(E32-R31)</f>
        <v>220.785671186743</v>
      </c>
      <c r="S32" s="33" t="n">
        <f aca="false">Q32-R32</f>
        <v>2.00657710009071</v>
      </c>
      <c r="V32" s="32" t="str">
        <f aca="false">IF(M32="","",IF(M32&lt;Assumptions!$B$5,"BUY",IF(M32&gt;Assumptions!$B$4,"SELL","HOLD")))</f>
        <v>HOLD</v>
      </c>
    </row>
    <row r="33" customFormat="false" ht="15" hidden="false" customHeight="false" outlineLevel="0" collapsed="false">
      <c r="A33" s="24" t="n">
        <v>45813</v>
      </c>
      <c r="B33" s="25" t="n">
        <v>219.09</v>
      </c>
      <c r="C33" s="25" t="n">
        <v>221.59</v>
      </c>
      <c r="D33" s="25" t="n">
        <v>217.91</v>
      </c>
      <c r="E33" s="25" t="n">
        <v>219.75</v>
      </c>
      <c r="F33" s="26" t="n">
        <v>9743966</v>
      </c>
      <c r="G33" s="27" t="n">
        <f aca="false">E33-E32</f>
        <v>-4.75999999999999</v>
      </c>
      <c r="H33" s="28" t="n">
        <f aca="false">G33/E32</f>
        <v>-0.0212017282080976</v>
      </c>
      <c r="I33" s="29" t="n">
        <f aca="false">MAX(G33,0)</f>
        <v>0</v>
      </c>
      <c r="J33" s="29" t="n">
        <f aca="false">MAX(-G33,0)</f>
        <v>4.75999999999999</v>
      </c>
      <c r="K33" s="29" t="n">
        <f aca="false">(K32*13+I33)/14</f>
        <v>0.967633403593903</v>
      </c>
      <c r="L33" s="29" t="n">
        <f aca="false">(L32*13+J33)/14</f>
        <v>1.03281545828612</v>
      </c>
      <c r="M33" s="31" t="n">
        <f aca="false">IF(L33=0,100,100-100/(1+K33/MAX(L33,0.000001)))</f>
        <v>48.3708142723788</v>
      </c>
      <c r="N33" s="30" t="n">
        <f aca="false">AVERAGE(E14:E33)</f>
        <v>222.2615</v>
      </c>
      <c r="Q33" s="30" t="n">
        <f aca="false">Q32+(2/13)*(E33-Q32)</f>
        <v>222.324210088859</v>
      </c>
      <c r="R33" s="30" t="n">
        <f aca="false">R32+(2/27)*(E33-R32)</f>
        <v>220.70895480254</v>
      </c>
      <c r="S33" s="33" t="n">
        <f aca="false">Q33-R33</f>
        <v>1.6152552863195</v>
      </c>
      <c r="V33" s="32" t="str">
        <f aca="false">IF(M33="","",IF(M33&lt;Assumptions!$B$5,"BUY",IF(M33&gt;Assumptions!$B$4,"SELL","HOLD")))</f>
        <v>HOLD</v>
      </c>
    </row>
    <row r="34" customFormat="false" ht="15" hidden="false" customHeight="false" outlineLevel="0" collapsed="false">
      <c r="A34" s="24" t="n">
        <v>45814</v>
      </c>
      <c r="B34" s="25" t="n">
        <v>217.73</v>
      </c>
      <c r="C34" s="25" t="n">
        <v>217.73</v>
      </c>
      <c r="D34" s="25" t="n">
        <v>217.51</v>
      </c>
      <c r="E34" s="25" t="n">
        <v>217.62</v>
      </c>
      <c r="F34" s="26" t="n">
        <v>8312091</v>
      </c>
      <c r="G34" s="27" t="n">
        <f aca="false">E34-E33</f>
        <v>-2.13</v>
      </c>
      <c r="H34" s="28" t="n">
        <f aca="false">G34/E33</f>
        <v>-0.0096928327645051</v>
      </c>
      <c r="I34" s="29" t="n">
        <f aca="false">MAX(G34,0)</f>
        <v>0</v>
      </c>
      <c r="J34" s="29" t="n">
        <f aca="false">MAX(-G34,0)</f>
        <v>2.13</v>
      </c>
      <c r="K34" s="29" t="n">
        <f aca="false">(K33*13+I34)/14</f>
        <v>0.898516731908624</v>
      </c>
      <c r="L34" s="29" t="n">
        <f aca="false">(L33*13+J34)/14</f>
        <v>1.11118578269426</v>
      </c>
      <c r="M34" s="31" t="n">
        <f aca="false">IF(L34=0,100,100-100/(1+K34/MAX(L34,0.000001)))</f>
        <v>44.7089420140459</v>
      </c>
      <c r="N34" s="30" t="n">
        <f aca="false">AVERAGE(E15:E34)</f>
        <v>222.3275</v>
      </c>
      <c r="Q34" s="30" t="n">
        <f aca="false">Q33+(2/13)*(E34-Q33)</f>
        <v>221.600485459804</v>
      </c>
      <c r="R34" s="30" t="n">
        <f aca="false">R33+(2/27)*(E34-R33)</f>
        <v>220.480143335685</v>
      </c>
      <c r="S34" s="33" t="n">
        <f aca="false">Q34-R34</f>
        <v>1.12034212411905</v>
      </c>
      <c r="V34" s="32" t="str">
        <f aca="false">IF(M34="","",IF(M34&lt;Assumptions!$B$5,"BUY",IF(M34&gt;Assumptions!$B$4,"SELL","HOLD")))</f>
        <v>HOLD</v>
      </c>
    </row>
    <row r="35" customFormat="false" ht="15" hidden="false" customHeight="false" outlineLevel="0" collapsed="false">
      <c r="A35" s="24" t="n">
        <v>45817</v>
      </c>
      <c r="B35" s="25" t="n">
        <v>215.64</v>
      </c>
      <c r="C35" s="25" t="n">
        <v>216.5</v>
      </c>
      <c r="D35" s="25" t="n">
        <v>212.14</v>
      </c>
      <c r="E35" s="25" t="n">
        <v>214.32</v>
      </c>
      <c r="F35" s="26" t="n">
        <v>5274925</v>
      </c>
      <c r="G35" s="27" t="n">
        <f aca="false">E35-E34</f>
        <v>-3.30000000000001</v>
      </c>
      <c r="H35" s="28" t="n">
        <f aca="false">G35/E34</f>
        <v>-0.015164047422112</v>
      </c>
      <c r="I35" s="29" t="n">
        <f aca="false">MAX(G35,0)</f>
        <v>0</v>
      </c>
      <c r="J35" s="29" t="n">
        <f aca="false">MAX(-G35,0)</f>
        <v>3.30000000000001</v>
      </c>
      <c r="K35" s="29" t="n">
        <f aca="false">(K34*13+I35)/14</f>
        <v>0.834336965343722</v>
      </c>
      <c r="L35" s="29" t="n">
        <f aca="false">(L34*13+J35)/14</f>
        <v>1.26752965535895</v>
      </c>
      <c r="M35" s="31" t="n">
        <f aca="false">IF(L35=0,100,100-100/(1+K35/MAX(L35,0.000001)))</f>
        <v>39.6950480646957</v>
      </c>
      <c r="N35" s="30" t="n">
        <f aca="false">AVERAGE(E16:E35)</f>
        <v>222.0835</v>
      </c>
      <c r="Q35" s="30" t="n">
        <f aca="false">Q34+(2/13)*(E35-Q34)</f>
        <v>220.48041077368</v>
      </c>
      <c r="R35" s="30" t="n">
        <f aca="false">R34+(2/27)*(E35-R34)</f>
        <v>220.023836421931</v>
      </c>
      <c r="S35" s="33" t="n">
        <f aca="false">Q35-R35</f>
        <v>0.456574351749794</v>
      </c>
      <c r="V35" s="32" t="str">
        <f aca="false">IF(M35="","",IF(M35&lt;Assumptions!$B$5,"BUY",IF(M35&gt;Assumptions!$B$4,"SELL","HOLD")))</f>
        <v>HOLD</v>
      </c>
    </row>
    <row r="36" customFormat="false" ht="15" hidden="false" customHeight="false" outlineLevel="0" collapsed="false">
      <c r="A36" s="24" t="n">
        <v>45818</v>
      </c>
      <c r="B36" s="25" t="n">
        <v>210.51</v>
      </c>
      <c r="C36" s="25" t="n">
        <v>211.33</v>
      </c>
      <c r="D36" s="25" t="n">
        <v>210.51</v>
      </c>
      <c r="E36" s="25" t="n">
        <v>210.92</v>
      </c>
      <c r="F36" s="26" t="n">
        <v>7773717</v>
      </c>
      <c r="G36" s="27" t="n">
        <f aca="false">E36-E35</f>
        <v>-3.40000000000001</v>
      </c>
      <c r="H36" s="28" t="n">
        <f aca="false">G36/E35</f>
        <v>-0.0158641284061217</v>
      </c>
      <c r="I36" s="29" t="n">
        <f aca="false">MAX(G36,0)</f>
        <v>0</v>
      </c>
      <c r="J36" s="29" t="n">
        <f aca="false">MAX(-G36,0)</f>
        <v>3.40000000000001</v>
      </c>
      <c r="K36" s="29" t="n">
        <f aca="false">(K35*13+I36)/14</f>
        <v>0.774741467819171</v>
      </c>
      <c r="L36" s="29" t="n">
        <f aca="false">(L35*13+J36)/14</f>
        <v>1.41984896569046</v>
      </c>
      <c r="M36" s="31" t="n">
        <f aca="false">IF(L36=0,100,100-100/(1+K36/MAX(L36,0.000001)))</f>
        <v>35.3023259369718</v>
      </c>
      <c r="N36" s="30" t="n">
        <f aca="false">AVERAGE(E17:E36)</f>
        <v>221.674</v>
      </c>
      <c r="Q36" s="30" t="n">
        <f aca="false">Q35+(2/13)*(E36-Q35)</f>
        <v>219.00957834696</v>
      </c>
      <c r="R36" s="30" t="n">
        <f aca="false">R35+(2/27)*(E36-R35)</f>
        <v>219.349478168454</v>
      </c>
      <c r="S36" s="33" t="n">
        <f aca="false">Q36-R36</f>
        <v>-0.33989982149393</v>
      </c>
      <c r="T36" s="33" t="n">
        <f aca="false">AVERAGE(S28:S36)</f>
        <v>1.43576753240116</v>
      </c>
      <c r="U36" s="33" t="n">
        <f aca="false">S36-T36</f>
        <v>-1.77566735389509</v>
      </c>
      <c r="V36" s="32" t="str">
        <f aca="false">IF(M36="","",IF(M36&lt;Assumptions!$B$5,"BUY",IF(M36&gt;Assumptions!$B$4,"SELL","HOLD")))</f>
        <v>HOLD</v>
      </c>
      <c r="X36" s="32" t="str">
        <f aca="false">IF(T36="","",IF(S36&gt;T36,"BUY","SELL"))</f>
        <v>SELL</v>
      </c>
    </row>
    <row r="37" customFormat="false" ht="15" hidden="false" customHeight="false" outlineLevel="0" collapsed="false">
      <c r="A37" s="24" t="n">
        <v>45819</v>
      </c>
      <c r="B37" s="25" t="n">
        <v>210.71</v>
      </c>
      <c r="C37" s="25" t="n">
        <v>214.44</v>
      </c>
      <c r="D37" s="25" t="n">
        <v>209.82</v>
      </c>
      <c r="E37" s="25" t="n">
        <v>212.13</v>
      </c>
      <c r="F37" s="26" t="n">
        <v>10855445</v>
      </c>
      <c r="G37" s="27" t="n">
        <f aca="false">E37-E36</f>
        <v>1.21000000000001</v>
      </c>
      <c r="H37" s="28" t="n">
        <f aca="false">G37/E36</f>
        <v>0.00573677223591887</v>
      </c>
      <c r="I37" s="29" t="n">
        <f aca="false">MAX(G37,0)</f>
        <v>1.21000000000001</v>
      </c>
      <c r="J37" s="29" t="n">
        <f aca="false">MAX(-G37,0)</f>
        <v>0</v>
      </c>
      <c r="K37" s="29" t="n">
        <f aca="false">(K36*13+I37)/14</f>
        <v>0.805831362974945</v>
      </c>
      <c r="L37" s="29" t="n">
        <f aca="false">(L36*13+J37)/14</f>
        <v>1.31843118242685</v>
      </c>
      <c r="M37" s="31" t="n">
        <f aca="false">IF(L37=0,100,100-100/(1+K37/MAX(L37,0.000001)))</f>
        <v>37.9346406459624</v>
      </c>
      <c r="N37" s="30" t="n">
        <f aca="false">AVERAGE(E18:E37)</f>
        <v>221.0845</v>
      </c>
      <c r="Q37" s="30" t="n">
        <f aca="false">Q36+(2/13)*(E37-Q36)</f>
        <v>217.951181678197</v>
      </c>
      <c r="R37" s="30" t="n">
        <f aca="false">R36+(2/27)*(E37-R36)</f>
        <v>218.814702007828</v>
      </c>
      <c r="S37" s="33" t="n">
        <f aca="false">Q37-R37</f>
        <v>-0.863520329630831</v>
      </c>
      <c r="T37" s="33" t="n">
        <f aca="false">T36+(2/10)*(S37-T36)</f>
        <v>0.975909959994759</v>
      </c>
      <c r="U37" s="33" t="n">
        <f aca="false">S37-T37</f>
        <v>-1.83943028962559</v>
      </c>
      <c r="V37" s="32" t="str">
        <f aca="false">IF(M37="","",IF(M37&lt;Assumptions!$B$5,"BUY",IF(M37&gt;Assumptions!$B$4,"SELL","HOLD")))</f>
        <v>HOLD</v>
      </c>
      <c r="X37" s="32" t="str">
        <f aca="false">IF(T37="","",IF(S37&gt;T37,"BUY","SELL"))</f>
        <v>SELL</v>
      </c>
    </row>
    <row r="38" customFormat="false" ht="15" hidden="false" customHeight="false" outlineLevel="0" collapsed="false">
      <c r="A38" s="24" t="n">
        <v>45820</v>
      </c>
      <c r="B38" s="25" t="n">
        <v>213.45</v>
      </c>
      <c r="C38" s="25" t="n">
        <v>213.45</v>
      </c>
      <c r="D38" s="25" t="n">
        <v>212.57</v>
      </c>
      <c r="E38" s="25" t="n">
        <v>213.01</v>
      </c>
      <c r="F38" s="26" t="n">
        <v>5466893</v>
      </c>
      <c r="G38" s="27" t="n">
        <f aca="false">E38-E37</f>
        <v>0.879999999999996</v>
      </c>
      <c r="H38" s="28" t="n">
        <f aca="false">G38/E37</f>
        <v>0.00414839956630366</v>
      </c>
      <c r="I38" s="29" t="n">
        <f aca="false">MAX(G38,0)</f>
        <v>0.879999999999996</v>
      </c>
      <c r="J38" s="29" t="n">
        <f aca="false">MAX(-G38,0)</f>
        <v>0</v>
      </c>
      <c r="K38" s="29" t="n">
        <f aca="false">(K37*13+I38)/14</f>
        <v>0.811129122762448</v>
      </c>
      <c r="L38" s="29" t="n">
        <f aca="false">(L37*13+J38)/14</f>
        <v>1.22425752653922</v>
      </c>
      <c r="M38" s="31" t="n">
        <f aca="false">IF(L38=0,100,100-100/(1+K38/MAX(L38,0.000001)))</f>
        <v>39.8513532080375</v>
      </c>
      <c r="N38" s="30" t="n">
        <f aca="false">AVERAGE(E19:E38)</f>
        <v>220.6415</v>
      </c>
      <c r="Q38" s="30" t="n">
        <f aca="false">Q37+(2/13)*(E38-Q37)</f>
        <v>217.190999881551</v>
      </c>
      <c r="R38" s="30" t="n">
        <f aca="false">R37+(2/27)*(E38-R37)</f>
        <v>218.384724081322</v>
      </c>
      <c r="S38" s="33" t="n">
        <f aca="false">Q38-R38</f>
        <v>-1.19372419977077</v>
      </c>
      <c r="T38" s="33" t="n">
        <f aca="false">T37+(2/10)*(S38-T37)</f>
        <v>0.541983128041653</v>
      </c>
      <c r="U38" s="33" t="n">
        <f aca="false">S38-T38</f>
        <v>-1.73570732781242</v>
      </c>
      <c r="V38" s="32" t="str">
        <f aca="false">IF(M38="","",IF(M38&lt;Assumptions!$B$5,"BUY",IF(M38&gt;Assumptions!$B$4,"SELL","HOLD")))</f>
        <v>HOLD</v>
      </c>
      <c r="X38" s="32" t="str">
        <f aca="false">IF(T38="","",IF(S38&gt;T38,"BUY","SELL"))</f>
        <v>SELL</v>
      </c>
    </row>
    <row r="39" customFormat="false" ht="15" hidden="false" customHeight="false" outlineLevel="0" collapsed="false">
      <c r="A39" s="24" t="n">
        <v>45821</v>
      </c>
      <c r="B39" s="25" t="n">
        <v>214.25</v>
      </c>
      <c r="C39" s="25" t="n">
        <v>215.77</v>
      </c>
      <c r="D39" s="25" t="n">
        <v>213.07</v>
      </c>
      <c r="E39" s="25" t="n">
        <v>214.42</v>
      </c>
      <c r="F39" s="26" t="n">
        <v>11871952</v>
      </c>
      <c r="G39" s="27" t="n">
        <f aca="false">E39-E38</f>
        <v>1.41</v>
      </c>
      <c r="H39" s="28" t="n">
        <f aca="false">G39/E38</f>
        <v>0.00661940753955212</v>
      </c>
      <c r="I39" s="29" t="n">
        <f aca="false">MAX(G39,0)</f>
        <v>1.41</v>
      </c>
      <c r="J39" s="29" t="n">
        <f aca="false">MAX(-G39,0)</f>
        <v>0</v>
      </c>
      <c r="K39" s="29" t="n">
        <f aca="false">(K38*13+I39)/14</f>
        <v>0.853905613993702</v>
      </c>
      <c r="L39" s="29" t="n">
        <f aca="false">(L38*13+J39)/14</f>
        <v>1.13681056035785</v>
      </c>
      <c r="M39" s="31" t="n">
        <f aca="false">IF(L39=0,100,100-100/(1+K39/MAX(L39,0.000001)))</f>
        <v>42.8943927313923</v>
      </c>
      <c r="N39" s="30" t="n">
        <f aca="false">AVERAGE(E20:E39)</f>
        <v>220.214</v>
      </c>
      <c r="Q39" s="30" t="n">
        <f aca="false">Q38+(2/13)*(E39-Q38)</f>
        <v>216.764692207467</v>
      </c>
      <c r="R39" s="30" t="n">
        <f aca="false">R38+(2/27)*(E39-R38)</f>
        <v>218.091040816039</v>
      </c>
      <c r="S39" s="33" t="n">
        <f aca="false">Q39-R39</f>
        <v>-1.32634860857246</v>
      </c>
      <c r="T39" s="33" t="n">
        <f aca="false">T38+(2/10)*(S39-T38)</f>
        <v>0.168316780718831</v>
      </c>
      <c r="U39" s="33" t="n">
        <f aca="false">S39-T39</f>
        <v>-1.49466538929129</v>
      </c>
      <c r="V39" s="32" t="str">
        <f aca="false">IF(M39="","",IF(M39&lt;Assumptions!$B$5,"BUY",IF(M39&gt;Assumptions!$B$4,"SELL","HOLD")))</f>
        <v>HOLD</v>
      </c>
      <c r="X39" s="32" t="str">
        <f aca="false">IF(T39="","",IF(S39&gt;T39,"BUY","SELL"))</f>
        <v>SELL</v>
      </c>
    </row>
    <row r="40" customFormat="false" ht="15" hidden="false" customHeight="false" outlineLevel="0" collapsed="false">
      <c r="A40" s="24" t="n">
        <v>45824</v>
      </c>
      <c r="B40" s="25" t="n">
        <v>212.81</v>
      </c>
      <c r="C40" s="25" t="n">
        <v>212.81</v>
      </c>
      <c r="D40" s="25" t="n">
        <v>212.61</v>
      </c>
      <c r="E40" s="25" t="n">
        <v>212.71</v>
      </c>
      <c r="F40" s="26" t="n">
        <v>11297773</v>
      </c>
      <c r="G40" s="27" t="n">
        <f aca="false">E40-E39</f>
        <v>-1.70999999999998</v>
      </c>
      <c r="H40" s="28" t="n">
        <f aca="false">G40/E39</f>
        <v>-0.00797500233187193</v>
      </c>
      <c r="I40" s="29" t="n">
        <f aca="false">MAX(G40,0)</f>
        <v>0</v>
      </c>
      <c r="J40" s="29" t="n">
        <f aca="false">MAX(-G40,0)</f>
        <v>1.70999999999998</v>
      </c>
      <c r="K40" s="29" t="n">
        <f aca="false">(K39*13+I40)/14</f>
        <v>0.792912355851295</v>
      </c>
      <c r="L40" s="29" t="n">
        <f aca="false">(L39*13+J40)/14</f>
        <v>1.17775266318943</v>
      </c>
      <c r="M40" s="31" t="n">
        <f aca="false">IF(L40=0,100,100-100/(1+K40/MAX(L40,0.000001)))</f>
        <v>40.2357756488349</v>
      </c>
      <c r="N40" s="30" t="n">
        <f aca="false">AVERAGE(E21:E40)</f>
        <v>219.7295</v>
      </c>
      <c r="Q40" s="30" t="n">
        <f aca="false">Q39+(2/13)*(E40-Q39)</f>
        <v>216.140893406318</v>
      </c>
      <c r="R40" s="30" t="n">
        <f aca="false">R39+(2/27)*(E40-R39)</f>
        <v>217.692445200036</v>
      </c>
      <c r="S40" s="33" t="n">
        <f aca="false">Q40-R40</f>
        <v>-1.55155179371826</v>
      </c>
      <c r="T40" s="33" t="n">
        <f aca="false">T39+(2/10)*(S40-T39)</f>
        <v>-0.175656934168588</v>
      </c>
      <c r="U40" s="33" t="n">
        <f aca="false">S40-T40</f>
        <v>-1.37589485954967</v>
      </c>
      <c r="V40" s="32" t="str">
        <f aca="false">IF(M40="","",IF(M40&lt;Assumptions!$B$5,"BUY",IF(M40&gt;Assumptions!$B$4,"SELL","HOLD")))</f>
        <v>HOLD</v>
      </c>
      <c r="X40" s="32" t="str">
        <f aca="false">IF(T40="","",IF(S40&gt;T40,"BUY","SELL"))</f>
        <v>SELL</v>
      </c>
    </row>
    <row r="41" customFormat="false" ht="15" hidden="false" customHeight="false" outlineLevel="0" collapsed="false">
      <c r="A41" s="24" t="n">
        <v>45825</v>
      </c>
      <c r="B41" s="25" t="n">
        <v>214.14</v>
      </c>
      <c r="C41" s="25" t="n">
        <v>214.47</v>
      </c>
      <c r="D41" s="25" t="n">
        <v>213.49</v>
      </c>
      <c r="E41" s="25" t="n">
        <v>213.98</v>
      </c>
      <c r="F41" s="26" t="n">
        <v>9196707</v>
      </c>
      <c r="G41" s="27" t="n">
        <f aca="false">E41-E40</f>
        <v>1.26999999999998</v>
      </c>
      <c r="H41" s="28" t="n">
        <f aca="false">G41/E40</f>
        <v>0.00597057025997829</v>
      </c>
      <c r="I41" s="29" t="n">
        <f aca="false">MAX(G41,0)</f>
        <v>1.26999999999998</v>
      </c>
      <c r="J41" s="29" t="n">
        <f aca="false">MAX(-G41,0)</f>
        <v>0</v>
      </c>
      <c r="K41" s="29" t="n">
        <f aca="false">(K40*13+I41)/14</f>
        <v>0.826990044719058</v>
      </c>
      <c r="L41" s="29" t="n">
        <f aca="false">(L40*13+J41)/14</f>
        <v>1.09362747296161</v>
      </c>
      <c r="M41" s="31" t="n">
        <f aca="false">IF(L41=0,100,100-100/(1+K41/MAX(L41,0.000001)))</f>
        <v>43.0585495084793</v>
      </c>
      <c r="N41" s="30" t="n">
        <f aca="false">AVERAGE(E22:E41)</f>
        <v>219.1235</v>
      </c>
      <c r="Q41" s="30" t="n">
        <f aca="false">Q40+(2/13)*(E41-Q40)</f>
        <v>215.808448266884</v>
      </c>
      <c r="R41" s="30" t="n">
        <f aca="false">R40+(2/27)*(E41-R40)</f>
        <v>217.417449259293</v>
      </c>
      <c r="S41" s="33" t="n">
        <f aca="false">Q41-R41</f>
        <v>-1.60900099240837</v>
      </c>
      <c r="T41" s="33" t="n">
        <f aca="false">T40+(2/10)*(S41-T40)</f>
        <v>-0.462325745816544</v>
      </c>
      <c r="U41" s="33" t="n">
        <f aca="false">S41-T41</f>
        <v>-1.14667524659183</v>
      </c>
      <c r="V41" s="32" t="str">
        <f aca="false">IF(M41="","",IF(M41&lt;Assumptions!$B$5,"BUY",IF(M41&gt;Assumptions!$B$4,"SELL","HOLD")))</f>
        <v>HOLD</v>
      </c>
      <c r="X41" s="32" t="str">
        <f aca="false">IF(T41="","",IF(S41&gt;T41,"BUY","SELL"))</f>
        <v>SELL</v>
      </c>
    </row>
    <row r="42" customFormat="false" ht="15" hidden="false" customHeight="false" outlineLevel="0" collapsed="false">
      <c r="A42" s="24" t="n">
        <v>45826</v>
      </c>
      <c r="B42" s="25" t="n">
        <v>210.81</v>
      </c>
      <c r="C42" s="25" t="n">
        <v>210.81</v>
      </c>
      <c r="D42" s="25" t="n">
        <v>210.33</v>
      </c>
      <c r="E42" s="25" t="n">
        <v>210.57</v>
      </c>
      <c r="F42" s="26" t="n">
        <v>7707789</v>
      </c>
      <c r="G42" s="27" t="n">
        <f aca="false">E42-E41</f>
        <v>-3.41</v>
      </c>
      <c r="H42" s="28" t="n">
        <f aca="false">G42/E41</f>
        <v>-0.0159360687914758</v>
      </c>
      <c r="I42" s="29" t="n">
        <f aca="false">MAX(G42,0)</f>
        <v>0</v>
      </c>
      <c r="J42" s="29" t="n">
        <f aca="false">MAX(-G42,0)</f>
        <v>3.41</v>
      </c>
      <c r="K42" s="29" t="n">
        <f aca="false">(K41*13+I42)/14</f>
        <v>0.767919327239125</v>
      </c>
      <c r="L42" s="29" t="n">
        <f aca="false">(L41*13+J42)/14</f>
        <v>1.25908265346435</v>
      </c>
      <c r="M42" s="31" t="n">
        <f aca="false">IF(L42=0,100,100-100/(1+K42/MAX(L42,0.000001)))</f>
        <v>37.8844882515909</v>
      </c>
      <c r="N42" s="30" t="n">
        <f aca="false">AVERAGE(E23:E42)</f>
        <v>218.342</v>
      </c>
      <c r="Q42" s="30" t="n">
        <f aca="false">Q41+(2/13)*(E42-Q41)</f>
        <v>215.002533148902</v>
      </c>
      <c r="R42" s="30" t="n">
        <f aca="false">R41+(2/27)*(E42-R41)</f>
        <v>216.910230795641</v>
      </c>
      <c r="S42" s="33" t="n">
        <f aca="false">Q42-R42</f>
        <v>-1.90769764673928</v>
      </c>
      <c r="T42" s="33" t="n">
        <f aca="false">T41+(2/10)*(S42-T41)</f>
        <v>-0.751400126001091</v>
      </c>
      <c r="U42" s="33" t="n">
        <f aca="false">S42-T42</f>
        <v>-1.15629752073819</v>
      </c>
      <c r="V42" s="32" t="str">
        <f aca="false">IF(M42="","",IF(M42&lt;Assumptions!$B$5,"BUY",IF(M42&gt;Assumptions!$B$4,"SELL","HOLD")))</f>
        <v>HOLD</v>
      </c>
      <c r="X42" s="32" t="str">
        <f aca="false">IF(T42="","",IF(S42&gt;T42,"BUY","SELL"))</f>
        <v>SELL</v>
      </c>
    </row>
    <row r="43" customFormat="false" ht="15" hidden="false" customHeight="false" outlineLevel="0" collapsed="false">
      <c r="A43" s="24" t="n">
        <v>45827</v>
      </c>
      <c r="B43" s="25" t="n">
        <v>210.05</v>
      </c>
      <c r="C43" s="25" t="n">
        <v>210.39</v>
      </c>
      <c r="D43" s="25" t="n">
        <v>208.57</v>
      </c>
      <c r="E43" s="25" t="n">
        <v>209.48</v>
      </c>
      <c r="F43" s="26" t="n">
        <v>10650686</v>
      </c>
      <c r="G43" s="27" t="n">
        <f aca="false">E43-E42</f>
        <v>-1.09</v>
      </c>
      <c r="H43" s="28" t="n">
        <f aca="false">G43/E42</f>
        <v>-0.0051764258916275</v>
      </c>
      <c r="I43" s="29" t="n">
        <f aca="false">MAX(G43,0)</f>
        <v>0</v>
      </c>
      <c r="J43" s="29" t="n">
        <f aca="false">MAX(-G43,0)</f>
        <v>1.09</v>
      </c>
      <c r="K43" s="29" t="n">
        <f aca="false">(K42*13+I43)/14</f>
        <v>0.713067946722045</v>
      </c>
      <c r="L43" s="29" t="n">
        <f aca="false">(L42*13+J43)/14</f>
        <v>1.24700532107404</v>
      </c>
      <c r="M43" s="31" t="n">
        <f aca="false">IF(L43=0,100,100-100/(1+K43/MAX(L43,0.000001)))</f>
        <v>36.3796577626826</v>
      </c>
      <c r="N43" s="30" t="n">
        <f aca="false">AVERAGE(E24:E43)</f>
        <v>217.6325</v>
      </c>
      <c r="Q43" s="30" t="n">
        <f aca="false">Q42+(2/13)*(E43-Q42)</f>
        <v>214.152912664456</v>
      </c>
      <c r="R43" s="30" t="n">
        <f aca="false">R42+(2/27)*(E43-R42)</f>
        <v>216.359843329298</v>
      </c>
      <c r="S43" s="33" t="n">
        <f aca="false">Q43-R43</f>
        <v>-2.20693066484196</v>
      </c>
      <c r="T43" s="33" t="n">
        <f aca="false">T42+(2/10)*(S43-T42)</f>
        <v>-1.04250623376927</v>
      </c>
      <c r="U43" s="33" t="n">
        <f aca="false">S43-T43</f>
        <v>-1.1644244310727</v>
      </c>
      <c r="V43" s="32" t="str">
        <f aca="false">IF(M43="","",IF(M43&lt;Assumptions!$B$5,"BUY",IF(M43&gt;Assumptions!$B$4,"SELL","HOLD")))</f>
        <v>HOLD</v>
      </c>
      <c r="X43" s="32" t="str">
        <f aca="false">IF(T43="","",IF(S43&gt;T43,"BUY","SELL"))</f>
        <v>SELL</v>
      </c>
    </row>
    <row r="44" customFormat="false" ht="15" hidden="false" customHeight="false" outlineLevel="0" collapsed="false">
      <c r="A44" s="24" t="n">
        <v>45828</v>
      </c>
      <c r="B44" s="25" t="n">
        <v>209.73</v>
      </c>
      <c r="C44" s="25" t="n">
        <v>209.73</v>
      </c>
      <c r="D44" s="25" t="n">
        <v>208.55</v>
      </c>
      <c r="E44" s="25" t="n">
        <v>209.14</v>
      </c>
      <c r="F44" s="26" t="n">
        <v>11014304</v>
      </c>
      <c r="G44" s="27" t="n">
        <f aca="false">E44-E43</f>
        <v>-0.340000000000003</v>
      </c>
      <c r="H44" s="28" t="n">
        <f aca="false">G44/E43</f>
        <v>-0.00162306664120681</v>
      </c>
      <c r="I44" s="29" t="n">
        <f aca="false">MAX(G44,0)</f>
        <v>0</v>
      </c>
      <c r="J44" s="29" t="n">
        <f aca="false">MAX(-G44,0)</f>
        <v>0.340000000000003</v>
      </c>
      <c r="K44" s="29" t="n">
        <f aca="false">(K43*13+I44)/14</f>
        <v>0.662134521956185</v>
      </c>
      <c r="L44" s="29" t="n">
        <f aca="false">(L43*13+J44)/14</f>
        <v>1.18221922671161</v>
      </c>
      <c r="M44" s="31" t="n">
        <f aca="false">IF(L44=0,100,100-100/(1+K44/MAX(L44,0.000001)))</f>
        <v>35.9006249443445</v>
      </c>
      <c r="N44" s="30" t="n">
        <f aca="false">AVERAGE(E25:E44)</f>
        <v>216.875</v>
      </c>
      <c r="Q44" s="30" t="n">
        <f aca="false">Q43+(2/13)*(E44-Q43)</f>
        <v>213.381695331462</v>
      </c>
      <c r="R44" s="30" t="n">
        <f aca="false">R43+(2/27)*(E44-R43)</f>
        <v>215.82504011972</v>
      </c>
      <c r="S44" s="33" t="n">
        <f aca="false">Q44-R44</f>
        <v>-2.44334478825755</v>
      </c>
      <c r="T44" s="33" t="n">
        <f aca="false">T43+(2/10)*(S44-T43)</f>
        <v>-1.32267394466692</v>
      </c>
      <c r="U44" s="33" t="n">
        <f aca="false">S44-T44</f>
        <v>-1.12067084359063</v>
      </c>
      <c r="V44" s="32" t="str">
        <f aca="false">IF(M44="","",IF(M44&lt;Assumptions!$B$5,"BUY",IF(M44&gt;Assumptions!$B$4,"SELL","HOLD")))</f>
        <v>HOLD</v>
      </c>
      <c r="X44" s="32" t="str">
        <f aca="false">IF(T44="","",IF(S44&gt;T44,"BUY","SELL"))</f>
        <v>SELL</v>
      </c>
    </row>
    <row r="45" customFormat="false" ht="15" hidden="false" customHeight="false" outlineLevel="0" collapsed="false">
      <c r="A45" s="24" t="n">
        <v>45831</v>
      </c>
      <c r="B45" s="25" t="n">
        <v>206.42</v>
      </c>
      <c r="C45" s="25" t="n">
        <v>212.03</v>
      </c>
      <c r="D45" s="25" t="n">
        <v>203.67</v>
      </c>
      <c r="E45" s="25" t="n">
        <v>207.85</v>
      </c>
      <c r="F45" s="26" t="n">
        <v>9121418</v>
      </c>
      <c r="G45" s="27" t="n">
        <f aca="false">E45-E44</f>
        <v>-1.28999999999999</v>
      </c>
      <c r="H45" s="28" t="n">
        <f aca="false">G45/E44</f>
        <v>-0.00616811705077935</v>
      </c>
      <c r="I45" s="29" t="n">
        <f aca="false">MAX(G45,0)</f>
        <v>0</v>
      </c>
      <c r="J45" s="29" t="n">
        <f aca="false">MAX(-G45,0)</f>
        <v>1.28999999999999</v>
      </c>
      <c r="K45" s="29" t="n">
        <f aca="false">(K44*13+I45)/14</f>
        <v>0.614839198959314</v>
      </c>
      <c r="L45" s="29" t="n">
        <f aca="false">(L44*13+J45)/14</f>
        <v>1.18991785337507</v>
      </c>
      <c r="M45" s="31" t="n">
        <f aca="false">IF(L45=0,100,100-100/(1+K45/MAX(L45,0.000001)))</f>
        <v>34.0676989273456</v>
      </c>
      <c r="N45" s="30" t="n">
        <f aca="false">AVERAGE(E26:E45)</f>
        <v>216.1895</v>
      </c>
      <c r="Q45" s="30" t="n">
        <f aca="false">Q44+(2/13)*(E45-Q44)</f>
        <v>212.530665280468</v>
      </c>
      <c r="R45" s="30" t="n">
        <f aca="false">R44+(2/27)*(E45-R44)</f>
        <v>215.234296407148</v>
      </c>
      <c r="S45" s="33" t="n">
        <f aca="false">Q45-R45</f>
        <v>-2.70363112667991</v>
      </c>
      <c r="T45" s="33" t="n">
        <f aca="false">T44+(2/10)*(S45-T44)</f>
        <v>-1.59886538106952</v>
      </c>
      <c r="U45" s="33" t="n">
        <f aca="false">S45-T45</f>
        <v>-1.10476574561039</v>
      </c>
      <c r="V45" s="32" t="str">
        <f aca="false">IF(M45="","",IF(M45&lt;Assumptions!$B$5,"BUY",IF(M45&gt;Assumptions!$B$4,"SELL","HOLD")))</f>
        <v>HOLD</v>
      </c>
      <c r="X45" s="32" t="str">
        <f aca="false">IF(T45="","",IF(S45&gt;T45,"BUY","SELL"))</f>
        <v>SELL</v>
      </c>
    </row>
    <row r="46" customFormat="false" ht="15" hidden="false" customHeight="false" outlineLevel="0" collapsed="false">
      <c r="A46" s="24" t="n">
        <v>45832</v>
      </c>
      <c r="B46" s="25" t="n">
        <v>209.26</v>
      </c>
      <c r="C46" s="25" t="n">
        <v>209.26</v>
      </c>
      <c r="D46" s="25" t="n">
        <v>206.94</v>
      </c>
      <c r="E46" s="25" t="n">
        <v>208.1</v>
      </c>
      <c r="F46" s="26" t="n">
        <v>8907372</v>
      </c>
      <c r="G46" s="27" t="n">
        <f aca="false">E46-E45</f>
        <v>0.25</v>
      </c>
      <c r="H46" s="28" t="n">
        <f aca="false">G46/E45</f>
        <v>0.00120279047389945</v>
      </c>
      <c r="I46" s="29" t="n">
        <f aca="false">MAX(G46,0)</f>
        <v>0.25</v>
      </c>
      <c r="J46" s="29" t="n">
        <f aca="false">MAX(-G46,0)</f>
        <v>0</v>
      </c>
      <c r="K46" s="29" t="n">
        <f aca="false">(K45*13+I46)/14</f>
        <v>0.588779256176506</v>
      </c>
      <c r="L46" s="29" t="n">
        <f aca="false">(L45*13+J46)/14</f>
        <v>1.10492372099113</v>
      </c>
      <c r="M46" s="31" t="n">
        <f aca="false">IF(L46=0,100,100-100/(1+K46/MAX(L46,0.000001)))</f>
        <v>34.7628400087668</v>
      </c>
      <c r="N46" s="30" t="n">
        <f aca="false">AVERAGE(E27:E46)</f>
        <v>215.621</v>
      </c>
      <c r="Q46" s="30" t="n">
        <f aca="false">Q45+(2/13)*(E46-Q45)</f>
        <v>211.849024468089</v>
      </c>
      <c r="R46" s="30" t="n">
        <f aca="false">R45+(2/27)*(E46-R45)</f>
        <v>214.705830006619</v>
      </c>
      <c r="S46" s="33" t="n">
        <f aca="false">Q46-R46</f>
        <v>-2.85680553853015</v>
      </c>
      <c r="T46" s="33" t="n">
        <f aca="false">T45+(2/10)*(S46-T45)</f>
        <v>-1.85045341256165</v>
      </c>
      <c r="U46" s="33" t="n">
        <f aca="false">S46-T46</f>
        <v>-1.00635212596851</v>
      </c>
      <c r="V46" s="32" t="str">
        <f aca="false">IF(M46="","",IF(M46&lt;Assumptions!$B$5,"BUY",IF(M46&gt;Assumptions!$B$4,"SELL","HOLD")))</f>
        <v>HOLD</v>
      </c>
      <c r="X46" s="32" t="str">
        <f aca="false">IF(T46="","",IF(S46&gt;T46,"BUY","SELL"))</f>
        <v>SELL</v>
      </c>
    </row>
    <row r="47" customFormat="false" ht="15" hidden="false" customHeight="false" outlineLevel="0" collapsed="false">
      <c r="A47" s="24" t="n">
        <v>45833</v>
      </c>
      <c r="B47" s="25" t="n">
        <v>208.12</v>
      </c>
      <c r="C47" s="25" t="n">
        <v>208.2</v>
      </c>
      <c r="D47" s="25" t="n">
        <v>207.94</v>
      </c>
      <c r="E47" s="25" t="n">
        <v>208.07</v>
      </c>
      <c r="F47" s="26" t="n">
        <v>6936344</v>
      </c>
      <c r="G47" s="27" t="n">
        <f aca="false">E47-E46</f>
        <v>-0.0300000000000011</v>
      </c>
      <c r="H47" s="28" t="n">
        <f aca="false">G47/E46</f>
        <v>-0.000144161460836142</v>
      </c>
      <c r="I47" s="29" t="n">
        <f aca="false">MAX(G47,0)</f>
        <v>0</v>
      </c>
      <c r="J47" s="29" t="n">
        <f aca="false">MAX(-G47,0)</f>
        <v>0.0300000000000011</v>
      </c>
      <c r="K47" s="29" t="n">
        <f aca="false">(K46*13+I47)/14</f>
        <v>0.546723595021042</v>
      </c>
      <c r="L47" s="29" t="n">
        <f aca="false">(L46*13+J47)/14</f>
        <v>1.02814345520605</v>
      </c>
      <c r="M47" s="31" t="n">
        <f aca="false">IF(L47=0,100,100-100/(1+K47/MAX(L47,0.000001)))</f>
        <v>34.7155396350571</v>
      </c>
      <c r="N47" s="30" t="n">
        <f aca="false">AVERAGE(E28:E47)</f>
        <v>214.9375</v>
      </c>
      <c r="Q47" s="30" t="n">
        <f aca="false">Q46+(2/13)*(E47-Q46)</f>
        <v>211.267636088383</v>
      </c>
      <c r="R47" s="30" t="n">
        <f aca="false">R46+(2/27)*(E47-R46)</f>
        <v>214.214287043165</v>
      </c>
      <c r="S47" s="33" t="n">
        <f aca="false">Q47-R47</f>
        <v>-2.94665095478283</v>
      </c>
      <c r="T47" s="33" t="n">
        <f aca="false">T46+(2/10)*(S47-T46)</f>
        <v>-2.06969292100588</v>
      </c>
      <c r="U47" s="33" t="n">
        <f aca="false">S47-T47</f>
        <v>-0.876958033776943</v>
      </c>
      <c r="V47" s="32" t="str">
        <f aca="false">IF(M47="","",IF(M47&lt;Assumptions!$B$5,"BUY",IF(M47&gt;Assumptions!$B$4,"SELL","HOLD")))</f>
        <v>HOLD</v>
      </c>
      <c r="X47" s="32" t="str">
        <f aca="false">IF(T47="","",IF(S47&gt;T47,"BUY","SELL"))</f>
        <v>SELL</v>
      </c>
    </row>
    <row r="48" customFormat="false" ht="15" hidden="false" customHeight="false" outlineLevel="0" collapsed="false">
      <c r="A48" s="24" t="n">
        <v>45834</v>
      </c>
      <c r="B48" s="25" t="n">
        <v>209.27</v>
      </c>
      <c r="C48" s="25" t="n">
        <v>209.98</v>
      </c>
      <c r="D48" s="25" t="n">
        <v>208.36</v>
      </c>
      <c r="E48" s="25" t="n">
        <v>209.17</v>
      </c>
      <c r="F48" s="26" t="n">
        <v>10808177</v>
      </c>
      <c r="G48" s="27" t="n">
        <f aca="false">E48-E47</f>
        <v>1.09999999999999</v>
      </c>
      <c r="H48" s="28" t="n">
        <f aca="false">G48/E47</f>
        <v>0.00528668236651124</v>
      </c>
      <c r="I48" s="29" t="n">
        <f aca="false">MAX(G48,0)</f>
        <v>1.09999999999999</v>
      </c>
      <c r="J48" s="29" t="n">
        <f aca="false">MAX(-G48,0)</f>
        <v>0</v>
      </c>
      <c r="K48" s="29" t="n">
        <f aca="false">(K47*13+I48)/14</f>
        <v>0.586243338233824</v>
      </c>
      <c r="L48" s="29" t="n">
        <f aca="false">(L47*13+J48)/14</f>
        <v>0.954704636977049</v>
      </c>
      <c r="M48" s="31" t="n">
        <f aca="false">IF(L48=0,100,100-100/(1+K48/MAX(L48,0.000001)))</f>
        <v>38.0443303514902</v>
      </c>
      <c r="N48" s="30" t="n">
        <f aca="false">AVERAGE(E29:E48)</f>
        <v>214.3105</v>
      </c>
      <c r="Q48" s="30" t="n">
        <f aca="false">Q47+(2/13)*(E48-Q47)</f>
        <v>210.944922844016</v>
      </c>
      <c r="R48" s="30" t="n">
        <f aca="false">R47+(2/27)*(E48-R47)</f>
        <v>213.840636151079</v>
      </c>
      <c r="S48" s="33" t="n">
        <f aca="false">Q48-R48</f>
        <v>-2.89571330706306</v>
      </c>
      <c r="T48" s="33" t="n">
        <f aca="false">T47+(2/10)*(S48-T47)</f>
        <v>-2.23489699821732</v>
      </c>
      <c r="U48" s="33" t="n">
        <f aca="false">S48-T48</f>
        <v>-0.660816308845744</v>
      </c>
      <c r="V48" s="32" t="str">
        <f aca="false">IF(M48="","",IF(M48&lt;Assumptions!$B$5,"BUY",IF(M48&gt;Assumptions!$B$4,"SELL","HOLD")))</f>
        <v>HOLD</v>
      </c>
      <c r="X48" s="32" t="str">
        <f aca="false">IF(T48="","",IF(S48&gt;T48,"BUY","SELL"))</f>
        <v>SELL</v>
      </c>
    </row>
    <row r="49" customFormat="false" ht="15" hidden="false" customHeight="false" outlineLevel="0" collapsed="false">
      <c r="A49" s="24" t="n">
        <v>45835</v>
      </c>
      <c r="B49" s="25" t="n">
        <v>210.09</v>
      </c>
      <c r="C49" s="25" t="n">
        <v>211.84</v>
      </c>
      <c r="D49" s="25" t="n">
        <v>207.94</v>
      </c>
      <c r="E49" s="25" t="n">
        <v>209.89</v>
      </c>
      <c r="F49" s="26" t="n">
        <v>6741082</v>
      </c>
      <c r="G49" s="27" t="n">
        <f aca="false">E49-E48</f>
        <v>0.719999999999999</v>
      </c>
      <c r="H49" s="28" t="n">
        <f aca="false">G49/E48</f>
        <v>0.00344217622029927</v>
      </c>
      <c r="I49" s="29" t="n">
        <f aca="false">MAX(G49,0)</f>
        <v>0.719999999999999</v>
      </c>
      <c r="J49" s="29" t="n">
        <f aca="false">MAX(-G49,0)</f>
        <v>0</v>
      </c>
      <c r="K49" s="29" t="n">
        <f aca="false">(K48*13+I49)/14</f>
        <v>0.595797385502836</v>
      </c>
      <c r="L49" s="29" t="n">
        <f aca="false">(L48*13+J49)/14</f>
        <v>0.886511448621546</v>
      </c>
      <c r="M49" s="31" t="n">
        <f aca="false">IF(L49=0,100,100-100/(1+K49/MAX(L49,0.000001)))</f>
        <v>40.1938767270979</v>
      </c>
      <c r="N49" s="30" t="n">
        <f aca="false">AVERAGE(E30:E49)</f>
        <v>213.6135</v>
      </c>
      <c r="Q49" s="30" t="n">
        <f aca="false">Q48+(2/13)*(E49-Q48)</f>
        <v>210.78262702186</v>
      </c>
      <c r="R49" s="30" t="n">
        <f aca="false">R48+(2/27)*(E49-R48)</f>
        <v>213.547996436184</v>
      </c>
      <c r="S49" s="33" t="n">
        <f aca="false">Q49-R49</f>
        <v>-2.76536941432462</v>
      </c>
      <c r="T49" s="33" t="n">
        <f aca="false">T48+(2/10)*(S49-T48)</f>
        <v>-2.34099148143878</v>
      </c>
      <c r="U49" s="33" t="n">
        <f aca="false">S49-T49</f>
        <v>-0.424377932885845</v>
      </c>
      <c r="V49" s="32" t="str">
        <f aca="false">IF(M49="","",IF(M49&lt;Assumptions!$B$5,"BUY",IF(M49&gt;Assumptions!$B$4,"SELL","HOLD")))</f>
        <v>HOLD</v>
      </c>
      <c r="X49" s="32" t="str">
        <f aca="false">IF(T49="","",IF(S49&gt;T49,"BUY","SELL"))</f>
        <v>SELL</v>
      </c>
    </row>
    <row r="50" customFormat="false" ht="15" hidden="false" customHeight="false" outlineLevel="0" collapsed="false">
      <c r="A50" s="24" t="n">
        <v>45838</v>
      </c>
      <c r="B50" s="25" t="n">
        <v>212.02</v>
      </c>
      <c r="C50" s="25" t="n">
        <v>212.24</v>
      </c>
      <c r="D50" s="25" t="n">
        <v>212.02</v>
      </c>
      <c r="E50" s="25" t="n">
        <v>212.13</v>
      </c>
      <c r="F50" s="26" t="n">
        <v>8402755</v>
      </c>
      <c r="G50" s="27" t="n">
        <f aca="false">E50-E49</f>
        <v>2.24000000000001</v>
      </c>
      <c r="H50" s="28" t="n">
        <f aca="false">G50/E49</f>
        <v>0.0106722568964696</v>
      </c>
      <c r="I50" s="29" t="n">
        <f aca="false">MAX(G50,0)</f>
        <v>2.24000000000001</v>
      </c>
      <c r="J50" s="29" t="n">
        <f aca="false">MAX(-G50,0)</f>
        <v>0</v>
      </c>
      <c r="K50" s="29" t="n">
        <f aca="false">(K49*13+I50)/14</f>
        <v>0.713240429395491</v>
      </c>
      <c r="L50" s="29" t="n">
        <f aca="false">(L49*13+J50)/14</f>
        <v>0.823189202291435</v>
      </c>
      <c r="M50" s="31" t="n">
        <f aca="false">IF(L50=0,100,100-100/(1+K50/MAX(L50,0.000001)))</f>
        <v>46.4219391949885</v>
      </c>
      <c r="N50" s="30" t="n">
        <f aca="false">AVERAGE(E31:E50)</f>
        <v>213.1345</v>
      </c>
      <c r="Q50" s="30" t="n">
        <f aca="false">Q49+(2/13)*(E50-Q49)</f>
        <v>210.989915172343</v>
      </c>
      <c r="R50" s="30" t="n">
        <f aca="false">R49+(2/27)*(E50-R49)</f>
        <v>213.442959663134</v>
      </c>
      <c r="S50" s="33" t="n">
        <f aca="false">Q50-R50</f>
        <v>-2.4530444907908</v>
      </c>
      <c r="T50" s="33" t="n">
        <f aca="false">T49+(2/10)*(S50-T49)</f>
        <v>-2.36340208330918</v>
      </c>
      <c r="U50" s="33" t="n">
        <f aca="false">S50-T50</f>
        <v>-0.0896424074816182</v>
      </c>
      <c r="V50" s="32" t="str">
        <f aca="false">IF(M50="","",IF(M50&lt;Assumptions!$B$5,"BUY",IF(M50&gt;Assumptions!$B$4,"SELL","HOLD")))</f>
        <v>HOLD</v>
      </c>
      <c r="X50" s="32" t="str">
        <f aca="false">IF(T50="","",IF(S50&gt;T50,"BUY","SELL"))</f>
        <v>SELL</v>
      </c>
    </row>
    <row r="51" customFormat="false" ht="15" hidden="false" customHeight="false" outlineLevel="0" collapsed="false">
      <c r="A51" s="24" t="n">
        <v>45839</v>
      </c>
      <c r="B51" s="25" t="n">
        <v>211.01</v>
      </c>
      <c r="C51" s="25" t="n">
        <v>212.39</v>
      </c>
      <c r="D51" s="25" t="n">
        <v>209.67</v>
      </c>
      <c r="E51" s="25" t="n">
        <v>211.03</v>
      </c>
      <c r="F51" s="26" t="n">
        <v>7271152</v>
      </c>
      <c r="G51" s="27" t="n">
        <f aca="false">E51-E50</f>
        <v>-1.09999999999999</v>
      </c>
      <c r="H51" s="28" t="n">
        <f aca="false">G51/E50</f>
        <v>-0.00518549945787958</v>
      </c>
      <c r="I51" s="29" t="n">
        <f aca="false">MAX(G51,0)</f>
        <v>0</v>
      </c>
      <c r="J51" s="29" t="n">
        <f aca="false">MAX(-G51,0)</f>
        <v>1.09999999999999</v>
      </c>
      <c r="K51" s="29" t="n">
        <f aca="false">(K50*13+I51)/14</f>
        <v>0.662294684438671</v>
      </c>
      <c r="L51" s="29" t="n">
        <f aca="false">(L50*13+J51)/14</f>
        <v>0.842961402127761</v>
      </c>
      <c r="M51" s="31" t="n">
        <f aca="false">IF(L51=0,100,100-100/(1+K51/MAX(L51,0.000001)))</f>
        <v>43.9988046120046</v>
      </c>
      <c r="N51" s="30" t="n">
        <f aca="false">AVERAGE(E32:E51)</f>
        <v>212.44</v>
      </c>
      <c r="Q51" s="30" t="n">
        <f aca="false">Q50+(2/13)*(E51-Q50)</f>
        <v>210.996082068905</v>
      </c>
      <c r="R51" s="30" t="n">
        <f aca="false">R50+(2/27)*(E51-R50)</f>
        <v>213.264221910309</v>
      </c>
      <c r="S51" s="33" t="n">
        <f aca="false">Q51-R51</f>
        <v>-2.26813984140347</v>
      </c>
      <c r="T51" s="33" t="n">
        <f aca="false">T50+(2/10)*(S51-T50)</f>
        <v>-2.34434963492804</v>
      </c>
      <c r="U51" s="33" t="n">
        <f aca="false">S51-T51</f>
        <v>0.0762097935245731</v>
      </c>
      <c r="V51" s="32" t="str">
        <f aca="false">IF(M51="","",IF(M51&lt;Assumptions!$B$5,"BUY",IF(M51&gt;Assumptions!$B$4,"SELL","HOLD")))</f>
        <v>HOLD</v>
      </c>
      <c r="X51" s="32" t="str">
        <f aca="false">IF(T51="","",IF(S51&gt;T51,"BUY","SELL"))</f>
        <v>BUY</v>
      </c>
    </row>
    <row r="52" customFormat="false" ht="15" hidden="false" customHeight="false" outlineLevel="0" collapsed="false">
      <c r="A52" s="24" t="n">
        <v>45840</v>
      </c>
      <c r="B52" s="25" t="n">
        <v>212.93</v>
      </c>
      <c r="C52" s="25" t="n">
        <v>214.69</v>
      </c>
      <c r="D52" s="25" t="n">
        <v>210.45</v>
      </c>
      <c r="E52" s="25" t="n">
        <v>212.57</v>
      </c>
      <c r="F52" s="26" t="n">
        <v>126799</v>
      </c>
      <c r="G52" s="27" t="n">
        <f aca="false">E52-E51</f>
        <v>1.53999999999999</v>
      </c>
      <c r="H52" s="28" t="n">
        <f aca="false">G52/E51</f>
        <v>0.00729754063403304</v>
      </c>
      <c r="I52" s="29" t="n">
        <f aca="false">MAX(G52,0)</f>
        <v>1.53999999999999</v>
      </c>
      <c r="J52" s="29" t="n">
        <f aca="false">MAX(-G52,0)</f>
        <v>0</v>
      </c>
      <c r="K52" s="29" t="n">
        <f aca="false">(K51*13+I52)/14</f>
        <v>0.724987921264479</v>
      </c>
      <c r="L52" s="29" t="n">
        <f aca="false">(L51*13+J52)/14</f>
        <v>0.782749873404349</v>
      </c>
      <c r="M52" s="31" t="n">
        <f aca="false">IF(L52=0,100,100-100/(1+K52/MAX(L52,0.000001)))</f>
        <v>48.0844828476109</v>
      </c>
      <c r="N52" s="30" t="n">
        <f aca="false">AVERAGE(E33:E52)</f>
        <v>211.843</v>
      </c>
      <c r="O52" s="30" t="n">
        <f aca="false">AVERAGE(E3:E52)</f>
        <v>216.8812</v>
      </c>
      <c r="Q52" s="30" t="n">
        <f aca="false">Q51+(2/13)*(E52-Q51)</f>
        <v>211.238223289074</v>
      </c>
      <c r="R52" s="30" t="n">
        <f aca="false">R51+(2/27)*(E52-R51)</f>
        <v>213.212798065101</v>
      </c>
      <c r="S52" s="33" t="n">
        <f aca="false">Q52-R52</f>
        <v>-1.97457477602703</v>
      </c>
      <c r="T52" s="33" t="n">
        <f aca="false">T51+(2/10)*(S52-T51)</f>
        <v>-2.27039466314784</v>
      </c>
      <c r="U52" s="33" t="n">
        <f aca="false">S52-T52</f>
        <v>0.295819887120811</v>
      </c>
      <c r="V52" s="32" t="str">
        <f aca="false">IF(M52="","",IF(M52&lt;Assumptions!$B$5,"BUY",IF(M52&gt;Assumptions!$B$4,"SELL","HOLD")))</f>
        <v>HOLD</v>
      </c>
      <c r="W52" s="32" t="str">
        <f aca="false">IF(O52="","",IF(E52&gt;O52,"BUY","SELL"))</f>
        <v>SELL</v>
      </c>
      <c r="X52" s="32" t="str">
        <f aca="false">IF(T52="","",IF(S52&gt;T52,"BUY","SELL"))</f>
        <v>BUY</v>
      </c>
      <c r="Y52" s="34" t="n">
        <f aca="false">IF(OR(V52="",W52="",X52=""),"",IFERROR(IF(V52="BUY",1,IF(V52="SELL",-1,0))+IF(W52="BUY",1,IF(W52="SELL",-1,0))+IF(X52="BUY",1,IF(X52="SELL",-1,0)),0))</f>
        <v>0</v>
      </c>
      <c r="Z52" s="32" t="str">
        <f aca="false">IF(Y52="","",IF(Y52&gt;=2,"STRONG BUY",IF(Y52=1,"BUY",IF(Y52=0,"HOLD",IF(Y52=-1,"SELL","STRONG SELL")))))</f>
        <v>HOLD</v>
      </c>
    </row>
    <row r="53" customFormat="false" ht="15" hidden="false" customHeight="false" outlineLevel="0" collapsed="false">
      <c r="A53" s="24" t="n">
        <v>45841</v>
      </c>
      <c r="B53" s="25" t="n">
        <v>212.76</v>
      </c>
      <c r="C53" s="25" t="n">
        <v>213.72</v>
      </c>
      <c r="D53" s="25" t="n">
        <v>212.76</v>
      </c>
      <c r="E53" s="25" t="n">
        <v>213.24</v>
      </c>
      <c r="F53" s="26" t="n">
        <v>8719623</v>
      </c>
      <c r="G53" s="27" t="n">
        <f aca="false">E53-E52</f>
        <v>0.670000000000016</v>
      </c>
      <c r="H53" s="28" t="n">
        <f aca="false">G53/E52</f>
        <v>0.00315190290257335</v>
      </c>
      <c r="I53" s="29" t="n">
        <f aca="false">MAX(G53,0)</f>
        <v>0.670000000000016</v>
      </c>
      <c r="J53" s="29" t="n">
        <f aca="false">MAX(-G53,0)</f>
        <v>0</v>
      </c>
      <c r="K53" s="29" t="n">
        <f aca="false">(K52*13+I53)/14</f>
        <v>0.721060212602732</v>
      </c>
      <c r="L53" s="29" t="n">
        <f aca="false">(L52*13+J53)/14</f>
        <v>0.726839168161182</v>
      </c>
      <c r="M53" s="31" t="n">
        <f aca="false">IF(L53=0,100,100-100/(1+K53/MAX(L53,0.000001)))</f>
        <v>49.800436562263</v>
      </c>
      <c r="N53" s="30" t="n">
        <f aca="false">AVERAGE(E34:E53)</f>
        <v>211.5175</v>
      </c>
      <c r="O53" s="30" t="n">
        <f aca="false">AVERAGE(E4:E53)</f>
        <v>216.846</v>
      </c>
      <c r="Q53" s="30" t="n">
        <f aca="false">Q52+(2/13)*(E53-Q52)</f>
        <v>211.546188936909</v>
      </c>
      <c r="R53" s="30" t="n">
        <f aca="false">R52+(2/27)*(E53-R52)</f>
        <v>213.214813023242</v>
      </c>
      <c r="S53" s="33" t="n">
        <f aca="false">Q53-R53</f>
        <v>-1.6686240863329</v>
      </c>
      <c r="T53" s="33" t="n">
        <f aca="false">T52+(2/10)*(S53-T52)</f>
        <v>-2.15004054778485</v>
      </c>
      <c r="U53" s="33" t="n">
        <f aca="false">S53-T53</f>
        <v>0.481416461451952</v>
      </c>
      <c r="V53" s="32" t="str">
        <f aca="false">IF(M53="","",IF(M53&lt;Assumptions!$B$5,"BUY",IF(M53&gt;Assumptions!$B$4,"SELL","HOLD")))</f>
        <v>HOLD</v>
      </c>
      <c r="W53" s="32" t="str">
        <f aca="false">IF(O53="","",IF(E53&gt;O53,"BUY","SELL"))</f>
        <v>SELL</v>
      </c>
      <c r="X53" s="32" t="str">
        <f aca="false">IF(T53="","",IF(S53&gt;T53,"BUY","SELL"))</f>
        <v>BUY</v>
      </c>
      <c r="Y53" s="34" t="n">
        <f aca="false">IF(OR(V53="",W53="",X53=""),"",IFERROR(IF(V53="BUY",1,IF(V53="SELL",-1,0))+IF(W53="BUY",1,IF(W53="SELL",-1,0))+IF(X53="BUY",1,IF(X53="SELL",-1,0)),0))</f>
        <v>0</v>
      </c>
      <c r="Z53" s="32" t="str">
        <f aca="false">IF(Y53="","",IF(Y53&gt;=2,"STRONG BUY",IF(Y53=1,"BUY",IF(Y53=0,"HOLD",IF(Y53=-1,"SELL","STRONG SELL")))))</f>
        <v>HOLD</v>
      </c>
    </row>
    <row r="54" customFormat="false" ht="15" hidden="false" customHeight="false" outlineLevel="0" collapsed="false">
      <c r="A54" s="24" t="n">
        <v>45842</v>
      </c>
      <c r="B54" s="25" t="n">
        <v>214.26</v>
      </c>
      <c r="C54" s="25" t="n">
        <v>214.26</v>
      </c>
      <c r="D54" s="25" t="n">
        <v>213.4</v>
      </c>
      <c r="E54" s="25" t="n">
        <v>213.83</v>
      </c>
      <c r="F54" s="26" t="n">
        <v>7434101</v>
      </c>
      <c r="G54" s="27" t="n">
        <f aca="false">E54-E53</f>
        <v>0.590000000000003</v>
      </c>
      <c r="H54" s="28" t="n">
        <f aca="false">G54/E53</f>
        <v>0.00276683549052712</v>
      </c>
      <c r="I54" s="29" t="n">
        <f aca="false">MAX(G54,0)</f>
        <v>0.590000000000003</v>
      </c>
      <c r="J54" s="29" t="n">
        <f aca="false">MAX(-G54,0)</f>
        <v>0</v>
      </c>
      <c r="K54" s="29" t="n">
        <f aca="false">(K53*13+I54)/14</f>
        <v>0.711698768845394</v>
      </c>
      <c r="L54" s="29" t="n">
        <f aca="false">(L53*13+J54)/14</f>
        <v>0.674922084721097</v>
      </c>
      <c r="M54" s="31" t="n">
        <f aca="false">IF(L54=0,100,100-100/(1+K54/MAX(L54,0.000001)))</f>
        <v>51.3261261731967</v>
      </c>
      <c r="N54" s="30" t="n">
        <f aca="false">AVERAGE(E35:E54)</f>
        <v>211.328</v>
      </c>
      <c r="O54" s="30" t="n">
        <f aca="false">AVERAGE(E5:E54)</f>
        <v>216.7942</v>
      </c>
      <c r="Q54" s="30" t="n">
        <f aca="false">Q53+(2/13)*(E54-Q53)</f>
        <v>211.897544485077</v>
      </c>
      <c r="R54" s="30" t="n">
        <f aca="false">R53+(2/27)*(E54-R53)</f>
        <v>213.260382428927</v>
      </c>
      <c r="S54" s="33" t="n">
        <f aca="false">Q54-R54</f>
        <v>-1.36283794385082</v>
      </c>
      <c r="T54" s="33" t="n">
        <f aca="false">T53+(2/10)*(S54-T53)</f>
        <v>-1.99260002699804</v>
      </c>
      <c r="U54" s="33" t="n">
        <f aca="false">S54-T54</f>
        <v>0.629762083147223</v>
      </c>
      <c r="V54" s="32" t="str">
        <f aca="false">IF(M54="","",IF(M54&lt;Assumptions!$B$5,"BUY",IF(M54&gt;Assumptions!$B$4,"SELL","HOLD")))</f>
        <v>HOLD</v>
      </c>
      <c r="W54" s="32" t="str">
        <f aca="false">IF(O54="","",IF(E54&gt;O54,"BUY","SELL"))</f>
        <v>SELL</v>
      </c>
      <c r="X54" s="32" t="str">
        <f aca="false">IF(T54="","",IF(S54&gt;T54,"BUY","SELL"))</f>
        <v>BUY</v>
      </c>
      <c r="Y54" s="34" t="n">
        <f aca="false">IF(OR(V54="",W54="",X54=""),"",IFERROR(IF(V54="BUY",1,IF(V54="SELL",-1,0))+IF(W54="BUY",1,IF(W54="SELL",-1,0))+IF(X54="BUY",1,IF(X54="SELL",-1,0)),0))</f>
        <v>0</v>
      </c>
      <c r="Z54" s="32" t="str">
        <f aca="false">IF(Y54="","",IF(Y54&gt;=2,"STRONG BUY",IF(Y54=1,"BUY",IF(Y54=0,"HOLD",IF(Y54=-1,"SELL","STRONG SELL")))))</f>
        <v>HOLD</v>
      </c>
    </row>
    <row r="55" customFormat="false" ht="15" hidden="false" customHeight="false" outlineLevel="0" collapsed="false">
      <c r="A55" s="24" t="n">
        <v>45845</v>
      </c>
      <c r="B55" s="25" t="n">
        <v>214.44</v>
      </c>
      <c r="C55" s="25" t="n">
        <v>214.44</v>
      </c>
      <c r="D55" s="25" t="n">
        <v>213.9</v>
      </c>
      <c r="E55" s="25" t="n">
        <v>214.17</v>
      </c>
      <c r="F55" s="26" t="n">
        <v>6698503</v>
      </c>
      <c r="G55" s="27" t="n">
        <f aca="false">E55-E54</f>
        <v>0.339999999999975</v>
      </c>
      <c r="H55" s="28" t="n">
        <f aca="false">G55/E54</f>
        <v>0.00159004816910618</v>
      </c>
      <c r="I55" s="29" t="n">
        <f aca="false">MAX(G55,0)</f>
        <v>0.339999999999975</v>
      </c>
      <c r="J55" s="29" t="n">
        <f aca="false">MAX(-G55,0)</f>
        <v>0</v>
      </c>
      <c r="K55" s="29" t="n">
        <f aca="false">(K54*13+I55)/14</f>
        <v>0.685148856785007</v>
      </c>
      <c r="L55" s="29" t="n">
        <f aca="false">(L54*13+J55)/14</f>
        <v>0.626713364383876</v>
      </c>
      <c r="M55" s="31" t="n">
        <f aca="false">IF(L55=0,100,100-100/(1+K55/MAX(L55,0.000001)))</f>
        <v>52.2271962504212</v>
      </c>
      <c r="N55" s="30" t="n">
        <f aca="false">AVERAGE(E36:E55)</f>
        <v>211.3205</v>
      </c>
      <c r="O55" s="30" t="n">
        <f aca="false">AVERAGE(E6:E55)</f>
        <v>216.6788</v>
      </c>
      <c r="Q55" s="30" t="n">
        <f aca="false">Q54+(2/13)*(E55-Q54)</f>
        <v>212.247153025834</v>
      </c>
      <c r="R55" s="30" t="n">
        <f aca="false">R54+(2/27)*(E55-R54)</f>
        <v>213.327761508266</v>
      </c>
      <c r="S55" s="33" t="n">
        <f aca="false">Q55-R55</f>
        <v>-1.08060848243207</v>
      </c>
      <c r="T55" s="33" t="n">
        <f aca="false">T54+(2/10)*(S55-T54)</f>
        <v>-1.81020171808485</v>
      </c>
      <c r="U55" s="33" t="n">
        <f aca="false">S55-T55</f>
        <v>0.72959323565278</v>
      </c>
      <c r="V55" s="32" t="str">
        <f aca="false">IF(M55="","",IF(M55&lt;Assumptions!$B$5,"BUY",IF(M55&gt;Assumptions!$B$4,"SELL","HOLD")))</f>
        <v>HOLD</v>
      </c>
      <c r="W55" s="32" t="str">
        <f aca="false">IF(O55="","",IF(E55&gt;O55,"BUY","SELL"))</f>
        <v>SELL</v>
      </c>
      <c r="X55" s="32" t="str">
        <f aca="false">IF(T55="","",IF(S55&gt;T55,"BUY","SELL"))</f>
        <v>BUY</v>
      </c>
      <c r="Y55" s="34" t="n">
        <f aca="false">IF(OR(V55="",W55="",X55=""),"",IFERROR(IF(V55="BUY",1,IF(V55="SELL",-1,0))+IF(W55="BUY",1,IF(W55="SELL",-1,0))+IF(X55="BUY",1,IF(X55="SELL",-1,0)),0))</f>
        <v>0</v>
      </c>
      <c r="Z55" s="32" t="str">
        <f aca="false">IF(Y55="","",IF(Y55&gt;=2,"STRONG BUY",IF(Y55=1,"BUY",IF(Y55=0,"HOLD",IF(Y55=-1,"SELL","STRONG SELL")))))</f>
        <v>HOLD</v>
      </c>
    </row>
    <row r="56" customFormat="false" ht="15" hidden="false" customHeight="false" outlineLevel="0" collapsed="false">
      <c r="A56" s="24" t="n">
        <v>45846</v>
      </c>
      <c r="B56" s="25" t="n">
        <v>209.21</v>
      </c>
      <c r="C56" s="25" t="n">
        <v>209.21</v>
      </c>
      <c r="D56" s="25" t="n">
        <v>209.13</v>
      </c>
      <c r="E56" s="25" t="n">
        <v>209.17</v>
      </c>
      <c r="F56" s="26" t="n">
        <v>9853335</v>
      </c>
      <c r="G56" s="27" t="n">
        <f aca="false">E56-E55</f>
        <v>-5</v>
      </c>
      <c r="H56" s="28" t="n">
        <f aca="false">G56/E55</f>
        <v>-0.0233459401410095</v>
      </c>
      <c r="I56" s="29" t="n">
        <f aca="false">MAX(G56,0)</f>
        <v>0</v>
      </c>
      <c r="J56" s="29" t="n">
        <f aca="false">MAX(-G56,0)</f>
        <v>5</v>
      </c>
      <c r="K56" s="29" t="n">
        <f aca="false">(K55*13+I56)/14</f>
        <v>0.636209652728935</v>
      </c>
      <c r="L56" s="29" t="n">
        <f aca="false">(L55*13+J56)/14</f>
        <v>0.939090981213599</v>
      </c>
      <c r="M56" s="31" t="n">
        <f aca="false">IF(L56=0,100,100-100/(1+K56/MAX(L56,0.000001)))</f>
        <v>40.3865547325199</v>
      </c>
      <c r="N56" s="30" t="n">
        <f aca="false">AVERAGE(E37:E56)</f>
        <v>211.233</v>
      </c>
      <c r="O56" s="30" t="n">
        <f aca="false">AVERAGE(E7:E56)</f>
        <v>216.4474</v>
      </c>
      <c r="Q56" s="30" t="n">
        <f aca="false">Q55+(2/13)*(E56-Q55)</f>
        <v>211.773744868013</v>
      </c>
      <c r="R56" s="30" t="n">
        <f aca="false">R55+(2/27)*(E56-R55)</f>
        <v>213.01977917432</v>
      </c>
      <c r="S56" s="33" t="n">
        <f aca="false">Q56-R56</f>
        <v>-1.24603430630705</v>
      </c>
      <c r="T56" s="33" t="n">
        <f aca="false">T55+(2/10)*(S56-T55)</f>
        <v>-1.69736823572929</v>
      </c>
      <c r="U56" s="33" t="n">
        <f aca="false">S56-T56</f>
        <v>0.451333929422237</v>
      </c>
      <c r="V56" s="32" t="str">
        <f aca="false">IF(M56="","",IF(M56&lt;Assumptions!$B$5,"BUY",IF(M56&gt;Assumptions!$B$4,"SELL","HOLD")))</f>
        <v>HOLD</v>
      </c>
      <c r="W56" s="32" t="str">
        <f aca="false">IF(O56="","",IF(E56&gt;O56,"BUY","SELL"))</f>
        <v>SELL</v>
      </c>
      <c r="X56" s="32" t="str">
        <f aca="false">IF(T56="","",IF(S56&gt;T56,"BUY","SELL"))</f>
        <v>BUY</v>
      </c>
      <c r="Y56" s="34" t="n">
        <f aca="false">IF(OR(V56="",W56="",X56=""),"",IFERROR(IF(V56="BUY",1,IF(V56="SELL",-1,0))+IF(W56="BUY",1,IF(W56="SELL",-1,0))+IF(X56="BUY",1,IF(X56="SELL",-1,0)),0))</f>
        <v>0</v>
      </c>
      <c r="Z56" s="32" t="str">
        <f aca="false">IF(Y56="","",IF(Y56&gt;=2,"STRONG BUY",IF(Y56=1,"BUY",IF(Y56=0,"HOLD",IF(Y56=-1,"SELL","STRONG SELL")))))</f>
        <v>HOLD</v>
      </c>
    </row>
    <row r="57" customFormat="false" ht="15" hidden="false" customHeight="false" outlineLevel="0" collapsed="false">
      <c r="A57" s="24" t="n">
        <v>45847</v>
      </c>
      <c r="B57" s="25" t="n">
        <v>214.04</v>
      </c>
      <c r="C57" s="25" t="n">
        <v>216.19</v>
      </c>
      <c r="D57" s="25" t="n">
        <v>211.11</v>
      </c>
      <c r="E57" s="25" t="n">
        <v>213.65</v>
      </c>
      <c r="F57" s="26" t="n">
        <v>6517000</v>
      </c>
      <c r="G57" s="27" t="n">
        <f aca="false">E57-E56</f>
        <v>4.48000000000002</v>
      </c>
      <c r="H57" s="28" t="n">
        <f aca="false">G57/E56</f>
        <v>0.0214179853707512</v>
      </c>
      <c r="I57" s="29" t="n">
        <f aca="false">MAX(G57,0)</f>
        <v>4.48000000000002</v>
      </c>
      <c r="J57" s="29" t="n">
        <f aca="false">MAX(-G57,0)</f>
        <v>0</v>
      </c>
      <c r="K57" s="29" t="n">
        <f aca="false">(K56*13+I57)/14</f>
        <v>0.910766106105441</v>
      </c>
      <c r="L57" s="29" t="n">
        <f aca="false">(L56*13+J57)/14</f>
        <v>0.872013053984056</v>
      </c>
      <c r="M57" s="31" t="n">
        <f aca="false">IF(L57=0,100,100-100/(1+K57/MAX(L57,0.000001)))</f>
        <v>51.0868719185454</v>
      </c>
      <c r="N57" s="30" t="n">
        <f aca="false">AVERAGE(E38:E57)</f>
        <v>211.309</v>
      </c>
      <c r="O57" s="30" t="n">
        <f aca="false">AVERAGE(E8:E57)</f>
        <v>216.3666</v>
      </c>
      <c r="Q57" s="30" t="n">
        <f aca="false">Q56+(2/13)*(E57-Q56)</f>
        <v>212.062399503704</v>
      </c>
      <c r="R57" s="30" t="n">
        <f aca="false">R56+(2/27)*(E57-R56)</f>
        <v>213.066462198445</v>
      </c>
      <c r="S57" s="33" t="n">
        <f aca="false">Q57-R57</f>
        <v>-1.00406269474121</v>
      </c>
      <c r="T57" s="33" t="n">
        <f aca="false">T56+(2/10)*(S57-T56)</f>
        <v>-1.55870712753167</v>
      </c>
      <c r="U57" s="33" t="n">
        <f aca="false">S57-T57</f>
        <v>0.554644432790465</v>
      </c>
      <c r="V57" s="32" t="str">
        <f aca="false">IF(M57="","",IF(M57&lt;Assumptions!$B$5,"BUY",IF(M57&gt;Assumptions!$B$4,"SELL","HOLD")))</f>
        <v>HOLD</v>
      </c>
      <c r="W57" s="32" t="str">
        <f aca="false">IF(O57="","",IF(E57&gt;O57,"BUY","SELL"))</f>
        <v>SELL</v>
      </c>
      <c r="X57" s="32" t="str">
        <f aca="false">IF(T57="","",IF(S57&gt;T57,"BUY","SELL"))</f>
        <v>BUY</v>
      </c>
      <c r="Y57" s="34" t="n">
        <f aca="false">IF(OR(V57="",W57="",X57=""),"",IFERROR(IF(V57="BUY",1,IF(V57="SELL",-1,0))+IF(W57="BUY",1,IF(W57="SELL",-1,0))+IF(X57="BUY",1,IF(X57="SELL",-1,0)),0))</f>
        <v>0</v>
      </c>
      <c r="Z57" s="32" t="str">
        <f aca="false">IF(Y57="","",IF(Y57&gt;=2,"STRONG BUY",IF(Y57=1,"BUY",IF(Y57=0,"HOLD",IF(Y57=-1,"SELL","STRONG SELL")))))</f>
        <v>HOLD</v>
      </c>
    </row>
    <row r="58" customFormat="false" ht="15" hidden="false" customHeight="false" outlineLevel="0" collapsed="false">
      <c r="A58" s="24" t="n">
        <v>45848</v>
      </c>
      <c r="B58" s="25" t="n">
        <v>212.31</v>
      </c>
      <c r="C58" s="25" t="n">
        <v>212.89</v>
      </c>
      <c r="D58" s="25" t="n">
        <v>210.17</v>
      </c>
      <c r="E58" s="25" t="n">
        <v>211.53</v>
      </c>
      <c r="F58" s="26" t="n">
        <v>7235261</v>
      </c>
      <c r="G58" s="27" t="n">
        <f aca="false">E58-E57</f>
        <v>-2.12</v>
      </c>
      <c r="H58" s="28" t="n">
        <f aca="false">G58/E57</f>
        <v>-0.00992277088696468</v>
      </c>
      <c r="I58" s="29" t="n">
        <f aca="false">MAX(G58,0)</f>
        <v>0</v>
      </c>
      <c r="J58" s="29" t="n">
        <f aca="false">MAX(-G58,0)</f>
        <v>2.12</v>
      </c>
      <c r="K58" s="29" t="n">
        <f aca="false">(K57*13+I58)/14</f>
        <v>0.845711384240767</v>
      </c>
      <c r="L58" s="29" t="n">
        <f aca="false">(L57*13+J58)/14</f>
        <v>0.961154978699481</v>
      </c>
      <c r="M58" s="31" t="n">
        <f aca="false">IF(L58=0,100,100-100/(1+K58/MAX(L58,0.000001)))</f>
        <v>46.8054196805441</v>
      </c>
      <c r="N58" s="30" t="n">
        <f aca="false">AVERAGE(E39:E58)</f>
        <v>211.235</v>
      </c>
      <c r="O58" s="30" t="n">
        <f aca="false">AVERAGE(E9:E58)</f>
        <v>216.2388</v>
      </c>
      <c r="Q58" s="30" t="n">
        <f aca="false">Q57+(2/13)*(E58-Q57)</f>
        <v>211.980491887749</v>
      </c>
      <c r="R58" s="30" t="n">
        <f aca="false">R57+(2/27)*(E58-R57)</f>
        <v>212.952650183745</v>
      </c>
      <c r="S58" s="33" t="n">
        <f aca="false">Q58-R58</f>
        <v>-0.972158295995996</v>
      </c>
      <c r="T58" s="33" t="n">
        <f aca="false">T57+(2/10)*(S58-T57)</f>
        <v>-1.44139736122454</v>
      </c>
      <c r="U58" s="33" t="n">
        <f aca="false">S58-T58</f>
        <v>0.469239065228542</v>
      </c>
      <c r="V58" s="32" t="str">
        <f aca="false">IF(M58="","",IF(M58&lt;Assumptions!$B$5,"BUY",IF(M58&gt;Assumptions!$B$4,"SELL","HOLD")))</f>
        <v>HOLD</v>
      </c>
      <c r="W58" s="32" t="str">
        <f aca="false">IF(O58="","",IF(E58&gt;O58,"BUY","SELL"))</f>
        <v>SELL</v>
      </c>
      <c r="X58" s="32" t="str">
        <f aca="false">IF(T58="","",IF(S58&gt;T58,"BUY","SELL"))</f>
        <v>BUY</v>
      </c>
      <c r="Y58" s="34" t="n">
        <f aca="false">IF(OR(V58="",W58="",X58=""),"",IFERROR(IF(V58="BUY",1,IF(V58="SELL",-1,0))+IF(W58="BUY",1,IF(W58="SELL",-1,0))+IF(X58="BUY",1,IF(X58="SELL",-1,0)),0))</f>
        <v>0</v>
      </c>
      <c r="Z58" s="32" t="str">
        <f aca="false">IF(Y58="","",IF(Y58&gt;=2,"STRONG BUY",IF(Y58=1,"BUY",IF(Y58=0,"HOLD",IF(Y58=-1,"SELL","STRONG SELL")))))</f>
        <v>HOLD</v>
      </c>
    </row>
    <row r="59" customFormat="false" ht="15" hidden="false" customHeight="false" outlineLevel="0" collapsed="false">
      <c r="A59" s="24" t="n">
        <v>45849</v>
      </c>
      <c r="B59" s="25" t="n">
        <v>209.64</v>
      </c>
      <c r="C59" s="25" t="n">
        <v>210.39</v>
      </c>
      <c r="D59" s="25" t="n">
        <v>209.03</v>
      </c>
      <c r="E59" s="25" t="n">
        <v>209.71</v>
      </c>
      <c r="F59" s="26" t="n">
        <v>9394606</v>
      </c>
      <c r="G59" s="27" t="n">
        <f aca="false">E59-E58</f>
        <v>-1.81999999999999</v>
      </c>
      <c r="H59" s="28" t="n">
        <f aca="false">G59/E58</f>
        <v>-0.00860398052285725</v>
      </c>
      <c r="I59" s="29" t="n">
        <f aca="false">MAX(G59,0)</f>
        <v>0</v>
      </c>
      <c r="J59" s="29" t="n">
        <f aca="false">MAX(-G59,0)</f>
        <v>1.81999999999999</v>
      </c>
      <c r="K59" s="29" t="n">
        <f aca="false">(K58*13+I59)/14</f>
        <v>0.785303428223569</v>
      </c>
      <c r="L59" s="29" t="n">
        <f aca="false">(L58*13+J59)/14</f>
        <v>1.02250105164952</v>
      </c>
      <c r="M59" s="31" t="n">
        <f aca="false">IF(L59=0,100,100-100/(1+K59/MAX(L59,0.000001)))</f>
        <v>43.4396217603521</v>
      </c>
      <c r="N59" s="30" t="n">
        <f aca="false">AVERAGE(E40:E59)</f>
        <v>210.9995</v>
      </c>
      <c r="O59" s="30" t="n">
        <f aca="false">AVERAGE(E10:E59)</f>
        <v>216.0702</v>
      </c>
      <c r="Q59" s="30" t="n">
        <f aca="false">Q58+(2/13)*(E59-Q58)</f>
        <v>211.63118544348</v>
      </c>
      <c r="R59" s="30" t="n">
        <f aca="false">R58+(2/27)*(E59-R58)</f>
        <v>212.712453873838</v>
      </c>
      <c r="S59" s="33" t="n">
        <f aca="false">Q59-R59</f>
        <v>-1.08126843035805</v>
      </c>
      <c r="T59" s="33" t="n">
        <f aca="false">T58+(2/10)*(S59-T58)</f>
        <v>-1.36937157505124</v>
      </c>
      <c r="U59" s="33" t="n">
        <f aca="false">S59-T59</f>
        <v>0.288103144693189</v>
      </c>
      <c r="V59" s="32" t="str">
        <f aca="false">IF(M59="","",IF(M59&lt;Assumptions!$B$5,"BUY",IF(M59&gt;Assumptions!$B$4,"SELL","HOLD")))</f>
        <v>HOLD</v>
      </c>
      <c r="W59" s="32" t="str">
        <f aca="false">IF(O59="","",IF(E59&gt;O59,"BUY","SELL"))</f>
        <v>SELL</v>
      </c>
      <c r="X59" s="32" t="str">
        <f aca="false">IF(T59="","",IF(S59&gt;T59,"BUY","SELL"))</f>
        <v>BUY</v>
      </c>
      <c r="Y59" s="34" t="n">
        <f aca="false">IF(OR(V59="",W59="",X59=""),"",IFERROR(IF(V59="BUY",1,IF(V59="SELL",-1,0))+IF(W59="BUY",1,IF(W59="SELL",-1,0))+IF(X59="BUY",1,IF(X59="SELL",-1,0)),0))</f>
        <v>0</v>
      </c>
      <c r="Z59" s="32" t="str">
        <f aca="false">IF(Y59="","",IF(Y59&gt;=2,"STRONG BUY",IF(Y59=1,"BUY",IF(Y59=0,"HOLD",IF(Y59=-1,"SELL","STRONG SELL")))))</f>
        <v>HOLD</v>
      </c>
    </row>
    <row r="60" customFormat="false" ht="15" hidden="false" customHeight="false" outlineLevel="0" collapsed="false">
      <c r="A60" s="24" t="n">
        <v>45852</v>
      </c>
      <c r="B60" s="25" t="n">
        <v>208.95</v>
      </c>
      <c r="C60" s="25" t="n">
        <v>209.03</v>
      </c>
      <c r="D60" s="25" t="n">
        <v>208.95</v>
      </c>
      <c r="E60" s="25" t="n">
        <v>208.99</v>
      </c>
      <c r="F60" s="26" t="n">
        <v>12728569</v>
      </c>
      <c r="G60" s="27" t="n">
        <f aca="false">E60-E59</f>
        <v>-0.719999999999999</v>
      </c>
      <c r="H60" s="28" t="n">
        <f aca="false">G60/E59</f>
        <v>-0.00343331266987744</v>
      </c>
      <c r="I60" s="29" t="n">
        <f aca="false">MAX(G60,0)</f>
        <v>0</v>
      </c>
      <c r="J60" s="29" t="n">
        <f aca="false">MAX(-G60,0)</f>
        <v>0.719999999999999</v>
      </c>
      <c r="K60" s="29" t="n">
        <f aca="false">(K59*13+I60)/14</f>
        <v>0.7292103262076</v>
      </c>
      <c r="L60" s="29" t="n">
        <f aca="false">(L59*13+J60)/14</f>
        <v>1.00089383367455</v>
      </c>
      <c r="M60" s="31" t="n">
        <f aca="false">IF(L60=0,100,100-100/(1+K60/MAX(L60,0.000001)))</f>
        <v>42.148348239176</v>
      </c>
      <c r="N60" s="30" t="n">
        <f aca="false">AVERAGE(E41:E60)</f>
        <v>210.8135</v>
      </c>
      <c r="O60" s="30" t="n">
        <f aca="false">AVERAGE(E11:E60)</f>
        <v>215.928</v>
      </c>
      <c r="Q60" s="30" t="n">
        <f aca="false">Q59+(2/13)*(E60-Q59)</f>
        <v>211.224849221406</v>
      </c>
      <c r="R60" s="30" t="n">
        <f aca="false">R59+(2/27)*(E60-R59)</f>
        <v>212.43671654985</v>
      </c>
      <c r="S60" s="33" t="n">
        <f aca="false">Q60-R60</f>
        <v>-1.2118673284439</v>
      </c>
      <c r="T60" s="33" t="n">
        <f aca="false">T59+(2/10)*(S60-T59)</f>
        <v>-1.33787072572977</v>
      </c>
      <c r="U60" s="33" t="n">
        <f aca="false">S60-T60</f>
        <v>0.126003397285871</v>
      </c>
      <c r="V60" s="32" t="str">
        <f aca="false">IF(M60="","",IF(M60&lt;Assumptions!$B$5,"BUY",IF(M60&gt;Assumptions!$B$4,"SELL","HOLD")))</f>
        <v>HOLD</v>
      </c>
      <c r="W60" s="32" t="str">
        <f aca="false">IF(O60="","",IF(E60&gt;O60,"BUY","SELL"))</f>
        <v>SELL</v>
      </c>
      <c r="X60" s="32" t="str">
        <f aca="false">IF(T60="","",IF(S60&gt;T60,"BUY","SELL"))</f>
        <v>BUY</v>
      </c>
      <c r="Y60" s="34" t="n">
        <f aca="false">IF(OR(V60="",W60="",X60=""),"",IFERROR(IF(V60="BUY",1,IF(V60="SELL",-1,0))+IF(W60="BUY",1,IF(W60="SELL",-1,0))+IF(X60="BUY",1,IF(X60="SELL",-1,0)),0))</f>
        <v>0</v>
      </c>
      <c r="Z60" s="32" t="str">
        <f aca="false">IF(Y60="","",IF(Y60&gt;=2,"STRONG BUY",IF(Y60=1,"BUY",IF(Y60=0,"HOLD",IF(Y60=-1,"SELL","STRONG SELL")))))</f>
        <v>HOLD</v>
      </c>
    </row>
    <row r="61" customFormat="false" ht="15" hidden="false" customHeight="false" outlineLevel="0" collapsed="false">
      <c r="A61" s="24" t="n">
        <v>45853</v>
      </c>
      <c r="B61" s="25" t="n">
        <v>205.46</v>
      </c>
      <c r="C61" s="25" t="n">
        <v>206.58</v>
      </c>
      <c r="D61" s="25" t="n">
        <v>205.46</v>
      </c>
      <c r="E61" s="25" t="n">
        <v>206.02</v>
      </c>
      <c r="F61" s="26" t="n">
        <v>8583562</v>
      </c>
      <c r="G61" s="27" t="n">
        <f aca="false">E61-E60</f>
        <v>-2.97</v>
      </c>
      <c r="H61" s="28" t="n">
        <f aca="false">G61/E60</f>
        <v>-0.0142112062778123</v>
      </c>
      <c r="I61" s="29" t="n">
        <f aca="false">MAX(G61,0)</f>
        <v>0</v>
      </c>
      <c r="J61" s="29" t="n">
        <f aca="false">MAX(-G61,0)</f>
        <v>2.97</v>
      </c>
      <c r="K61" s="29" t="n">
        <f aca="false">(K60*13+I61)/14</f>
        <v>0.677123874335629</v>
      </c>
      <c r="L61" s="29" t="n">
        <f aca="false">(L60*13+J61)/14</f>
        <v>1.14154427412637</v>
      </c>
      <c r="M61" s="31" t="n">
        <f aca="false">IF(L61=0,100,100-100/(1+K61/MAX(L61,0.000001)))</f>
        <v>37.2318542504995</v>
      </c>
      <c r="N61" s="30" t="n">
        <f aca="false">AVERAGE(E42:E61)</f>
        <v>210.4155</v>
      </c>
      <c r="O61" s="30" t="n">
        <f aca="false">AVERAGE(E12:E61)</f>
        <v>215.7854</v>
      </c>
      <c r="Q61" s="30" t="n">
        <f aca="false">Q60+(2/13)*(E61-Q60)</f>
        <v>210.424103187344</v>
      </c>
      <c r="R61" s="30" t="n">
        <f aca="false">R60+(2/27)*(E61-R60)</f>
        <v>211.961404212824</v>
      </c>
      <c r="S61" s="33" t="n">
        <f aca="false">Q61-R61</f>
        <v>-1.53730102548047</v>
      </c>
      <c r="T61" s="33" t="n">
        <f aca="false">T60+(2/10)*(S61-T60)</f>
        <v>-1.37775678567991</v>
      </c>
      <c r="U61" s="33" t="n">
        <f aca="false">S61-T61</f>
        <v>-0.159544239800561</v>
      </c>
      <c r="V61" s="32" t="str">
        <f aca="false">IF(M61="","",IF(M61&lt;Assumptions!$B$5,"BUY",IF(M61&gt;Assumptions!$B$4,"SELL","HOLD")))</f>
        <v>HOLD</v>
      </c>
      <c r="W61" s="32" t="str">
        <f aca="false">IF(O61="","",IF(E61&gt;O61,"BUY","SELL"))</f>
        <v>SELL</v>
      </c>
      <c r="X61" s="32" t="str">
        <f aca="false">IF(T61="","",IF(S61&gt;T61,"BUY","SELL"))</f>
        <v>SELL</v>
      </c>
      <c r="Y61" s="34" t="n">
        <f aca="false">IF(OR(V61="",W61="",X61=""),"",IFERROR(IF(V61="BUY",1,IF(V61="SELL",-1,0))+IF(W61="BUY",1,IF(W61="SELL",-1,0))+IF(X61="BUY",1,IF(X61="SELL",-1,0)),0))</f>
        <v>-2</v>
      </c>
      <c r="Z61" s="32" t="str">
        <f aca="false">IF(Y61="","",IF(Y61&gt;=2,"STRONG BUY",IF(Y61=1,"BUY",IF(Y61=0,"HOLD",IF(Y61=-1,"SELL","STRONG SELL")))))</f>
        <v>STRONG SELL</v>
      </c>
    </row>
    <row r="62" customFormat="false" ht="15" hidden="false" customHeight="false" outlineLevel="0" collapsed="false">
      <c r="A62" s="24" t="n">
        <v>45854</v>
      </c>
      <c r="B62" s="25" t="n">
        <v>210.3</v>
      </c>
      <c r="C62" s="25" t="n">
        <v>210.42</v>
      </c>
      <c r="D62" s="25" t="n">
        <v>209.66</v>
      </c>
      <c r="E62" s="25" t="n">
        <v>210.04</v>
      </c>
      <c r="F62" s="26" t="n">
        <v>8671797</v>
      </c>
      <c r="G62" s="27" t="n">
        <f aca="false">E62-E61</f>
        <v>4.01999999999998</v>
      </c>
      <c r="H62" s="28" t="n">
        <f aca="false">G62/E61</f>
        <v>0.0195126686729443</v>
      </c>
      <c r="I62" s="29" t="n">
        <f aca="false">MAX(G62,0)</f>
        <v>4.01999999999998</v>
      </c>
      <c r="J62" s="29" t="n">
        <f aca="false">MAX(-G62,0)</f>
        <v>0</v>
      </c>
      <c r="K62" s="29" t="n">
        <f aca="false">(K61*13+I62)/14</f>
        <v>0.915900740454511</v>
      </c>
      <c r="L62" s="29" t="n">
        <f aca="false">(L61*13+J62)/14</f>
        <v>1.06000539740306</v>
      </c>
      <c r="M62" s="31" t="n">
        <f aca="false">IF(L62=0,100,100-100/(1+K62/MAX(L62,0.000001)))</f>
        <v>46.3534538866103</v>
      </c>
      <c r="N62" s="30" t="n">
        <f aca="false">AVERAGE(E43:E62)</f>
        <v>210.389</v>
      </c>
      <c r="O62" s="30" t="n">
        <f aca="false">AVERAGE(E13:E62)</f>
        <v>215.7406</v>
      </c>
      <c r="Q62" s="30" t="n">
        <f aca="false">Q61+(2/13)*(E62-Q61)</f>
        <v>210.365010389291</v>
      </c>
      <c r="R62" s="30" t="n">
        <f aca="false">R61+(2/27)*(E62-R61)</f>
        <v>211.819077974837</v>
      </c>
      <c r="S62" s="33" t="n">
        <f aca="false">Q62-R62</f>
        <v>-1.45406758554637</v>
      </c>
      <c r="T62" s="33" t="n">
        <f aca="false">T61+(2/10)*(S62-T61)</f>
        <v>-1.3930189456532</v>
      </c>
      <c r="U62" s="33" t="n">
        <f aca="false">S62-T62</f>
        <v>-0.0610486398931649</v>
      </c>
      <c r="V62" s="32" t="str">
        <f aca="false">IF(M62="","",IF(M62&lt;Assumptions!$B$5,"BUY",IF(M62&gt;Assumptions!$B$4,"SELL","HOLD")))</f>
        <v>HOLD</v>
      </c>
      <c r="W62" s="32" t="str">
        <f aca="false">IF(O62="","",IF(E62&gt;O62,"BUY","SELL"))</f>
        <v>SELL</v>
      </c>
      <c r="X62" s="32" t="str">
        <f aca="false">IF(T62="","",IF(S62&gt;T62,"BUY","SELL"))</f>
        <v>SELL</v>
      </c>
      <c r="Y62" s="34" t="n">
        <f aca="false">IF(OR(V62="",W62="",X62=""),"",IFERROR(IF(V62="BUY",1,IF(V62="SELL",-1,0))+IF(W62="BUY",1,IF(W62="SELL",-1,0))+IF(X62="BUY",1,IF(X62="SELL",-1,0)),0))</f>
        <v>-2</v>
      </c>
      <c r="Z62" s="32" t="str">
        <f aca="false">IF(Y62="","",IF(Y62&gt;=2,"STRONG BUY",IF(Y62=1,"BUY",IF(Y62=0,"HOLD",IF(Y62=-1,"SELL","STRONG SELL")))))</f>
        <v>STRONG SELL</v>
      </c>
    </row>
    <row r="63" customFormat="false" ht="15" hidden="false" customHeight="false" outlineLevel="0" collapsed="false">
      <c r="A63" s="24" t="n">
        <v>45855</v>
      </c>
      <c r="B63" s="25" t="n">
        <v>208.17</v>
      </c>
      <c r="C63" s="25" t="n">
        <v>209.09</v>
      </c>
      <c r="D63" s="25" t="n">
        <v>208.17</v>
      </c>
      <c r="E63" s="25" t="n">
        <v>208.63</v>
      </c>
      <c r="F63" s="26" t="n">
        <v>3609852</v>
      </c>
      <c r="G63" s="27" t="n">
        <f aca="false">E63-E62</f>
        <v>-1.41</v>
      </c>
      <c r="H63" s="28" t="n">
        <f aca="false">G63/E62</f>
        <v>-0.00671300704627688</v>
      </c>
      <c r="I63" s="29" t="n">
        <f aca="false">MAX(G63,0)</f>
        <v>0</v>
      </c>
      <c r="J63" s="29" t="n">
        <f aca="false">MAX(-G63,0)</f>
        <v>1.41</v>
      </c>
      <c r="K63" s="29" t="n">
        <f aca="false">(K62*13+I63)/14</f>
        <v>0.850479258993475</v>
      </c>
      <c r="L63" s="29" t="n">
        <f aca="false">(L62*13+J63)/14</f>
        <v>1.08500501187427</v>
      </c>
      <c r="M63" s="31" t="n">
        <f aca="false">IF(L63=0,100,100-100/(1+K63/MAX(L63,0.000001)))</f>
        <v>43.9414193023732</v>
      </c>
      <c r="N63" s="30" t="n">
        <f aca="false">AVERAGE(E44:E63)</f>
        <v>210.3465</v>
      </c>
      <c r="O63" s="30" t="n">
        <f aca="false">AVERAGE(E14:E63)</f>
        <v>215.6264</v>
      </c>
      <c r="Q63" s="30" t="n">
        <f aca="false">Q62+(2/13)*(E63-Q62)</f>
        <v>210.098085714015</v>
      </c>
      <c r="R63" s="30" t="n">
        <f aca="false">R62+(2/27)*(E63-R62)</f>
        <v>211.582849976701</v>
      </c>
      <c r="S63" s="33" t="n">
        <f aca="false">Q63-R63</f>
        <v>-1.48476426268581</v>
      </c>
      <c r="T63" s="33" t="n">
        <f aca="false">T62+(2/10)*(S63-T62)</f>
        <v>-1.41136800905973</v>
      </c>
      <c r="U63" s="33" t="n">
        <f aca="false">S63-T63</f>
        <v>-0.0733962536260884</v>
      </c>
      <c r="V63" s="32" t="str">
        <f aca="false">IF(M63="","",IF(M63&lt;Assumptions!$B$5,"BUY",IF(M63&gt;Assumptions!$B$4,"SELL","HOLD")))</f>
        <v>HOLD</v>
      </c>
      <c r="W63" s="32" t="str">
        <f aca="false">IF(O63="","",IF(E63&gt;O63,"BUY","SELL"))</f>
        <v>SELL</v>
      </c>
      <c r="X63" s="32" t="str">
        <f aca="false">IF(T63="","",IF(S63&gt;T63,"BUY","SELL"))</f>
        <v>SELL</v>
      </c>
      <c r="Y63" s="34" t="n">
        <f aca="false">IF(OR(V63="",W63="",X63=""),"",IFERROR(IF(V63="BUY",1,IF(V63="SELL",-1,0))+IF(W63="BUY",1,IF(W63="SELL",-1,0))+IF(X63="BUY",1,IF(X63="SELL",-1,0)),0))</f>
        <v>-2</v>
      </c>
      <c r="Z63" s="32" t="str">
        <f aca="false">IF(Y63="","",IF(Y63&gt;=2,"STRONG BUY",IF(Y63=1,"BUY",IF(Y63=0,"HOLD",IF(Y63=-1,"SELL","STRONG SELL")))))</f>
        <v>STRONG SELL</v>
      </c>
    </row>
    <row r="64" customFormat="false" ht="15" hidden="false" customHeight="false" outlineLevel="0" collapsed="false">
      <c r="A64" s="24" t="n">
        <v>45856</v>
      </c>
      <c r="B64" s="25" t="n">
        <v>207.07</v>
      </c>
      <c r="C64" s="25" t="n">
        <v>208.83</v>
      </c>
      <c r="D64" s="25" t="n">
        <v>205.35</v>
      </c>
      <c r="E64" s="25" t="n">
        <v>207.09</v>
      </c>
      <c r="F64" s="26" t="n">
        <v>11746682</v>
      </c>
      <c r="G64" s="27" t="n">
        <f aca="false">E64-E63</f>
        <v>-1.53999999999999</v>
      </c>
      <c r="H64" s="28" t="n">
        <f aca="false">G64/E63</f>
        <v>-0.00738148876000571</v>
      </c>
      <c r="I64" s="29" t="n">
        <f aca="false">MAX(G64,0)</f>
        <v>0</v>
      </c>
      <c r="J64" s="29" t="n">
        <f aca="false">MAX(-G64,0)</f>
        <v>1.53999999999999</v>
      </c>
      <c r="K64" s="29" t="n">
        <f aca="false">(K63*13+I64)/14</f>
        <v>0.789730740493941</v>
      </c>
      <c r="L64" s="29" t="n">
        <f aca="false">(L63*13+J64)/14</f>
        <v>1.11750465388325</v>
      </c>
      <c r="M64" s="31" t="n">
        <f aca="false">IF(L64=0,100,100-100/(1+K64/MAX(L64,0.000001)))</f>
        <v>41.4070933678236</v>
      </c>
      <c r="N64" s="30" t="n">
        <f aca="false">AVERAGE(E45:E64)</f>
        <v>210.244</v>
      </c>
      <c r="O64" s="30" t="n">
        <f aca="false">AVERAGE(E15:E64)</f>
        <v>215.4422</v>
      </c>
      <c r="Q64" s="30" t="n">
        <f aca="false">Q63+(2/13)*(E64-Q63)</f>
        <v>209.635303296475</v>
      </c>
      <c r="R64" s="30" t="n">
        <f aca="false">R63+(2/27)*(E64-R63)</f>
        <v>211.250046274723</v>
      </c>
      <c r="S64" s="33" t="n">
        <f aca="false">Q64-R64</f>
        <v>-1.61474297824878</v>
      </c>
      <c r="T64" s="33" t="n">
        <f aca="false">T63+(2/10)*(S64-T63)</f>
        <v>-1.45204300289754</v>
      </c>
      <c r="U64" s="33" t="n">
        <f aca="false">S64-T64</f>
        <v>-0.162699975351247</v>
      </c>
      <c r="V64" s="32" t="str">
        <f aca="false">IF(M64="","",IF(M64&lt;Assumptions!$B$5,"BUY",IF(M64&gt;Assumptions!$B$4,"SELL","HOLD")))</f>
        <v>HOLD</v>
      </c>
      <c r="W64" s="32" t="str">
        <f aca="false">IF(O64="","",IF(E64&gt;O64,"BUY","SELL"))</f>
        <v>SELL</v>
      </c>
      <c r="X64" s="32" t="str">
        <f aca="false">IF(T64="","",IF(S64&gt;T64,"BUY","SELL"))</f>
        <v>SELL</v>
      </c>
      <c r="Y64" s="34" t="n">
        <f aca="false">IF(OR(V64="",W64="",X64=""),"",IFERROR(IF(V64="BUY",1,IF(V64="SELL",-1,0))+IF(W64="BUY",1,IF(W64="SELL",-1,0))+IF(X64="BUY",1,IF(X64="SELL",-1,0)),0))</f>
        <v>-2</v>
      </c>
      <c r="Z64" s="32" t="str">
        <f aca="false">IF(Y64="","",IF(Y64&gt;=2,"STRONG BUY",IF(Y64=1,"BUY",IF(Y64=0,"HOLD",IF(Y64=-1,"SELL","STRONG SELL")))))</f>
        <v>STRONG SELL</v>
      </c>
    </row>
    <row r="65" customFormat="false" ht="15" hidden="false" customHeight="false" outlineLevel="0" collapsed="false">
      <c r="A65" s="24" t="n">
        <v>45859</v>
      </c>
      <c r="B65" s="25" t="n">
        <v>204.79</v>
      </c>
      <c r="C65" s="25" t="n">
        <v>205.88</v>
      </c>
      <c r="D65" s="25" t="n">
        <v>204.58</v>
      </c>
      <c r="E65" s="25" t="n">
        <v>205.23</v>
      </c>
      <c r="F65" s="26" t="n">
        <v>3272131</v>
      </c>
      <c r="G65" s="27" t="n">
        <f aca="false">E65-E64</f>
        <v>-1.86000000000001</v>
      </c>
      <c r="H65" s="28" t="n">
        <f aca="false">G65/E64</f>
        <v>-0.00898160220194125</v>
      </c>
      <c r="I65" s="29" t="n">
        <f aca="false">MAX(G65,0)</f>
        <v>0</v>
      </c>
      <c r="J65" s="29" t="n">
        <f aca="false">MAX(-G65,0)</f>
        <v>1.86000000000001</v>
      </c>
      <c r="K65" s="29" t="n">
        <f aca="false">(K64*13+I65)/14</f>
        <v>0.733321401887231</v>
      </c>
      <c r="L65" s="29" t="n">
        <f aca="false">(L64*13+J65)/14</f>
        <v>1.17054003574873</v>
      </c>
      <c r="M65" s="31" t="n">
        <f aca="false">IF(L65=0,100,100-100/(1+K65/MAX(L65,0.000001)))</f>
        <v>38.5175826029546</v>
      </c>
      <c r="N65" s="30" t="n">
        <f aca="false">AVERAGE(E46:E65)</f>
        <v>210.113</v>
      </c>
      <c r="O65" s="30" t="n">
        <f aca="false">AVERAGE(E16:E65)</f>
        <v>215.1628</v>
      </c>
      <c r="Q65" s="30" t="n">
        <f aca="false">Q64+(2/13)*(E65-Q64)</f>
        <v>208.957564327786</v>
      </c>
      <c r="R65" s="30" t="n">
        <f aca="false">R64+(2/27)*(E65-R64)</f>
        <v>210.80411692104</v>
      </c>
      <c r="S65" s="33" t="n">
        <f aca="false">Q65-R65</f>
        <v>-1.84655259325399</v>
      </c>
      <c r="T65" s="33" t="n">
        <f aca="false">T64+(2/10)*(S65-T64)</f>
        <v>-1.53094492096883</v>
      </c>
      <c r="U65" s="33" t="n">
        <f aca="false">S65-T65</f>
        <v>-0.315607672285161</v>
      </c>
      <c r="V65" s="32" t="str">
        <f aca="false">IF(M65="","",IF(M65&lt;Assumptions!$B$5,"BUY",IF(M65&gt;Assumptions!$B$4,"SELL","HOLD")))</f>
        <v>HOLD</v>
      </c>
      <c r="W65" s="32" t="str">
        <f aca="false">IF(O65="","",IF(E65&gt;O65,"BUY","SELL"))</f>
        <v>SELL</v>
      </c>
      <c r="X65" s="32" t="str">
        <f aca="false">IF(T65="","",IF(S65&gt;T65,"BUY","SELL"))</f>
        <v>SELL</v>
      </c>
      <c r="Y65" s="34" t="n">
        <f aca="false">IF(OR(V65="",W65="",X65=""),"",IFERROR(IF(V65="BUY",1,IF(V65="SELL",-1,0))+IF(W65="BUY",1,IF(W65="SELL",-1,0))+IF(X65="BUY",1,IF(X65="SELL",-1,0)),0))</f>
        <v>-2</v>
      </c>
      <c r="Z65" s="32" t="str">
        <f aca="false">IF(Y65="","",IF(Y65&gt;=2,"STRONG BUY",IF(Y65=1,"BUY",IF(Y65=0,"HOLD",IF(Y65=-1,"SELL","STRONG SELL")))))</f>
        <v>STRONG SELL</v>
      </c>
    </row>
    <row r="66" customFormat="false" ht="15" hidden="false" customHeight="false" outlineLevel="0" collapsed="false">
      <c r="A66" s="24" t="n">
        <v>45860</v>
      </c>
      <c r="B66" s="25" t="n">
        <v>206.67</v>
      </c>
      <c r="C66" s="25" t="n">
        <v>206.87</v>
      </c>
      <c r="D66" s="25" t="n">
        <v>205.61</v>
      </c>
      <c r="E66" s="25" t="n">
        <v>206.24</v>
      </c>
      <c r="F66" s="26" t="n">
        <v>12903304</v>
      </c>
      <c r="G66" s="27" t="n">
        <f aca="false">E66-E65</f>
        <v>1.01000000000002</v>
      </c>
      <c r="H66" s="28" t="n">
        <f aca="false">G66/E65</f>
        <v>0.00492130780100385</v>
      </c>
      <c r="I66" s="29" t="n">
        <f aca="false">MAX(G66,0)</f>
        <v>1.01000000000002</v>
      </c>
      <c r="J66" s="29" t="n">
        <f aca="false">MAX(-G66,0)</f>
        <v>0</v>
      </c>
      <c r="K66" s="29" t="n">
        <f aca="false">(K65*13+I66)/14</f>
        <v>0.753084158895287</v>
      </c>
      <c r="L66" s="29" t="n">
        <f aca="false">(L65*13+J66)/14</f>
        <v>1.08693003319525</v>
      </c>
      <c r="M66" s="31" t="n">
        <f aca="false">IF(L66=0,100,100-100/(1+K66/MAX(L66,0.000001)))</f>
        <v>40.9281712137051</v>
      </c>
      <c r="N66" s="30" t="n">
        <f aca="false">AVERAGE(E47:E66)</f>
        <v>210.02</v>
      </c>
      <c r="O66" s="30" t="n">
        <f aca="false">AVERAGE(E17:E66)</f>
        <v>214.9054</v>
      </c>
      <c r="Q66" s="30" t="n">
        <f aca="false">Q65+(2/13)*(E66-Q65)</f>
        <v>208.539477508127</v>
      </c>
      <c r="R66" s="30" t="n">
        <f aca="false">R65+(2/27)*(E66-R65)</f>
        <v>210.466034186148</v>
      </c>
      <c r="S66" s="33" t="n">
        <f aca="false">Q66-R66</f>
        <v>-1.92655667802154</v>
      </c>
      <c r="T66" s="33" t="n">
        <f aca="false">T65+(2/10)*(S66-T65)</f>
        <v>-1.61006727237937</v>
      </c>
      <c r="U66" s="33" t="n">
        <f aca="false">S66-T66</f>
        <v>-0.31648940564217</v>
      </c>
      <c r="V66" s="32" t="str">
        <f aca="false">IF(M66="","",IF(M66&lt;Assumptions!$B$5,"BUY",IF(M66&gt;Assumptions!$B$4,"SELL","HOLD")))</f>
        <v>HOLD</v>
      </c>
      <c r="W66" s="32" t="str">
        <f aca="false">IF(O66="","",IF(E66&gt;O66,"BUY","SELL"))</f>
        <v>SELL</v>
      </c>
      <c r="X66" s="32" t="str">
        <f aca="false">IF(T66="","",IF(S66&gt;T66,"BUY","SELL"))</f>
        <v>SELL</v>
      </c>
      <c r="Y66" s="34" t="n">
        <f aca="false">IF(OR(V66="",W66="",X66=""),"",IFERROR(IF(V66="BUY",1,IF(V66="SELL",-1,0))+IF(W66="BUY",1,IF(W66="SELL",-1,0))+IF(X66="BUY",1,IF(X66="SELL",-1,0)),0))</f>
        <v>-2</v>
      </c>
      <c r="Z66" s="32" t="str">
        <f aca="false">IF(Y66="","",IF(Y66&gt;=2,"STRONG BUY",IF(Y66=1,"BUY",IF(Y66=0,"HOLD",IF(Y66=-1,"SELL","STRONG SELL")))))</f>
        <v>STRONG SELL</v>
      </c>
    </row>
    <row r="67" customFormat="false" ht="15" hidden="false" customHeight="false" outlineLevel="0" collapsed="false">
      <c r="A67" s="24" t="n">
        <v>45861</v>
      </c>
      <c r="B67" s="25" t="n">
        <v>209.51</v>
      </c>
      <c r="C67" s="25" t="n">
        <v>209.7</v>
      </c>
      <c r="D67" s="25" t="n">
        <v>209.2</v>
      </c>
      <c r="E67" s="25" t="n">
        <v>209.45</v>
      </c>
      <c r="F67" s="26" t="n">
        <v>2937408</v>
      </c>
      <c r="G67" s="27" t="n">
        <f aca="false">E67-E66</f>
        <v>3.20999999999998</v>
      </c>
      <c r="H67" s="28" t="n">
        <f aca="false">G67/E66</f>
        <v>0.0155643910007757</v>
      </c>
      <c r="I67" s="29" t="n">
        <f aca="false">MAX(G67,0)</f>
        <v>3.20999999999998</v>
      </c>
      <c r="J67" s="29" t="n">
        <f aca="false">MAX(-G67,0)</f>
        <v>0</v>
      </c>
      <c r="K67" s="29" t="n">
        <f aca="false">(K66*13+I67)/14</f>
        <v>0.928578147545622</v>
      </c>
      <c r="L67" s="29" t="n">
        <f aca="false">(L66*13+J67)/14</f>
        <v>1.0092921736813</v>
      </c>
      <c r="M67" s="31" t="n">
        <f aca="false">IF(L67=0,100,100-100/(1+K67/MAX(L67,0.000001)))</f>
        <v>47.9174554341547</v>
      </c>
      <c r="N67" s="30" t="n">
        <f aca="false">AVERAGE(E48:E67)</f>
        <v>210.089</v>
      </c>
      <c r="O67" s="30" t="n">
        <f aca="false">AVERAGE(E18:E67)</f>
        <v>214.616</v>
      </c>
      <c r="Q67" s="30" t="n">
        <f aca="false">Q66+(2/13)*(E67-Q66)</f>
        <v>208.679557891492</v>
      </c>
      <c r="R67" s="30" t="n">
        <f aca="false">R66+(2/27)*(E67-R66)</f>
        <v>210.390772394582</v>
      </c>
      <c r="S67" s="33" t="n">
        <f aca="false">Q67-R67</f>
        <v>-1.71121450308988</v>
      </c>
      <c r="T67" s="33" t="n">
        <f aca="false">T66+(2/10)*(S67-T66)</f>
        <v>-1.63029671852147</v>
      </c>
      <c r="U67" s="33" t="n">
        <f aca="false">S67-T67</f>
        <v>-0.0809177845684053</v>
      </c>
      <c r="V67" s="32" t="str">
        <f aca="false">IF(M67="","",IF(M67&lt;Assumptions!$B$5,"BUY",IF(M67&gt;Assumptions!$B$4,"SELL","HOLD")))</f>
        <v>HOLD</v>
      </c>
      <c r="W67" s="32" t="str">
        <f aca="false">IF(O67="","",IF(E67&gt;O67,"BUY","SELL"))</f>
        <v>SELL</v>
      </c>
      <c r="X67" s="32" t="str">
        <f aca="false">IF(T67="","",IF(S67&gt;T67,"BUY","SELL"))</f>
        <v>SELL</v>
      </c>
      <c r="Y67" s="34" t="n">
        <f aca="false">IF(OR(V67="",W67="",X67=""),"",IFERROR(IF(V67="BUY",1,IF(V67="SELL",-1,0))+IF(W67="BUY",1,IF(W67="SELL",-1,0))+IF(X67="BUY",1,IF(X67="SELL",-1,0)),0))</f>
        <v>-2</v>
      </c>
      <c r="Z67" s="32" t="str">
        <f aca="false">IF(Y67="","",IF(Y67&gt;=2,"STRONG BUY",IF(Y67=1,"BUY",IF(Y67=0,"HOLD",IF(Y67=-1,"SELL","STRONG SELL")))))</f>
        <v>STRONG SELL</v>
      </c>
    </row>
    <row r="68" customFormat="false" ht="15" hidden="false" customHeight="false" outlineLevel="0" collapsed="false">
      <c r="A68" s="24" t="n">
        <v>45862</v>
      </c>
      <c r="B68" s="25" t="n">
        <v>210.31</v>
      </c>
      <c r="C68" s="25" t="n">
        <v>210.87</v>
      </c>
      <c r="D68" s="25" t="n">
        <v>209.33</v>
      </c>
      <c r="E68" s="25" t="n">
        <v>210.1</v>
      </c>
      <c r="F68" s="26" t="n">
        <v>7017770</v>
      </c>
      <c r="G68" s="27" t="n">
        <f aca="false">E68-E67</f>
        <v>0.650000000000006</v>
      </c>
      <c r="H68" s="28" t="n">
        <f aca="false">G68/E67</f>
        <v>0.00310336595846267</v>
      </c>
      <c r="I68" s="29" t="n">
        <f aca="false">MAX(G68,0)</f>
        <v>0.650000000000006</v>
      </c>
      <c r="J68" s="29" t="n">
        <f aca="false">MAX(-G68,0)</f>
        <v>0</v>
      </c>
      <c r="K68" s="29" t="n">
        <f aca="false">(K67*13+I68)/14</f>
        <v>0.908679708435221</v>
      </c>
      <c r="L68" s="29" t="n">
        <f aca="false">(L67*13+J68)/14</f>
        <v>0.937199875561211</v>
      </c>
      <c r="M68" s="31" t="n">
        <f aca="false">IF(L68=0,100,100-100/(1+K68/MAX(L68,0.000001)))</f>
        <v>49.2274640400908</v>
      </c>
      <c r="N68" s="30" t="n">
        <f aca="false">AVERAGE(E49:E68)</f>
        <v>210.1355</v>
      </c>
      <c r="O68" s="30" t="n">
        <f aca="false">AVERAGE(E19:E68)</f>
        <v>214.3806</v>
      </c>
      <c r="Q68" s="30" t="n">
        <f aca="false">Q67+(2/13)*(E68-Q67)</f>
        <v>208.898087446647</v>
      </c>
      <c r="R68" s="30" t="n">
        <f aca="false">R67+(2/27)*(E68-R67)</f>
        <v>210.369233698687</v>
      </c>
      <c r="S68" s="33" t="n">
        <f aca="false">Q68-R68</f>
        <v>-1.47114625203983</v>
      </c>
      <c r="T68" s="33" t="n">
        <f aca="false">T67+(2/10)*(S68-T67)</f>
        <v>-1.59846662522514</v>
      </c>
      <c r="U68" s="33" t="n">
        <f aca="false">S68-T68</f>
        <v>0.127320373185314</v>
      </c>
      <c r="V68" s="32" t="str">
        <f aca="false">IF(M68="","",IF(M68&lt;Assumptions!$B$5,"BUY",IF(M68&gt;Assumptions!$B$4,"SELL","HOLD")))</f>
        <v>HOLD</v>
      </c>
      <c r="W68" s="32" t="str">
        <f aca="false">IF(O68="","",IF(E68&gt;O68,"BUY","SELL"))</f>
        <v>SELL</v>
      </c>
      <c r="X68" s="32" t="str">
        <f aca="false">IF(T68="","",IF(S68&gt;T68,"BUY","SELL"))</f>
        <v>BUY</v>
      </c>
      <c r="Y68" s="34" t="n">
        <f aca="false">IF(OR(V68="",W68="",X68=""),"",IFERROR(IF(V68="BUY",1,IF(V68="SELL",-1,0))+IF(W68="BUY",1,IF(W68="SELL",-1,0))+IF(X68="BUY",1,IF(X68="SELL",-1,0)),0))</f>
        <v>0</v>
      </c>
      <c r="Z68" s="32" t="str">
        <f aca="false">IF(Y68="","",IF(Y68&gt;=2,"STRONG BUY",IF(Y68=1,"BUY",IF(Y68=0,"HOLD",IF(Y68=-1,"SELL","STRONG SELL")))))</f>
        <v>HOLD</v>
      </c>
    </row>
    <row r="69" customFormat="false" ht="15" hidden="false" customHeight="false" outlineLevel="0" collapsed="false">
      <c r="A69" s="24" t="n">
        <v>45863</v>
      </c>
      <c r="B69" s="25" t="n">
        <v>209.43</v>
      </c>
      <c r="C69" s="25" t="n">
        <v>209.43</v>
      </c>
      <c r="D69" s="25" t="n">
        <v>207.25</v>
      </c>
      <c r="E69" s="25" t="n">
        <v>208.34</v>
      </c>
      <c r="F69" s="26" t="n">
        <v>12487504</v>
      </c>
      <c r="G69" s="27" t="n">
        <f aca="false">E69-E68</f>
        <v>-1.75999999999999</v>
      </c>
      <c r="H69" s="28" t="n">
        <f aca="false">G69/E68</f>
        <v>-0.0083769633507853</v>
      </c>
      <c r="I69" s="29" t="n">
        <f aca="false">MAX(G69,0)</f>
        <v>0</v>
      </c>
      <c r="J69" s="29" t="n">
        <f aca="false">MAX(-G69,0)</f>
        <v>1.75999999999999</v>
      </c>
      <c r="K69" s="29" t="n">
        <f aca="false">(K68*13+I69)/14</f>
        <v>0.843774014975562</v>
      </c>
      <c r="L69" s="29" t="n">
        <f aca="false">(L68*13+J69)/14</f>
        <v>0.995971313021124</v>
      </c>
      <c r="M69" s="31" t="n">
        <f aca="false">IF(L69=0,100,100-100/(1+K69/MAX(L69,0.000001)))</f>
        <v>45.8636313480603</v>
      </c>
      <c r="N69" s="30" t="n">
        <f aca="false">AVERAGE(E50:E69)</f>
        <v>210.058</v>
      </c>
      <c r="O69" s="30" t="n">
        <f aca="false">AVERAGE(E20:E69)</f>
        <v>214.088</v>
      </c>
      <c r="Q69" s="30" t="n">
        <f aca="false">Q68+(2/13)*(E69-Q68)</f>
        <v>208.812227839471</v>
      </c>
      <c r="R69" s="30" t="n">
        <f aca="false">R68+(2/27)*(E69-R68)</f>
        <v>210.218920091377</v>
      </c>
      <c r="S69" s="33" t="n">
        <f aca="false">Q69-R69</f>
        <v>-1.40669225190615</v>
      </c>
      <c r="T69" s="33" t="n">
        <f aca="false">T68+(2/10)*(S69-T68)</f>
        <v>-1.56011175056135</v>
      </c>
      <c r="U69" s="33" t="n">
        <f aca="false">S69-T69</f>
        <v>0.153419498655194</v>
      </c>
      <c r="V69" s="32" t="str">
        <f aca="false">IF(M69="","",IF(M69&lt;Assumptions!$B$5,"BUY",IF(M69&gt;Assumptions!$B$4,"SELL","HOLD")))</f>
        <v>HOLD</v>
      </c>
      <c r="W69" s="32" t="str">
        <f aca="false">IF(O69="","",IF(E69&gt;O69,"BUY","SELL"))</f>
        <v>SELL</v>
      </c>
      <c r="X69" s="32" t="str">
        <f aca="false">IF(T69="","",IF(S69&gt;T69,"BUY","SELL"))</f>
        <v>BUY</v>
      </c>
      <c r="Y69" s="34" t="n">
        <f aca="false">IF(OR(V69="",W69="",X69=""),"",IFERROR(IF(V69="BUY",1,IF(V69="SELL",-1,0))+IF(W69="BUY",1,IF(W69="SELL",-1,0))+IF(X69="BUY",1,IF(X69="SELL",-1,0)),0))</f>
        <v>0</v>
      </c>
      <c r="Z69" s="32" t="str">
        <f aca="false">IF(Y69="","",IF(Y69&gt;=2,"STRONG BUY",IF(Y69=1,"BUY",IF(Y69=0,"HOLD",IF(Y69=-1,"SELL","STRONG SELL")))))</f>
        <v>HOLD</v>
      </c>
    </row>
    <row r="70" customFormat="false" ht="15" hidden="false" customHeight="false" outlineLevel="0" collapsed="false">
      <c r="A70" s="24" t="n">
        <v>45866</v>
      </c>
      <c r="B70" s="25" t="n">
        <v>211.49</v>
      </c>
      <c r="C70" s="25" t="n">
        <v>212.76</v>
      </c>
      <c r="D70" s="25" t="n">
        <v>210.06</v>
      </c>
      <c r="E70" s="25" t="n">
        <v>211.41</v>
      </c>
      <c r="F70" s="26" t="n">
        <v>6800217</v>
      </c>
      <c r="G70" s="27" t="n">
        <f aca="false">E70-E69</f>
        <v>3.06999999999999</v>
      </c>
      <c r="H70" s="28" t="n">
        <f aca="false">G70/E69</f>
        <v>0.0147355284630891</v>
      </c>
      <c r="I70" s="29" t="n">
        <f aca="false">MAX(G70,0)</f>
        <v>3.06999999999999</v>
      </c>
      <c r="J70" s="29" t="n">
        <f aca="false">MAX(-G70,0)</f>
        <v>0</v>
      </c>
      <c r="K70" s="29" t="n">
        <f aca="false">(K69*13+I70)/14</f>
        <v>1.00279015676302</v>
      </c>
      <c r="L70" s="29" t="n">
        <f aca="false">(L69*13+J70)/14</f>
        <v>0.924830504948186</v>
      </c>
      <c r="M70" s="31" t="n">
        <f aca="false">IF(L70=0,100,100-100/(1+K70/MAX(L70,0.000001)))</f>
        <v>52.0221730697166</v>
      </c>
      <c r="N70" s="30" t="n">
        <f aca="false">AVERAGE(E51:E70)</f>
        <v>210.022</v>
      </c>
      <c r="O70" s="30" t="n">
        <f aca="false">AVERAGE(E21:E70)</f>
        <v>213.8682</v>
      </c>
      <c r="Q70" s="30" t="n">
        <f aca="false">Q69+(2/13)*(E70-Q69)</f>
        <v>209.211885094937</v>
      </c>
      <c r="R70" s="30" t="n">
        <f aca="false">R69+(2/27)*(E70-R69)</f>
        <v>210.307148232756</v>
      </c>
      <c r="S70" s="33" t="n">
        <f aca="false">Q70-R70</f>
        <v>-1.09526313781959</v>
      </c>
      <c r="T70" s="33" t="n">
        <f aca="false">T69+(2/10)*(S70-T69)</f>
        <v>-1.46714202801299</v>
      </c>
      <c r="U70" s="33" t="n">
        <f aca="false">S70-T70</f>
        <v>0.371878890193407</v>
      </c>
      <c r="V70" s="32" t="str">
        <f aca="false">IF(M70="","",IF(M70&lt;Assumptions!$B$5,"BUY",IF(M70&gt;Assumptions!$B$4,"SELL","HOLD")))</f>
        <v>HOLD</v>
      </c>
      <c r="W70" s="32" t="str">
        <f aca="false">IF(O70="","",IF(E70&gt;O70,"BUY","SELL"))</f>
        <v>SELL</v>
      </c>
      <c r="X70" s="32" t="str">
        <f aca="false">IF(T70="","",IF(S70&gt;T70,"BUY","SELL"))</f>
        <v>BUY</v>
      </c>
      <c r="Y70" s="34" t="n">
        <f aca="false">IF(OR(V70="",W70="",X70=""),"",IFERROR(IF(V70="BUY",1,IF(V70="SELL",-1,0))+IF(W70="BUY",1,IF(W70="SELL",-1,0))+IF(X70="BUY",1,IF(X70="SELL",-1,0)),0))</f>
        <v>0</v>
      </c>
      <c r="Z70" s="32" t="str">
        <f aca="false">IF(Y70="","",IF(Y70&gt;=2,"STRONG BUY",IF(Y70=1,"BUY",IF(Y70=0,"HOLD",IF(Y70=-1,"SELL","STRONG SELL")))))</f>
        <v>HOLD</v>
      </c>
    </row>
    <row r="71" customFormat="false" ht="15" hidden="false" customHeight="false" outlineLevel="0" collapsed="false">
      <c r="A71" s="24" t="n">
        <v>45867</v>
      </c>
      <c r="B71" s="25" t="n">
        <v>212.29</v>
      </c>
      <c r="C71" s="25" t="n">
        <v>213.98</v>
      </c>
      <c r="D71" s="25" t="n">
        <v>210.2</v>
      </c>
      <c r="E71" s="25" t="n">
        <v>212.09</v>
      </c>
      <c r="F71" s="26" t="n">
        <v>9672389</v>
      </c>
      <c r="G71" s="27" t="n">
        <f aca="false">E71-E70</f>
        <v>0.680000000000007</v>
      </c>
      <c r="H71" s="28" t="n">
        <f aca="false">G71/E70</f>
        <v>0.00321649874651155</v>
      </c>
      <c r="I71" s="29" t="n">
        <f aca="false">MAX(G71,0)</f>
        <v>0.680000000000007</v>
      </c>
      <c r="J71" s="29" t="n">
        <f aca="false">MAX(-G71,0)</f>
        <v>0</v>
      </c>
      <c r="K71" s="29" t="n">
        <f aca="false">(K70*13+I71)/14</f>
        <v>0.979733716994235</v>
      </c>
      <c r="L71" s="29" t="n">
        <f aca="false">(L70*13+J71)/14</f>
        <v>0.858771183166173</v>
      </c>
      <c r="M71" s="31" t="n">
        <f aca="false">IF(L71=0,100,100-100/(1+K71/MAX(L71,0.000001)))</f>
        <v>53.2896984342415</v>
      </c>
      <c r="N71" s="30" t="n">
        <f aca="false">AVERAGE(E52:E71)</f>
        <v>210.075</v>
      </c>
      <c r="O71" s="30" t="n">
        <f aca="false">AVERAGE(E22:E71)</f>
        <v>213.588</v>
      </c>
      <c r="Q71" s="30" t="n">
        <f aca="false">Q70+(2/13)*(E71-Q70)</f>
        <v>209.654672003408</v>
      </c>
      <c r="R71" s="30" t="n">
        <f aca="false">R70+(2/27)*(E71-R70)</f>
        <v>210.439211326626</v>
      </c>
      <c r="S71" s="33" t="n">
        <f aca="false">Q71-R71</f>
        <v>-0.784539323218183</v>
      </c>
      <c r="T71" s="33" t="n">
        <f aca="false">T70+(2/10)*(S71-T70)</f>
        <v>-1.33062148705403</v>
      </c>
      <c r="U71" s="33" t="n">
        <f aca="false">S71-T71</f>
        <v>0.546082163835848</v>
      </c>
      <c r="V71" s="32" t="str">
        <f aca="false">IF(M71="","",IF(M71&lt;Assumptions!$B$5,"BUY",IF(M71&gt;Assumptions!$B$4,"SELL","HOLD")))</f>
        <v>HOLD</v>
      </c>
      <c r="W71" s="32" t="str">
        <f aca="false">IF(O71="","",IF(E71&gt;O71,"BUY","SELL"))</f>
        <v>SELL</v>
      </c>
      <c r="X71" s="32" t="str">
        <f aca="false">IF(T71="","",IF(S71&gt;T71,"BUY","SELL"))</f>
        <v>BUY</v>
      </c>
      <c r="Y71" s="34" t="n">
        <f aca="false">IF(OR(V71="",W71="",X71=""),"",IFERROR(IF(V71="BUY",1,IF(V71="SELL",-1,0))+IF(W71="BUY",1,IF(W71="SELL",-1,0))+IF(X71="BUY",1,IF(X71="SELL",-1,0)),0))</f>
        <v>0</v>
      </c>
      <c r="Z71" s="32" t="str">
        <f aca="false">IF(Y71="","",IF(Y71&gt;=2,"STRONG BUY",IF(Y71=1,"BUY",IF(Y71=0,"HOLD",IF(Y71=-1,"SELL","STRONG SELL")))))</f>
        <v>HOLD</v>
      </c>
    </row>
    <row r="72" customFormat="false" ht="15" hidden="false" customHeight="false" outlineLevel="0" collapsed="false">
      <c r="A72" s="24" t="n">
        <v>45868</v>
      </c>
      <c r="B72" s="25" t="n">
        <v>211.55</v>
      </c>
      <c r="C72" s="25" t="n">
        <v>211.61</v>
      </c>
      <c r="D72" s="25" t="n">
        <v>209.25</v>
      </c>
      <c r="E72" s="25" t="n">
        <v>210.43</v>
      </c>
      <c r="F72" s="26" t="n">
        <v>7162933</v>
      </c>
      <c r="G72" s="27" t="n">
        <f aca="false">E72-E71</f>
        <v>-1.66</v>
      </c>
      <c r="H72" s="28" t="n">
        <f aca="false">G72/E71</f>
        <v>-0.00782686595313309</v>
      </c>
      <c r="I72" s="29" t="n">
        <f aca="false">MAX(G72,0)</f>
        <v>0</v>
      </c>
      <c r="J72" s="29" t="n">
        <f aca="false">MAX(-G72,0)</f>
        <v>1.66</v>
      </c>
      <c r="K72" s="29" t="n">
        <f aca="false">(K71*13+I72)/14</f>
        <v>0.909752737208932</v>
      </c>
      <c r="L72" s="29" t="n">
        <f aca="false">(L71*13+J72)/14</f>
        <v>0.916001812940018</v>
      </c>
      <c r="M72" s="31" t="n">
        <f aca="false">IF(L72=0,100,100-100/(1+K72/MAX(L72,0.000001)))</f>
        <v>49.8288632025982</v>
      </c>
      <c r="N72" s="30" t="n">
        <f aca="false">AVERAGE(E53:E72)</f>
        <v>209.968</v>
      </c>
      <c r="O72" s="30" t="n">
        <f aca="false">AVERAGE(E23:E72)</f>
        <v>213.2726</v>
      </c>
      <c r="Q72" s="30" t="n">
        <f aca="false">Q71+(2/13)*(E72-Q71)</f>
        <v>209.773953233653</v>
      </c>
      <c r="R72" s="30" t="n">
        <f aca="false">R71+(2/27)*(E72-R71)</f>
        <v>210.438529006135</v>
      </c>
      <c r="S72" s="33" t="n">
        <f aca="false">Q72-R72</f>
        <v>-0.664575772482408</v>
      </c>
      <c r="T72" s="33" t="n">
        <f aca="false">T71+(2/10)*(S72-T71)</f>
        <v>-1.19741234413971</v>
      </c>
      <c r="U72" s="33" t="n">
        <f aca="false">S72-T72</f>
        <v>0.532836571657299</v>
      </c>
      <c r="V72" s="32" t="str">
        <f aca="false">IF(M72="","",IF(M72&lt;Assumptions!$B$5,"BUY",IF(M72&gt;Assumptions!$B$4,"SELL","HOLD")))</f>
        <v>HOLD</v>
      </c>
      <c r="W72" s="32" t="str">
        <f aca="false">IF(O72="","",IF(E72&gt;O72,"BUY","SELL"))</f>
        <v>SELL</v>
      </c>
      <c r="X72" s="32" t="str">
        <f aca="false">IF(T72="","",IF(S72&gt;T72,"BUY","SELL"))</f>
        <v>BUY</v>
      </c>
      <c r="Y72" s="34" t="n">
        <f aca="false">IF(OR(V72="",W72="",X72=""),"",IFERROR(IF(V72="BUY",1,IF(V72="SELL",-1,0))+IF(W72="BUY",1,IF(W72="SELL",-1,0))+IF(X72="BUY",1,IF(X72="SELL",-1,0)),0))</f>
        <v>0</v>
      </c>
      <c r="Z72" s="32" t="str">
        <f aca="false">IF(Y72="","",IF(Y72&gt;=2,"STRONG BUY",IF(Y72=1,"BUY",IF(Y72=0,"HOLD",IF(Y72=-1,"SELL","STRONG SELL")))))</f>
        <v>HOLD</v>
      </c>
    </row>
    <row r="73" customFormat="false" ht="15" hidden="false" customHeight="false" outlineLevel="0" collapsed="false">
      <c r="A73" s="24" t="n">
        <v>45869</v>
      </c>
      <c r="B73" s="25" t="n">
        <v>211.2</v>
      </c>
      <c r="C73" s="25" t="n">
        <v>212.63</v>
      </c>
      <c r="D73" s="25" t="n">
        <v>207.93</v>
      </c>
      <c r="E73" s="25" t="n">
        <v>210.28</v>
      </c>
      <c r="F73" s="26" t="n">
        <v>6177313</v>
      </c>
      <c r="G73" s="27" t="n">
        <f aca="false">E73-E72</f>
        <v>-0.150000000000006</v>
      </c>
      <c r="H73" s="28" t="n">
        <f aca="false">G73/E72</f>
        <v>-0.000712826117948989</v>
      </c>
      <c r="I73" s="29" t="n">
        <f aca="false">MAX(G73,0)</f>
        <v>0</v>
      </c>
      <c r="J73" s="29" t="n">
        <f aca="false">MAX(-G73,0)</f>
        <v>0.150000000000006</v>
      </c>
      <c r="K73" s="29" t="n">
        <f aca="false">(K72*13+I73)/14</f>
        <v>0.844770398836866</v>
      </c>
      <c r="L73" s="29" t="n">
        <f aca="false">(L72*13+J73)/14</f>
        <v>0.861287397730017</v>
      </c>
      <c r="M73" s="31" t="n">
        <f aca="false">IF(L73=0,100,100-100/(1+K73/MAX(L73,0.000001)))</f>
        <v>49.515930851628</v>
      </c>
      <c r="N73" s="30" t="n">
        <f aca="false">AVERAGE(E54:E73)</f>
        <v>209.82</v>
      </c>
      <c r="O73" s="30" t="n">
        <f aca="false">AVERAGE(E24:E73)</f>
        <v>213.0048</v>
      </c>
      <c r="Q73" s="30" t="n">
        <f aca="false">Q72+(2/13)*(E73-Q72)</f>
        <v>209.851806582322</v>
      </c>
      <c r="R73" s="30" t="n">
        <f aca="false">R72+(2/27)*(E73-R72)</f>
        <v>210.426786116792</v>
      </c>
      <c r="S73" s="33" t="n">
        <f aca="false">Q73-R73</f>
        <v>-0.574979534470288</v>
      </c>
      <c r="T73" s="33" t="n">
        <f aca="false">T72+(2/10)*(S73-T72)</f>
        <v>-1.07292578220582</v>
      </c>
      <c r="U73" s="33" t="n">
        <f aca="false">S73-T73</f>
        <v>0.497946247735535</v>
      </c>
      <c r="V73" s="32" t="str">
        <f aca="false">IF(M73="","",IF(M73&lt;Assumptions!$B$5,"BUY",IF(M73&gt;Assumptions!$B$4,"SELL","HOLD")))</f>
        <v>HOLD</v>
      </c>
      <c r="W73" s="32" t="str">
        <f aca="false">IF(O73="","",IF(E73&gt;O73,"BUY","SELL"))</f>
        <v>SELL</v>
      </c>
      <c r="X73" s="32" t="str">
        <f aca="false">IF(T73="","",IF(S73&gt;T73,"BUY","SELL"))</f>
        <v>BUY</v>
      </c>
      <c r="Y73" s="34" t="n">
        <f aca="false">IF(OR(V73="",W73="",X73=""),"",IFERROR(IF(V73="BUY",1,IF(V73="SELL",-1,0))+IF(W73="BUY",1,IF(W73="SELL",-1,0))+IF(X73="BUY",1,IF(X73="SELL",-1,0)),0))</f>
        <v>0</v>
      </c>
      <c r="Z73" s="32" t="str">
        <f aca="false">IF(Y73="","",IF(Y73&gt;=2,"STRONG BUY",IF(Y73=1,"BUY",IF(Y73=0,"HOLD",IF(Y73=-1,"SELL","STRONG SELL")))))</f>
        <v>HOLD</v>
      </c>
    </row>
    <row r="74" customFormat="false" ht="15" hidden="false" customHeight="false" outlineLevel="0" collapsed="false">
      <c r="A74" s="24" t="n">
        <v>45870</v>
      </c>
      <c r="B74" s="25" t="n">
        <v>210.82</v>
      </c>
      <c r="C74" s="25" t="n">
        <v>211.28</v>
      </c>
      <c r="D74" s="25" t="n">
        <v>209.94</v>
      </c>
      <c r="E74" s="25" t="n">
        <v>210.61</v>
      </c>
      <c r="F74" s="26" t="n">
        <v>7380361</v>
      </c>
      <c r="G74" s="27" t="n">
        <f aca="false">E74-E73</f>
        <v>0.330000000000013</v>
      </c>
      <c r="H74" s="28" t="n">
        <f aca="false">G74/E73</f>
        <v>0.00156933612326428</v>
      </c>
      <c r="I74" s="29" t="n">
        <f aca="false">MAX(G74,0)</f>
        <v>0.330000000000013</v>
      </c>
      <c r="J74" s="29" t="n">
        <f aca="false">MAX(-G74,0)</f>
        <v>0</v>
      </c>
      <c r="K74" s="29" t="n">
        <f aca="false">(K73*13+I74)/14</f>
        <v>0.808001084634233</v>
      </c>
      <c r="L74" s="29" t="n">
        <f aca="false">(L73*13+J74)/14</f>
        <v>0.79976686932073</v>
      </c>
      <c r="M74" s="31" t="n">
        <f aca="false">IF(L74=0,100,100-100/(1+K74/MAX(L74,0.000001)))</f>
        <v>50.2560759869995</v>
      </c>
      <c r="N74" s="30" t="n">
        <f aca="false">AVERAGE(E55:E74)</f>
        <v>209.659</v>
      </c>
      <c r="O74" s="30" t="n">
        <f aca="false">AVERAGE(E25:E74)</f>
        <v>212.7312</v>
      </c>
      <c r="Q74" s="30" t="n">
        <f aca="false">Q73+(2/13)*(E74-Q73)</f>
        <v>209.968451723503</v>
      </c>
      <c r="R74" s="30" t="n">
        <f aca="false">R73+(2/27)*(E74-R73)</f>
        <v>210.440357515548</v>
      </c>
      <c r="S74" s="33" t="n">
        <f aca="false">Q74-R74</f>
        <v>-0.471905792045163</v>
      </c>
      <c r="T74" s="33" t="n">
        <f aca="false">T73+(2/10)*(S74-T73)</f>
        <v>-0.952721784173691</v>
      </c>
      <c r="U74" s="33" t="n">
        <f aca="false">S74-T74</f>
        <v>0.480815992128528</v>
      </c>
      <c r="V74" s="32" t="str">
        <f aca="false">IF(M74="","",IF(M74&lt;Assumptions!$B$5,"BUY",IF(M74&gt;Assumptions!$B$4,"SELL","HOLD")))</f>
        <v>HOLD</v>
      </c>
      <c r="W74" s="32" t="str">
        <f aca="false">IF(O74="","",IF(E74&gt;O74,"BUY","SELL"))</f>
        <v>SELL</v>
      </c>
      <c r="X74" s="32" t="str">
        <f aca="false">IF(T74="","",IF(S74&gt;T74,"BUY","SELL"))</f>
        <v>BUY</v>
      </c>
      <c r="Y74" s="34" t="n">
        <f aca="false">IF(OR(V74="",W74="",X74=""),"",IFERROR(IF(V74="BUY",1,IF(V74="SELL",-1,0))+IF(W74="BUY",1,IF(W74="SELL",-1,0))+IF(X74="BUY",1,IF(X74="SELL",-1,0)),0))</f>
        <v>0</v>
      </c>
      <c r="Z74" s="32" t="str">
        <f aca="false">IF(Y74="","",IF(Y74&gt;=2,"STRONG BUY",IF(Y74=1,"BUY",IF(Y74=0,"HOLD",IF(Y74=-1,"SELL","STRONG SELL")))))</f>
        <v>HOLD</v>
      </c>
    </row>
    <row r="75" customFormat="false" ht="15" hidden="false" customHeight="false" outlineLevel="0" collapsed="false">
      <c r="A75" s="24" t="n">
        <v>45873</v>
      </c>
      <c r="B75" s="25" t="n">
        <v>211.16</v>
      </c>
      <c r="C75" s="25" t="n">
        <v>212.13</v>
      </c>
      <c r="D75" s="25" t="n">
        <v>210.23</v>
      </c>
      <c r="E75" s="25" t="n">
        <v>211.18</v>
      </c>
      <c r="F75" s="26" t="n">
        <v>8078766</v>
      </c>
      <c r="G75" s="27" t="n">
        <f aca="false">E75-E74</f>
        <v>0.569999999999993</v>
      </c>
      <c r="H75" s="28" t="n">
        <f aca="false">G75/E74</f>
        <v>0.00270642419638191</v>
      </c>
      <c r="I75" s="29" t="n">
        <f aca="false">MAX(G75,0)</f>
        <v>0.569999999999993</v>
      </c>
      <c r="J75" s="29" t="n">
        <f aca="false">MAX(-G75,0)</f>
        <v>0</v>
      </c>
      <c r="K75" s="29" t="n">
        <f aca="false">(K74*13+I75)/14</f>
        <v>0.791001007160359</v>
      </c>
      <c r="L75" s="29" t="n">
        <f aca="false">(L74*13+J75)/14</f>
        <v>0.742640664369249</v>
      </c>
      <c r="M75" s="31" t="n">
        <f aca="false">IF(L75=0,100,100-100/(1+K75/MAX(L75,0.000001)))</f>
        <v>51.5766506508289</v>
      </c>
      <c r="N75" s="30" t="n">
        <f aca="false">AVERAGE(E56:E75)</f>
        <v>209.5095</v>
      </c>
      <c r="O75" s="30" t="n">
        <f aca="false">AVERAGE(E26:E75)</f>
        <v>212.5236</v>
      </c>
      <c r="Q75" s="30" t="n">
        <f aca="false">Q74+(2/13)*(E75-Q74)</f>
        <v>210.154843766041</v>
      </c>
      <c r="R75" s="30" t="n">
        <f aca="false">R74+(2/27)*(E75-R74)</f>
        <v>210.49514584773</v>
      </c>
      <c r="S75" s="33" t="n">
        <f aca="false">Q75-R75</f>
        <v>-0.340302081688776</v>
      </c>
      <c r="T75" s="33" t="n">
        <f aca="false">T74+(2/10)*(S75-T74)</f>
        <v>-0.830237843676708</v>
      </c>
      <c r="U75" s="33" t="n">
        <f aca="false">S75-T75</f>
        <v>0.489935761987932</v>
      </c>
      <c r="V75" s="32" t="str">
        <f aca="false">IF(M75="","",IF(M75&lt;Assumptions!$B$5,"BUY",IF(M75&gt;Assumptions!$B$4,"SELL","HOLD")))</f>
        <v>HOLD</v>
      </c>
      <c r="W75" s="32" t="str">
        <f aca="false">IF(O75="","",IF(E75&gt;O75,"BUY","SELL"))</f>
        <v>SELL</v>
      </c>
      <c r="X75" s="32" t="str">
        <f aca="false">IF(T75="","",IF(S75&gt;T75,"BUY","SELL"))</f>
        <v>BUY</v>
      </c>
      <c r="Y75" s="34" t="n">
        <f aca="false">IF(OR(V75="",W75="",X75=""),"",IFERROR(IF(V75="BUY",1,IF(V75="SELL",-1,0))+IF(W75="BUY",1,IF(W75="SELL",-1,0))+IF(X75="BUY",1,IF(X75="SELL",-1,0)),0))</f>
        <v>0</v>
      </c>
      <c r="Z75" s="32" t="str">
        <f aca="false">IF(Y75="","",IF(Y75&gt;=2,"STRONG BUY",IF(Y75=1,"BUY",IF(Y75=0,"HOLD",IF(Y75=-1,"SELL","STRONG SELL")))))</f>
        <v>HOLD</v>
      </c>
    </row>
    <row r="76" customFormat="false" ht="15" hidden="false" customHeight="false" outlineLevel="0" collapsed="false">
      <c r="A76" s="24" t="n">
        <v>45874</v>
      </c>
      <c r="B76" s="25" t="n">
        <v>210.57</v>
      </c>
      <c r="C76" s="25" t="n">
        <v>212</v>
      </c>
      <c r="D76" s="25" t="n">
        <v>210.4</v>
      </c>
      <c r="E76" s="25" t="n">
        <v>211.2</v>
      </c>
      <c r="F76" s="26" t="n">
        <v>8214506</v>
      </c>
      <c r="G76" s="27" t="n">
        <f aca="false">E76-E75</f>
        <v>0.0199999999999818</v>
      </c>
      <c r="H76" s="28" t="n">
        <f aca="false">G76/E75</f>
        <v>9.47059380622304E-005</v>
      </c>
      <c r="I76" s="29" t="n">
        <f aca="false">MAX(G76,0)</f>
        <v>0.0199999999999818</v>
      </c>
      <c r="J76" s="29" t="n">
        <f aca="false">MAX(-G76,0)</f>
        <v>0</v>
      </c>
      <c r="K76" s="29" t="n">
        <f aca="false">(K75*13+I76)/14</f>
        <v>0.735929506648903</v>
      </c>
      <c r="L76" s="29" t="n">
        <f aca="false">(L75*13+J76)/14</f>
        <v>0.689594902628588</v>
      </c>
      <c r="M76" s="31" t="n">
        <f aca="false">IF(L76=0,100,100-100/(1+K76/MAX(L76,0.000001)))</f>
        <v>51.625177503758</v>
      </c>
      <c r="N76" s="30" t="n">
        <f aca="false">AVERAGE(E57:E76)</f>
        <v>209.611</v>
      </c>
      <c r="O76" s="30" t="n">
        <f aca="false">AVERAGE(E27:E76)</f>
        <v>212.3582</v>
      </c>
      <c r="Q76" s="30" t="n">
        <f aca="false">Q75+(2/13)*(E76-Q75)</f>
        <v>210.315637032804</v>
      </c>
      <c r="R76" s="30" t="n">
        <f aca="false">R75+(2/27)*(E76-R75)</f>
        <v>210.547357266416</v>
      </c>
      <c r="S76" s="33" t="n">
        <f aca="false">Q76-R76</f>
        <v>-0.231720233612521</v>
      </c>
      <c r="T76" s="33" t="n">
        <f aca="false">T75+(2/10)*(S76-T75)</f>
        <v>-0.71053432166387</v>
      </c>
      <c r="U76" s="33" t="n">
        <f aca="false">S76-T76</f>
        <v>0.47881408805135</v>
      </c>
      <c r="V76" s="32" t="str">
        <f aca="false">IF(M76="","",IF(M76&lt;Assumptions!$B$5,"BUY",IF(M76&gt;Assumptions!$B$4,"SELL","HOLD")))</f>
        <v>HOLD</v>
      </c>
      <c r="W76" s="32" t="str">
        <f aca="false">IF(O76="","",IF(E76&gt;O76,"BUY","SELL"))</f>
        <v>SELL</v>
      </c>
      <c r="X76" s="32" t="str">
        <f aca="false">IF(T76="","",IF(S76&gt;T76,"BUY","SELL"))</f>
        <v>BUY</v>
      </c>
      <c r="Y76" s="34" t="n">
        <f aca="false">IF(OR(V76="",W76="",X76=""),"",IFERROR(IF(V76="BUY",1,IF(V76="SELL",-1,0))+IF(W76="BUY",1,IF(W76="SELL",-1,0))+IF(X76="BUY",1,IF(X76="SELL",-1,0)),0))</f>
        <v>0</v>
      </c>
      <c r="Z76" s="32" t="str">
        <f aca="false">IF(Y76="","",IF(Y76&gt;=2,"STRONG BUY",IF(Y76=1,"BUY",IF(Y76=0,"HOLD",IF(Y76=-1,"SELL","STRONG SELL")))))</f>
        <v>HOLD</v>
      </c>
    </row>
    <row r="77" customFormat="false" ht="15" hidden="false" customHeight="false" outlineLevel="0" collapsed="false">
      <c r="A77" s="24" t="n">
        <v>45875</v>
      </c>
      <c r="B77" s="25" t="n">
        <v>211.51</v>
      </c>
      <c r="C77" s="25" t="n">
        <v>211.51</v>
      </c>
      <c r="D77" s="25" t="n">
        <v>211.05</v>
      </c>
      <c r="E77" s="25" t="n">
        <v>211.28</v>
      </c>
      <c r="F77" s="26" t="n">
        <v>4207203</v>
      </c>
      <c r="G77" s="27" t="n">
        <f aca="false">E77-E76</f>
        <v>0.0800000000000125</v>
      </c>
      <c r="H77" s="28" t="n">
        <f aca="false">G77/E76</f>
        <v>0.000378787878787938</v>
      </c>
      <c r="I77" s="29" t="n">
        <f aca="false">MAX(G77,0)</f>
        <v>0.0800000000000125</v>
      </c>
      <c r="J77" s="29" t="n">
        <f aca="false">MAX(-G77,0)</f>
        <v>0</v>
      </c>
      <c r="K77" s="29" t="n">
        <f aca="false">(K76*13+I77)/14</f>
        <v>0.689077399031126</v>
      </c>
      <c r="L77" s="29" t="n">
        <f aca="false">(L76*13+J77)/14</f>
        <v>0.640338123869404</v>
      </c>
      <c r="M77" s="31" t="n">
        <f aca="false">IF(L77=0,100,100-100/(1+K77/MAX(L77,0.000001)))</f>
        <v>51.8331091491764</v>
      </c>
      <c r="N77" s="30" t="n">
        <f aca="false">AVERAGE(E58:E77)</f>
        <v>209.4925</v>
      </c>
      <c r="O77" s="30" t="n">
        <f aca="false">AVERAGE(E28:E77)</f>
        <v>212.149</v>
      </c>
      <c r="Q77" s="30" t="n">
        <f aca="false">Q76+(2/13)*(E77-Q76)</f>
        <v>210.464000566219</v>
      </c>
      <c r="R77" s="30" t="n">
        <f aca="false">R76+(2/27)*(E77-R76)</f>
        <v>210.601627098534</v>
      </c>
      <c r="S77" s="33" t="n">
        <f aca="false">Q77-R77</f>
        <v>-0.137626532315039</v>
      </c>
      <c r="T77" s="33" t="n">
        <f aca="false">T76+(2/10)*(S77-T76)</f>
        <v>-0.595952763794104</v>
      </c>
      <c r="U77" s="33" t="n">
        <f aca="false">S77-T77</f>
        <v>0.458326231479065</v>
      </c>
      <c r="V77" s="32" t="str">
        <f aca="false">IF(M77="","",IF(M77&lt;Assumptions!$B$5,"BUY",IF(M77&gt;Assumptions!$B$4,"SELL","HOLD")))</f>
        <v>HOLD</v>
      </c>
      <c r="W77" s="32" t="str">
        <f aca="false">IF(O77="","",IF(E77&gt;O77,"BUY","SELL"))</f>
        <v>SELL</v>
      </c>
      <c r="X77" s="32" t="str">
        <f aca="false">IF(T77="","",IF(S77&gt;T77,"BUY","SELL"))</f>
        <v>BUY</v>
      </c>
      <c r="Y77" s="34" t="n">
        <f aca="false">IF(OR(V77="",W77="",X77=""),"",IFERROR(IF(V77="BUY",1,IF(V77="SELL",-1,0))+IF(W77="BUY",1,IF(W77="SELL",-1,0))+IF(X77="BUY",1,IF(X77="SELL",-1,0)),0))</f>
        <v>0</v>
      </c>
      <c r="Z77" s="32" t="str">
        <f aca="false">IF(Y77="","",IF(Y77&gt;=2,"STRONG BUY",IF(Y77=1,"BUY",IF(Y77=0,"HOLD",IF(Y77=-1,"SELL","STRONG SELL")))))</f>
        <v>HOLD</v>
      </c>
    </row>
    <row r="78" customFormat="false" ht="15" hidden="false" customHeight="false" outlineLevel="0" collapsed="false">
      <c r="A78" s="24" t="n">
        <v>45876</v>
      </c>
      <c r="B78" s="25" t="n">
        <v>215.83</v>
      </c>
      <c r="C78" s="25" t="n">
        <v>215.83</v>
      </c>
      <c r="D78" s="25" t="n">
        <v>215.53</v>
      </c>
      <c r="E78" s="25" t="n">
        <v>215.68</v>
      </c>
      <c r="F78" s="26" t="n">
        <v>6101500</v>
      </c>
      <c r="G78" s="27" t="n">
        <f aca="false">E78-E77</f>
        <v>4.40000000000001</v>
      </c>
      <c r="H78" s="28" t="n">
        <f aca="false">G78/E77</f>
        <v>0.0208254449072321</v>
      </c>
      <c r="I78" s="29" t="n">
        <f aca="false">MAX(G78,0)</f>
        <v>4.40000000000001</v>
      </c>
      <c r="J78" s="29" t="n">
        <f aca="false">MAX(-G78,0)</f>
        <v>0</v>
      </c>
      <c r="K78" s="29" t="n">
        <f aca="false">(K77*13+I78)/14</f>
        <v>0.954143299100331</v>
      </c>
      <c r="L78" s="29" t="n">
        <f aca="false">(L77*13+J78)/14</f>
        <v>0.59459968645016</v>
      </c>
      <c r="M78" s="31" t="n">
        <f aca="false">IF(L78=0,100,100-100/(1+K78/MAX(L78,0.000001)))</f>
        <v>61.6075945461788</v>
      </c>
      <c r="N78" s="30" t="n">
        <f aca="false">AVERAGE(E59:E78)</f>
        <v>209.7</v>
      </c>
      <c r="O78" s="30" t="n">
        <f aca="false">AVERAGE(E29:E78)</f>
        <v>212.0284</v>
      </c>
      <c r="Q78" s="30" t="n">
        <f aca="false">Q77+(2/13)*(E78-Q77)</f>
        <v>211.26646201757</v>
      </c>
      <c r="R78" s="30" t="n">
        <f aca="false">R77+(2/27)*(E78-R77)</f>
        <v>210.977802869013</v>
      </c>
      <c r="S78" s="33" t="n">
        <f aca="false">Q78-R78</f>
        <v>0.288659148556945</v>
      </c>
      <c r="T78" s="33" t="n">
        <f aca="false">T77+(2/10)*(S78-T77)</f>
        <v>-0.419030381323894</v>
      </c>
      <c r="U78" s="33" t="n">
        <f aca="false">S78-T78</f>
        <v>0.70768952988084</v>
      </c>
      <c r="V78" s="32" t="str">
        <f aca="false">IF(M78="","",IF(M78&lt;Assumptions!$B$5,"BUY",IF(M78&gt;Assumptions!$B$4,"SELL","HOLD")))</f>
        <v>HOLD</v>
      </c>
      <c r="W78" s="32" t="str">
        <f aca="false">IF(O78="","",IF(E78&gt;O78,"BUY","SELL"))</f>
        <v>BUY</v>
      </c>
      <c r="X78" s="32" t="str">
        <f aca="false">IF(T78="","",IF(S78&gt;T78,"BUY","SELL"))</f>
        <v>BUY</v>
      </c>
      <c r="Y78" s="34" t="n">
        <f aca="false">IF(OR(V78="",W78="",X78=""),"",IFERROR(IF(V78="BUY",1,IF(V78="SELL",-1,0))+IF(W78="BUY",1,IF(W78="SELL",-1,0))+IF(X78="BUY",1,IF(X78="SELL",-1,0)),0))</f>
        <v>2</v>
      </c>
      <c r="Z78" s="32" t="str">
        <f aca="false">IF(Y78="","",IF(Y78&gt;=2,"STRONG BUY",IF(Y78=1,"BUY",IF(Y78=0,"HOLD",IF(Y78=-1,"SELL","STRONG SELL")))))</f>
        <v>STRONG BUY</v>
      </c>
    </row>
    <row r="79" customFormat="false" ht="15" hidden="false" customHeight="false" outlineLevel="0" collapsed="false">
      <c r="A79" s="24" t="n">
        <v>45877</v>
      </c>
      <c r="B79" s="25" t="n">
        <v>221.71</v>
      </c>
      <c r="C79" s="25" t="n">
        <v>223.92</v>
      </c>
      <c r="D79" s="25" t="n">
        <v>221.14</v>
      </c>
      <c r="E79" s="25" t="n">
        <v>222.53</v>
      </c>
      <c r="F79" s="26" t="n">
        <v>10216104</v>
      </c>
      <c r="G79" s="27" t="n">
        <f aca="false">E79-E78</f>
        <v>6.84999999999999</v>
      </c>
      <c r="H79" s="28" t="n">
        <f aca="false">G79/E78</f>
        <v>0.0317600148367952</v>
      </c>
      <c r="I79" s="29" t="n">
        <f aca="false">MAX(G79,0)</f>
        <v>6.84999999999999</v>
      </c>
      <c r="J79" s="29" t="n">
        <f aca="false">MAX(-G79,0)</f>
        <v>0</v>
      </c>
      <c r="K79" s="29" t="n">
        <f aca="false">(K78*13+I79)/14</f>
        <v>1.37527592059316</v>
      </c>
      <c r="L79" s="29" t="n">
        <f aca="false">(L78*13+J79)/14</f>
        <v>0.552128280275149</v>
      </c>
      <c r="M79" s="31" t="n">
        <f aca="false">IF(L79=0,100,100-100/(1+K79/MAX(L79,0.000001)))</f>
        <v>71.3537886849883</v>
      </c>
      <c r="N79" s="30" t="n">
        <f aca="false">AVERAGE(E60:E79)</f>
        <v>210.341</v>
      </c>
      <c r="O79" s="30" t="n">
        <f aca="false">AVERAGE(E30:E79)</f>
        <v>212.0024</v>
      </c>
      <c r="Q79" s="30" t="n">
        <f aca="false">Q78+(2/13)*(E79-Q78)</f>
        <v>212.999314014867</v>
      </c>
      <c r="R79" s="30" t="n">
        <f aca="false">R78+(2/27)*(E79-R78)</f>
        <v>211.833521175012</v>
      </c>
      <c r="S79" s="33" t="n">
        <f aca="false">Q79-R79</f>
        <v>1.16579283985487</v>
      </c>
      <c r="T79" s="33" t="n">
        <f aca="false">T78+(2/10)*(S79-T78)</f>
        <v>-0.102065737088141</v>
      </c>
      <c r="U79" s="33" t="n">
        <f aca="false">S79-T79</f>
        <v>1.26785857694301</v>
      </c>
      <c r="V79" s="32" t="str">
        <f aca="false">IF(M79="","",IF(M79&lt;Assumptions!$B$5,"BUY",IF(M79&gt;Assumptions!$B$4,"SELL","HOLD")))</f>
        <v>SELL</v>
      </c>
      <c r="W79" s="32" t="str">
        <f aca="false">IF(O79="","",IF(E79&gt;O79,"BUY","SELL"))</f>
        <v>BUY</v>
      </c>
      <c r="X79" s="32" t="str">
        <f aca="false">IF(T79="","",IF(S79&gt;T79,"BUY","SELL"))</f>
        <v>BUY</v>
      </c>
      <c r="Y79" s="34" t="n">
        <f aca="false">IF(OR(V79="",W79="",X79=""),"",IFERROR(IF(V79="BUY",1,IF(V79="SELL",-1,0))+IF(W79="BUY",1,IF(W79="SELL",-1,0))+IF(X79="BUY",1,IF(X79="SELL",-1,0)),0))</f>
        <v>1</v>
      </c>
      <c r="Z79" s="32" t="str">
        <f aca="false">IF(Y79="","",IF(Y79&gt;=2,"STRONG BUY",IF(Y79=1,"BUY",IF(Y79=0,"HOLD",IF(Y79=-1,"SELL","STRONG SELL")))))</f>
        <v>BUY</v>
      </c>
    </row>
    <row r="80" customFormat="false" ht="15" hidden="false" customHeight="false" outlineLevel="0" collapsed="false">
      <c r="A80" s="24" t="n">
        <v>45880</v>
      </c>
      <c r="B80" s="25" t="n">
        <v>223</v>
      </c>
      <c r="C80" s="25" t="n">
        <v>224.67</v>
      </c>
      <c r="D80" s="25" t="n">
        <v>221.29</v>
      </c>
      <c r="E80" s="25" t="n">
        <v>222.98</v>
      </c>
      <c r="F80" s="26" t="n">
        <v>6126267</v>
      </c>
      <c r="G80" s="27" t="n">
        <f aca="false">E80-E79</f>
        <v>0.449999999999989</v>
      </c>
      <c r="H80" s="28" t="n">
        <f aca="false">G80/E79</f>
        <v>0.00202219925403311</v>
      </c>
      <c r="I80" s="29" t="n">
        <f aca="false">MAX(G80,0)</f>
        <v>0.449999999999989</v>
      </c>
      <c r="J80" s="29" t="n">
        <f aca="false">MAX(-G80,0)</f>
        <v>0</v>
      </c>
      <c r="K80" s="29" t="n">
        <f aca="false">(K79*13+I80)/14</f>
        <v>1.30918478340794</v>
      </c>
      <c r="L80" s="29" t="n">
        <f aca="false">(L79*13+J80)/14</f>
        <v>0.512690545969781</v>
      </c>
      <c r="M80" s="31" t="n">
        <f aca="false">IF(L80=0,100,100-100/(1+K80/MAX(L80,0.000001)))</f>
        <v>71.8591860978272</v>
      </c>
      <c r="N80" s="30" t="n">
        <f aca="false">AVERAGE(E61:E80)</f>
        <v>211.0405</v>
      </c>
      <c r="O80" s="30" t="n">
        <f aca="false">AVERAGE(E31:E80)</f>
        <v>212.0278</v>
      </c>
      <c r="Q80" s="30" t="n">
        <f aca="false">Q79+(2/13)*(E80-Q79)</f>
        <v>214.534804166426</v>
      </c>
      <c r="R80" s="30" t="n">
        <f aca="false">R79+(2/27)*(E80-R79)</f>
        <v>212.659186273159</v>
      </c>
      <c r="S80" s="33" t="n">
        <f aca="false">Q80-R80</f>
        <v>1.87561789326656</v>
      </c>
      <c r="T80" s="33" t="n">
        <f aca="false">T79+(2/10)*(S80-T79)</f>
        <v>0.2934709889828</v>
      </c>
      <c r="U80" s="33" t="n">
        <f aca="false">S80-T80</f>
        <v>1.58214690428376</v>
      </c>
      <c r="V80" s="32" t="str">
        <f aca="false">IF(M80="","",IF(M80&lt;Assumptions!$B$5,"BUY",IF(M80&gt;Assumptions!$B$4,"SELL","HOLD")))</f>
        <v>SELL</v>
      </c>
      <c r="W80" s="32" t="str">
        <f aca="false">IF(O80="","",IF(E80&gt;O80,"BUY","SELL"))</f>
        <v>BUY</v>
      </c>
      <c r="X80" s="32" t="str">
        <f aca="false">IF(T80="","",IF(S80&gt;T80,"BUY","SELL"))</f>
        <v>BUY</v>
      </c>
      <c r="Y80" s="34" t="n">
        <f aca="false">IF(OR(V80="",W80="",X80=""),"",IFERROR(IF(V80="BUY",1,IF(V80="SELL",-1,0))+IF(W80="BUY",1,IF(W80="SELL",-1,0))+IF(X80="BUY",1,IF(X80="SELL",-1,0)),0))</f>
        <v>1</v>
      </c>
      <c r="Z80" s="32" t="str">
        <f aca="false">IF(Y80="","",IF(Y80&gt;=2,"STRONG BUY",IF(Y80=1,"BUY",IF(Y80=0,"HOLD",IF(Y80=-1,"SELL","STRONG SELL")))))</f>
        <v>BUY</v>
      </c>
    </row>
    <row r="81" customFormat="false" ht="15" hidden="false" customHeight="false" outlineLevel="0" collapsed="false">
      <c r="A81" s="24" t="n">
        <v>45881</v>
      </c>
      <c r="B81" s="25" t="n">
        <v>220.49</v>
      </c>
      <c r="C81" s="25" t="n">
        <v>221.52</v>
      </c>
      <c r="D81" s="25" t="n">
        <v>220</v>
      </c>
      <c r="E81" s="25" t="n">
        <v>220.76</v>
      </c>
      <c r="F81" s="26" t="n">
        <v>6951236</v>
      </c>
      <c r="G81" s="27" t="n">
        <f aca="false">E81-E80</f>
        <v>-2.22</v>
      </c>
      <c r="H81" s="28" t="n">
        <f aca="false">G81/E80</f>
        <v>-0.00995604986994349</v>
      </c>
      <c r="I81" s="29" t="n">
        <f aca="false">MAX(G81,0)</f>
        <v>0</v>
      </c>
      <c r="J81" s="29" t="n">
        <f aca="false">MAX(-G81,0)</f>
        <v>2.22</v>
      </c>
      <c r="K81" s="29" t="n">
        <f aca="false">(K80*13+I81)/14</f>
        <v>1.21567158459309</v>
      </c>
      <c r="L81" s="29" t="n">
        <f aca="false">(L80*13+J81)/14</f>
        <v>0.634641221257654</v>
      </c>
      <c r="M81" s="31" t="n">
        <f aca="false">IF(L81=0,100,100-100/(1+K81/MAX(L81,0.000001)))</f>
        <v>65.7008685639044</v>
      </c>
      <c r="N81" s="30" t="n">
        <f aca="false">AVERAGE(E62:E81)</f>
        <v>211.7775</v>
      </c>
      <c r="O81" s="30" t="n">
        <f aca="false">AVERAGE(E32:E81)</f>
        <v>211.9446</v>
      </c>
      <c r="Q81" s="30" t="n">
        <f aca="false">Q80+(2/13)*(E81-Q80)</f>
        <v>215.49252660236</v>
      </c>
      <c r="R81" s="30" t="n">
        <f aca="false">R80+(2/27)*(E81-R80)</f>
        <v>213.259246549221</v>
      </c>
      <c r="S81" s="33" t="n">
        <f aca="false">Q81-R81</f>
        <v>2.2332800531388</v>
      </c>
      <c r="T81" s="33" t="n">
        <f aca="false">T80+(2/10)*(S81-T80)</f>
        <v>0.681432801814</v>
      </c>
      <c r="U81" s="33" t="n">
        <f aca="false">S81-T81</f>
        <v>1.5518472513248</v>
      </c>
      <c r="V81" s="32" t="str">
        <f aca="false">IF(M81="","",IF(M81&lt;Assumptions!$B$5,"BUY",IF(M81&gt;Assumptions!$B$4,"SELL","HOLD")))</f>
        <v>HOLD</v>
      </c>
      <c r="W81" s="32" t="str">
        <f aca="false">IF(O81="","",IF(E81&gt;O81,"BUY","SELL"))</f>
        <v>BUY</v>
      </c>
      <c r="X81" s="32" t="str">
        <f aca="false">IF(T81="","",IF(S81&gt;T81,"BUY","SELL"))</f>
        <v>BUY</v>
      </c>
      <c r="Y81" s="34" t="n">
        <f aca="false">IF(OR(V81="",W81="",X81=""),"",IFERROR(IF(V81="BUY",1,IF(V81="SELL",-1,0))+IF(W81="BUY",1,IF(W81="SELL",-1,0))+IF(X81="BUY",1,IF(X81="SELL",-1,0)),0))</f>
        <v>2</v>
      </c>
      <c r="Z81" s="32" t="str">
        <f aca="false">IF(Y81="","",IF(Y81&gt;=2,"STRONG BUY",IF(Y81=1,"BUY",IF(Y81=0,"HOLD",IF(Y81=-1,"SELL","STRONG SELL")))))</f>
        <v>STRONG BUY</v>
      </c>
    </row>
    <row r="82" customFormat="false" ht="15" hidden="false" customHeight="false" outlineLevel="0" collapsed="false">
      <c r="A82" s="24" t="n">
        <v>45882</v>
      </c>
      <c r="B82" s="25" t="n">
        <v>218.2</v>
      </c>
      <c r="C82" s="25" t="n">
        <v>218.73</v>
      </c>
      <c r="D82" s="25" t="n">
        <v>217.77</v>
      </c>
      <c r="E82" s="25" t="n">
        <v>218.25</v>
      </c>
      <c r="F82" s="26" t="n">
        <v>8753058</v>
      </c>
      <c r="G82" s="27" t="n">
        <f aca="false">E82-E81</f>
        <v>-2.50999999999999</v>
      </c>
      <c r="H82" s="28" t="n">
        <f aca="false">G82/E81</f>
        <v>-0.0113698133719876</v>
      </c>
      <c r="I82" s="29" t="n">
        <f aca="false">MAX(G82,0)</f>
        <v>0</v>
      </c>
      <c r="J82" s="29" t="n">
        <f aca="false">MAX(-G82,0)</f>
        <v>2.50999999999999</v>
      </c>
      <c r="K82" s="29" t="n">
        <f aca="false">(K81*13+I82)/14</f>
        <v>1.12883789997929</v>
      </c>
      <c r="L82" s="29" t="n">
        <f aca="false">(L81*13+J82)/14</f>
        <v>0.768595419739249</v>
      </c>
      <c r="M82" s="31" t="n">
        <f aca="false">IF(L82=0,100,100-100/(1+K82/MAX(L82,0.000001)))</f>
        <v>59.492889064831</v>
      </c>
      <c r="N82" s="30" t="n">
        <f aca="false">AVERAGE(E63:E82)</f>
        <v>212.188</v>
      </c>
      <c r="O82" s="30" t="n">
        <f aca="false">AVERAGE(E33:E82)</f>
        <v>211.8194</v>
      </c>
      <c r="Q82" s="30" t="n">
        <f aca="false">Q81+(2/13)*(E82-Q81)</f>
        <v>215.91675327892</v>
      </c>
      <c r="R82" s="30" t="n">
        <f aca="false">R81+(2/27)*(E82-R81)</f>
        <v>213.62893199002</v>
      </c>
      <c r="S82" s="33" t="n">
        <f aca="false">Q82-R82</f>
        <v>2.28782128890038</v>
      </c>
      <c r="T82" s="33" t="n">
        <f aca="false">T81+(2/10)*(S82-T81)</f>
        <v>1.00271049923128</v>
      </c>
      <c r="U82" s="33" t="n">
        <f aca="false">S82-T82</f>
        <v>1.2851107896691</v>
      </c>
      <c r="V82" s="32" t="str">
        <f aca="false">IF(M82="","",IF(M82&lt;Assumptions!$B$5,"BUY",IF(M82&gt;Assumptions!$B$4,"SELL","HOLD")))</f>
        <v>HOLD</v>
      </c>
      <c r="W82" s="32" t="str">
        <f aca="false">IF(O82="","",IF(E82&gt;O82,"BUY","SELL"))</f>
        <v>BUY</v>
      </c>
      <c r="X82" s="32" t="str">
        <f aca="false">IF(T82="","",IF(S82&gt;T82,"BUY","SELL"))</f>
        <v>BUY</v>
      </c>
      <c r="Y82" s="34" t="n">
        <f aca="false">IF(OR(V82="",W82="",X82=""),"",IFERROR(IF(V82="BUY",1,IF(V82="SELL",-1,0))+IF(W82="BUY",1,IF(W82="SELL",-1,0))+IF(X82="BUY",1,IF(X82="SELL",-1,0)),0))</f>
        <v>2</v>
      </c>
      <c r="Z82" s="32" t="str">
        <f aca="false">IF(Y82="","",IF(Y82&gt;=2,"STRONG BUY",IF(Y82=1,"BUY",IF(Y82=0,"HOLD",IF(Y82=-1,"SELL","STRONG SELL")))))</f>
        <v>STRONG BUY</v>
      </c>
    </row>
    <row r="83" customFormat="false" ht="15" hidden="false" customHeight="false" outlineLevel="0" collapsed="false">
      <c r="A83" s="24" t="n">
        <v>45883</v>
      </c>
      <c r="B83" s="25" t="n">
        <v>220.64</v>
      </c>
      <c r="C83" s="25" t="n">
        <v>220.83</v>
      </c>
      <c r="D83" s="25" t="n">
        <v>219.63</v>
      </c>
      <c r="E83" s="25" t="n">
        <v>220.23</v>
      </c>
      <c r="F83" s="26" t="n">
        <v>6657105</v>
      </c>
      <c r="G83" s="27" t="n">
        <f aca="false">E83-E82</f>
        <v>1.97999999999999</v>
      </c>
      <c r="H83" s="28" t="n">
        <f aca="false">G83/E82</f>
        <v>0.00907216494845356</v>
      </c>
      <c r="I83" s="29" t="n">
        <f aca="false">MAX(G83,0)</f>
        <v>1.97999999999999</v>
      </c>
      <c r="J83" s="29" t="n">
        <f aca="false">MAX(-G83,0)</f>
        <v>0</v>
      </c>
      <c r="K83" s="29" t="n">
        <f aca="false">(K82*13+I83)/14</f>
        <v>1.18963519283791</v>
      </c>
      <c r="L83" s="29" t="n">
        <f aca="false">(L82*13+J83)/14</f>
        <v>0.713695746900732</v>
      </c>
      <c r="M83" s="31" t="n">
        <f aca="false">IF(L83=0,100,100-100/(1+K83/MAX(L83,0.000001)))</f>
        <v>62.5028032697912</v>
      </c>
      <c r="N83" s="30" t="n">
        <f aca="false">AVERAGE(E64:E83)</f>
        <v>212.768</v>
      </c>
      <c r="O83" s="30" t="n">
        <f aca="false">AVERAGE(E34:E83)</f>
        <v>211.829</v>
      </c>
      <c r="Q83" s="30" t="n">
        <f aca="false">Q82+(2/13)*(E83-Q82)</f>
        <v>216.580329697548</v>
      </c>
      <c r="R83" s="30" t="n">
        <f aca="false">R82+(2/27)*(E83-R82)</f>
        <v>214.117899990759</v>
      </c>
      <c r="S83" s="33" t="n">
        <f aca="false">Q83-R83</f>
        <v>2.46242970678878</v>
      </c>
      <c r="T83" s="33" t="n">
        <f aca="false">T82+(2/10)*(S83-T82)</f>
        <v>1.29465434074278</v>
      </c>
      <c r="U83" s="33" t="n">
        <f aca="false">S83-T83</f>
        <v>1.16777536604601</v>
      </c>
      <c r="V83" s="32" t="str">
        <f aca="false">IF(M83="","",IF(M83&lt;Assumptions!$B$5,"BUY",IF(M83&gt;Assumptions!$B$4,"SELL","HOLD")))</f>
        <v>HOLD</v>
      </c>
      <c r="W83" s="32" t="str">
        <f aca="false">IF(O83="","",IF(E83&gt;O83,"BUY","SELL"))</f>
        <v>BUY</v>
      </c>
      <c r="X83" s="32" t="str">
        <f aca="false">IF(T83="","",IF(S83&gt;T83,"BUY","SELL"))</f>
        <v>BUY</v>
      </c>
      <c r="Y83" s="34" t="n">
        <f aca="false">IF(OR(V83="",W83="",X83=""),"",IFERROR(IF(V83="BUY",1,IF(V83="SELL",-1,0))+IF(W83="BUY",1,IF(W83="SELL",-1,0))+IF(X83="BUY",1,IF(X83="SELL",-1,0)),0))</f>
        <v>2</v>
      </c>
      <c r="Z83" s="32" t="str">
        <f aca="false">IF(Y83="","",IF(Y83&gt;=2,"STRONG BUY",IF(Y83=1,"BUY",IF(Y83=0,"HOLD",IF(Y83=-1,"SELL","STRONG SELL")))))</f>
        <v>STRONG BUY</v>
      </c>
    </row>
    <row r="84" customFormat="false" ht="15" hidden="false" customHeight="false" outlineLevel="0" collapsed="false">
      <c r="A84" s="24" t="n">
        <v>45884</v>
      </c>
      <c r="B84" s="25" t="n">
        <v>216.39</v>
      </c>
      <c r="C84" s="25" t="n">
        <v>216.94</v>
      </c>
      <c r="D84" s="25" t="n">
        <v>215.76</v>
      </c>
      <c r="E84" s="25" t="n">
        <v>216.35</v>
      </c>
      <c r="F84" s="26" t="n">
        <v>3194556</v>
      </c>
      <c r="G84" s="27" t="n">
        <f aca="false">E84-E83</f>
        <v>-3.88</v>
      </c>
      <c r="H84" s="28" t="n">
        <f aca="false">G84/E83</f>
        <v>-0.0176179448758116</v>
      </c>
      <c r="I84" s="29" t="n">
        <f aca="false">MAX(G84,0)</f>
        <v>0</v>
      </c>
      <c r="J84" s="29" t="n">
        <f aca="false">MAX(-G84,0)</f>
        <v>3.88</v>
      </c>
      <c r="K84" s="29" t="n">
        <f aca="false">(K83*13+I84)/14</f>
        <v>1.10466125049235</v>
      </c>
      <c r="L84" s="29" t="n">
        <f aca="false">(L83*13+J84)/14</f>
        <v>0.939860336407822</v>
      </c>
      <c r="M84" s="31" t="n">
        <f aca="false">IF(L84=0,100,100-100/(1+K84/MAX(L84,0.000001)))</f>
        <v>54.0303050635526</v>
      </c>
      <c r="N84" s="30" t="n">
        <f aca="false">AVERAGE(E65:E84)</f>
        <v>213.231</v>
      </c>
      <c r="O84" s="30" t="n">
        <f aca="false">AVERAGE(E35:E84)</f>
        <v>211.8036</v>
      </c>
      <c r="Q84" s="30" t="n">
        <f aca="false">Q83+(2/13)*(E84-Q83)</f>
        <v>216.544894359464</v>
      </c>
      <c r="R84" s="30" t="n">
        <f aca="false">R83+(2/27)*(E84-R83)</f>
        <v>214.283240732184</v>
      </c>
      <c r="S84" s="33" t="n">
        <f aca="false">Q84-R84</f>
        <v>2.26165362727923</v>
      </c>
      <c r="T84" s="33" t="n">
        <f aca="false">T83+(2/10)*(S84-T83)</f>
        <v>1.48805419805007</v>
      </c>
      <c r="U84" s="33" t="n">
        <f aca="false">S84-T84</f>
        <v>0.773599429229163</v>
      </c>
      <c r="V84" s="32" t="str">
        <f aca="false">IF(M84="","",IF(M84&lt;Assumptions!$B$5,"BUY",IF(M84&gt;Assumptions!$B$4,"SELL","HOLD")))</f>
        <v>HOLD</v>
      </c>
      <c r="W84" s="32" t="str">
        <f aca="false">IF(O84="","",IF(E84&gt;O84,"BUY","SELL"))</f>
        <v>BUY</v>
      </c>
      <c r="X84" s="32" t="str">
        <f aca="false">IF(T84="","",IF(S84&gt;T84,"BUY","SELL"))</f>
        <v>BUY</v>
      </c>
      <c r="Y84" s="34" t="n">
        <f aca="false">IF(OR(V84="",W84="",X84=""),"",IFERROR(IF(V84="BUY",1,IF(V84="SELL",-1,0))+IF(W84="BUY",1,IF(W84="SELL",-1,0))+IF(X84="BUY",1,IF(X84="SELL",-1,0)),0))</f>
        <v>2</v>
      </c>
      <c r="Z84" s="32" t="str">
        <f aca="false">IF(Y84="","",IF(Y84&gt;=2,"STRONG BUY",IF(Y84=1,"BUY",IF(Y84=0,"HOLD",IF(Y84=-1,"SELL","STRONG SELL")))))</f>
        <v>STRONG BUY</v>
      </c>
    </row>
    <row r="85" customFormat="false" ht="15" hidden="false" customHeight="false" outlineLevel="0" collapsed="false">
      <c r="A85" s="24" t="n">
        <v>45887</v>
      </c>
      <c r="B85" s="25" t="n">
        <v>215.36</v>
      </c>
      <c r="C85" s="25" t="n">
        <v>217</v>
      </c>
      <c r="D85" s="25" t="n">
        <v>214.88</v>
      </c>
      <c r="E85" s="25" t="n">
        <v>215.94</v>
      </c>
      <c r="F85" s="26" t="n">
        <v>5136142</v>
      </c>
      <c r="G85" s="27" t="n">
        <f aca="false">E85-E84</f>
        <v>-0.409999999999997</v>
      </c>
      <c r="H85" s="28" t="n">
        <f aca="false">G85/E84</f>
        <v>-0.00189507742084584</v>
      </c>
      <c r="I85" s="29" t="n">
        <f aca="false">MAX(G85,0)</f>
        <v>0</v>
      </c>
      <c r="J85" s="29" t="n">
        <f aca="false">MAX(-G85,0)</f>
        <v>0.409999999999997</v>
      </c>
      <c r="K85" s="29" t="n">
        <f aca="false">(K84*13+I85)/14</f>
        <v>1.02575687545718</v>
      </c>
      <c r="L85" s="29" t="n">
        <f aca="false">(L84*13+J85)/14</f>
        <v>0.902013169521549</v>
      </c>
      <c r="M85" s="31" t="n">
        <f aca="false">IF(L85=0,100,100-100/(1+K85/MAX(L85,0.000001)))</f>
        <v>53.209503806171</v>
      </c>
      <c r="N85" s="30" t="n">
        <f aca="false">AVERAGE(E66:E85)</f>
        <v>213.7665</v>
      </c>
      <c r="O85" s="30" t="n">
        <f aca="false">AVERAGE(E36:E85)</f>
        <v>211.836</v>
      </c>
      <c r="Q85" s="30" t="n">
        <f aca="false">Q84+(2/13)*(E85-Q84)</f>
        <v>216.451833688777</v>
      </c>
      <c r="R85" s="30" t="n">
        <f aca="false">R84+(2/27)*(E85-R84)</f>
        <v>214.405963640911</v>
      </c>
      <c r="S85" s="33" t="n">
        <f aca="false">Q85-R85</f>
        <v>2.04587004786544</v>
      </c>
      <c r="T85" s="33" t="n">
        <f aca="false">T84+(2/10)*(S85-T84)</f>
        <v>1.59961736801314</v>
      </c>
      <c r="U85" s="33" t="n">
        <f aca="false">S85-T85</f>
        <v>0.446252679852294</v>
      </c>
      <c r="V85" s="32" t="str">
        <f aca="false">IF(M85="","",IF(M85&lt;Assumptions!$B$5,"BUY",IF(M85&gt;Assumptions!$B$4,"SELL","HOLD")))</f>
        <v>HOLD</v>
      </c>
      <c r="W85" s="32" t="str">
        <f aca="false">IF(O85="","",IF(E85&gt;O85,"BUY","SELL"))</f>
        <v>BUY</v>
      </c>
      <c r="X85" s="32" t="str">
        <f aca="false">IF(T85="","",IF(S85&gt;T85,"BUY","SELL"))</f>
        <v>BUY</v>
      </c>
      <c r="Y85" s="34" t="n">
        <f aca="false">IF(OR(V85="",W85="",X85=""),"",IFERROR(IF(V85="BUY",1,IF(V85="SELL",-1,0))+IF(W85="BUY",1,IF(W85="SELL",-1,0))+IF(X85="BUY",1,IF(X85="SELL",-1,0)),0))</f>
        <v>2</v>
      </c>
      <c r="Z85" s="32" t="str">
        <f aca="false">IF(Y85="","",IF(Y85&gt;=2,"STRONG BUY",IF(Y85=1,"BUY",IF(Y85=0,"HOLD",IF(Y85=-1,"SELL","STRONG SELL")))))</f>
        <v>STRONG BUY</v>
      </c>
    </row>
    <row r="86" customFormat="false" ht="15" hidden="false" customHeight="false" outlineLevel="0" collapsed="false">
      <c r="A86" s="24" t="n">
        <v>45888</v>
      </c>
      <c r="B86" s="25" t="n">
        <v>216.6</v>
      </c>
      <c r="C86" s="25" t="n">
        <v>217.2</v>
      </c>
      <c r="D86" s="25" t="n">
        <v>216.6</v>
      </c>
      <c r="E86" s="25" t="n">
        <v>216.9</v>
      </c>
      <c r="F86" s="26" t="n">
        <v>5448613</v>
      </c>
      <c r="G86" s="27" t="n">
        <f aca="false">E86-E85</f>
        <v>0.960000000000008</v>
      </c>
      <c r="H86" s="28" t="n">
        <f aca="false">G86/E85</f>
        <v>0.00444567935537653</v>
      </c>
      <c r="I86" s="29" t="n">
        <f aca="false">MAX(G86,0)</f>
        <v>0.960000000000008</v>
      </c>
      <c r="J86" s="29" t="n">
        <f aca="false">MAX(-G86,0)</f>
        <v>0</v>
      </c>
      <c r="K86" s="29" t="n">
        <f aca="false">(K85*13+I86)/14</f>
        <v>1.02105995578167</v>
      </c>
      <c r="L86" s="29" t="n">
        <f aca="false">(L85*13+J86)/14</f>
        <v>0.837583657412867</v>
      </c>
      <c r="M86" s="31" t="n">
        <f aca="false">IF(L86=0,100,100-100/(1+K86/MAX(L86,0.000001)))</f>
        <v>54.9357579114765</v>
      </c>
      <c r="N86" s="30" t="n">
        <f aca="false">AVERAGE(E67:E86)</f>
        <v>214.2995</v>
      </c>
      <c r="O86" s="30" t="n">
        <f aca="false">AVERAGE(E37:E86)</f>
        <v>211.9556</v>
      </c>
      <c r="Q86" s="30" t="n">
        <f aca="false">Q85+(2/13)*(E86-Q85)</f>
        <v>216.520782352042</v>
      </c>
      <c r="R86" s="30" t="n">
        <f aca="false">R85+(2/27)*(E86-R85)</f>
        <v>214.590707074918</v>
      </c>
      <c r="S86" s="33" t="n">
        <f aca="false">Q86-R86</f>
        <v>1.93007527712396</v>
      </c>
      <c r="T86" s="33" t="n">
        <f aca="false">T85+(2/10)*(S86-T85)</f>
        <v>1.6657089498353</v>
      </c>
      <c r="U86" s="33" t="n">
        <f aca="false">S86-T86</f>
        <v>0.264366327288657</v>
      </c>
      <c r="V86" s="32" t="str">
        <f aca="false">IF(M86="","",IF(M86&lt;Assumptions!$B$5,"BUY",IF(M86&gt;Assumptions!$B$4,"SELL","HOLD")))</f>
        <v>HOLD</v>
      </c>
      <c r="W86" s="32" t="str">
        <f aca="false">IF(O86="","",IF(E86&gt;O86,"BUY","SELL"))</f>
        <v>BUY</v>
      </c>
      <c r="X86" s="32" t="str">
        <f aca="false">IF(T86="","",IF(S86&gt;T86,"BUY","SELL"))</f>
        <v>BUY</v>
      </c>
      <c r="Y86" s="34" t="n">
        <f aca="false">IF(OR(V86="",W86="",X86=""),"",IFERROR(IF(V86="BUY",1,IF(V86="SELL",-1,0))+IF(W86="BUY",1,IF(W86="SELL",-1,0))+IF(X86="BUY",1,IF(X86="SELL",-1,0)),0))</f>
        <v>2</v>
      </c>
      <c r="Z86" s="32" t="str">
        <f aca="false">IF(Y86="","",IF(Y86&gt;=2,"STRONG BUY",IF(Y86=1,"BUY",IF(Y86=0,"HOLD",IF(Y86=-1,"SELL","STRONG SELL")))))</f>
        <v>STRONG BUY</v>
      </c>
    </row>
    <row r="87" customFormat="false" ht="15" hidden="false" customHeight="false" outlineLevel="0" collapsed="false">
      <c r="A87" s="24" t="n">
        <v>45889</v>
      </c>
      <c r="B87" s="25" t="n">
        <v>218.69</v>
      </c>
      <c r="C87" s="25" t="n">
        <v>218.69</v>
      </c>
      <c r="D87" s="25" t="n">
        <v>216.03</v>
      </c>
      <c r="E87" s="25" t="n">
        <v>217.36</v>
      </c>
      <c r="F87" s="26" t="n">
        <v>10783021</v>
      </c>
      <c r="G87" s="27" t="n">
        <f aca="false">E87-E86</f>
        <v>0.460000000000008</v>
      </c>
      <c r="H87" s="28" t="n">
        <f aca="false">G87/E86</f>
        <v>0.00212079299216232</v>
      </c>
      <c r="I87" s="29" t="n">
        <f aca="false">MAX(G87,0)</f>
        <v>0.460000000000008</v>
      </c>
      <c r="J87" s="29" t="n">
        <f aca="false">MAX(-G87,0)</f>
        <v>0</v>
      </c>
      <c r="K87" s="29" t="n">
        <f aca="false">(K86*13+I87)/14</f>
        <v>0.980984244654407</v>
      </c>
      <c r="L87" s="29" t="n">
        <f aca="false">(L86*13+J87)/14</f>
        <v>0.777756253311948</v>
      </c>
      <c r="M87" s="31" t="n">
        <f aca="false">IF(L87=0,100,100-100/(1+K87/MAX(L87,0.000001)))</f>
        <v>55.7776571238751</v>
      </c>
      <c r="N87" s="30" t="n">
        <f aca="false">AVERAGE(E68:E87)</f>
        <v>214.695</v>
      </c>
      <c r="O87" s="30" t="n">
        <f aca="false">AVERAGE(E38:E87)</f>
        <v>212.0602</v>
      </c>
      <c r="Q87" s="30" t="n">
        <f aca="false">Q86+(2/13)*(E87-Q86)</f>
        <v>216.64989275942</v>
      </c>
      <c r="R87" s="30" t="n">
        <f aca="false">R86+(2/27)*(E87-R86)</f>
        <v>214.795839884183</v>
      </c>
      <c r="S87" s="33" t="n">
        <f aca="false">Q87-R87</f>
        <v>1.85405287523679</v>
      </c>
      <c r="T87" s="33" t="n">
        <f aca="false">T86+(2/10)*(S87-T86)</f>
        <v>1.7033777349156</v>
      </c>
      <c r="U87" s="33" t="n">
        <f aca="false">S87-T87</f>
        <v>0.150675140321187</v>
      </c>
      <c r="V87" s="32" t="str">
        <f aca="false">IF(M87="","",IF(M87&lt;Assumptions!$B$5,"BUY",IF(M87&gt;Assumptions!$B$4,"SELL","HOLD")))</f>
        <v>HOLD</v>
      </c>
      <c r="W87" s="32" t="str">
        <f aca="false">IF(O87="","",IF(E87&gt;O87,"BUY","SELL"))</f>
        <v>BUY</v>
      </c>
      <c r="X87" s="32" t="str">
        <f aca="false">IF(T87="","",IF(S87&gt;T87,"BUY","SELL"))</f>
        <v>BUY</v>
      </c>
      <c r="Y87" s="34" t="n">
        <f aca="false">IF(OR(V87="",W87="",X87=""),"",IFERROR(IF(V87="BUY",1,IF(V87="SELL",-1,0))+IF(W87="BUY",1,IF(W87="SELL",-1,0))+IF(X87="BUY",1,IF(X87="SELL",-1,0)),0))</f>
        <v>2</v>
      </c>
      <c r="Z87" s="32" t="str">
        <f aca="false">IF(Y87="","",IF(Y87&gt;=2,"STRONG BUY",IF(Y87=1,"BUY",IF(Y87=0,"HOLD",IF(Y87=-1,"SELL","STRONG SELL")))))</f>
        <v>STRONG BUY</v>
      </c>
    </row>
    <row r="88" customFormat="false" ht="15" hidden="false" customHeight="false" outlineLevel="0" collapsed="false">
      <c r="A88" s="24" t="n">
        <v>45890</v>
      </c>
      <c r="B88" s="25" t="n">
        <v>216.81</v>
      </c>
      <c r="C88" s="25" t="n">
        <v>216.81</v>
      </c>
      <c r="D88" s="25" t="n">
        <v>216.03</v>
      </c>
      <c r="E88" s="25" t="n">
        <v>216.42</v>
      </c>
      <c r="F88" s="26" t="n">
        <v>8879710</v>
      </c>
      <c r="G88" s="27" t="n">
        <f aca="false">E88-E87</f>
        <v>-0.940000000000026</v>
      </c>
      <c r="H88" s="28" t="n">
        <f aca="false">G88/E87</f>
        <v>-0.0043246227456755</v>
      </c>
      <c r="I88" s="29" t="n">
        <f aca="false">MAX(G88,0)</f>
        <v>0</v>
      </c>
      <c r="J88" s="29" t="n">
        <f aca="false">MAX(-G88,0)</f>
        <v>0.940000000000026</v>
      </c>
      <c r="K88" s="29" t="n">
        <f aca="false">(K87*13+I88)/14</f>
        <v>0.910913941464807</v>
      </c>
      <c r="L88" s="29" t="n">
        <f aca="false">(L87*13+J88)/14</f>
        <v>0.789345092361096</v>
      </c>
      <c r="M88" s="31" t="n">
        <f aca="false">IF(L88=0,100,100-100/(1+K88/MAX(L88,0.000001)))</f>
        <v>53.5750096510341</v>
      </c>
      <c r="N88" s="30" t="n">
        <f aca="false">AVERAGE(E69:E88)</f>
        <v>215.011</v>
      </c>
      <c r="O88" s="30" t="n">
        <f aca="false">AVERAGE(E39:E88)</f>
        <v>212.1284</v>
      </c>
      <c r="Q88" s="30" t="n">
        <f aca="false">Q87+(2/13)*(E88-Q87)</f>
        <v>216.614524642586</v>
      </c>
      <c r="R88" s="30" t="n">
        <f aca="false">R87+(2/27)*(E88-R87)</f>
        <v>214.91614804091</v>
      </c>
      <c r="S88" s="33" t="n">
        <f aca="false">Q88-R88</f>
        <v>1.69837660167576</v>
      </c>
      <c r="T88" s="33" t="n">
        <f aca="false">T87+(2/10)*(S88-T87)</f>
        <v>1.70237750826763</v>
      </c>
      <c r="U88" s="33" t="n">
        <f aca="false">S88-T88</f>
        <v>-0.00400090659187224</v>
      </c>
      <c r="V88" s="32" t="str">
        <f aca="false">IF(M88="","",IF(M88&lt;Assumptions!$B$5,"BUY",IF(M88&gt;Assumptions!$B$4,"SELL","HOLD")))</f>
        <v>HOLD</v>
      </c>
      <c r="W88" s="32" t="str">
        <f aca="false">IF(O88="","",IF(E88&gt;O88,"BUY","SELL"))</f>
        <v>BUY</v>
      </c>
      <c r="X88" s="32" t="str">
        <f aca="false">IF(T88="","",IF(S88&gt;T88,"BUY","SELL"))</f>
        <v>SELL</v>
      </c>
      <c r="Y88" s="34" t="n">
        <f aca="false">IF(OR(V88="",W88="",X88=""),"",IFERROR(IF(V88="BUY",1,IF(V88="SELL",-1,0))+IF(W88="BUY",1,IF(W88="SELL",-1,0))+IF(X88="BUY",1,IF(X88="SELL",-1,0)),0))</f>
        <v>0</v>
      </c>
      <c r="Z88" s="32" t="str">
        <f aca="false">IF(Y88="","",IF(Y88&gt;=2,"STRONG BUY",IF(Y88=1,"BUY",IF(Y88=0,"HOLD",IF(Y88=-1,"SELL","STRONG SELL")))))</f>
        <v>HOLD</v>
      </c>
    </row>
    <row r="89" customFormat="false" ht="15" hidden="false" customHeight="false" outlineLevel="0" collapsed="false">
      <c r="A89" s="24" t="n">
        <v>45891</v>
      </c>
      <c r="B89" s="25" t="n">
        <v>220.96</v>
      </c>
      <c r="C89" s="25" t="n">
        <v>221.21</v>
      </c>
      <c r="D89" s="25" t="n">
        <v>220.51</v>
      </c>
      <c r="E89" s="25" t="n">
        <v>220.86</v>
      </c>
      <c r="F89" s="26" t="n">
        <v>7059576</v>
      </c>
      <c r="G89" s="27" t="n">
        <f aca="false">E89-E88</f>
        <v>4.44000000000003</v>
      </c>
      <c r="H89" s="28" t="n">
        <f aca="false">G89/E88</f>
        <v>0.0205156639866927</v>
      </c>
      <c r="I89" s="29" t="n">
        <f aca="false">MAX(G89,0)</f>
        <v>4.44000000000003</v>
      </c>
      <c r="J89" s="29" t="n">
        <f aca="false">MAX(-G89,0)</f>
        <v>0</v>
      </c>
      <c r="K89" s="29" t="n">
        <f aca="false">(K88*13+I89)/14</f>
        <v>1.16299151707447</v>
      </c>
      <c r="L89" s="29" t="n">
        <f aca="false">(L88*13+J89)/14</f>
        <v>0.732963300049589</v>
      </c>
      <c r="M89" s="31" t="n">
        <f aca="false">IF(L89=0,100,100-100/(1+K89/MAX(L89,0.000001)))</f>
        <v>61.3406768225938</v>
      </c>
      <c r="N89" s="30" t="n">
        <f aca="false">AVERAGE(E70:E89)</f>
        <v>215.637</v>
      </c>
      <c r="O89" s="30" t="n">
        <f aca="false">AVERAGE(E40:E89)</f>
        <v>212.2572</v>
      </c>
      <c r="Q89" s="30" t="n">
        <f aca="false">Q88+(2/13)*(E89-Q88)</f>
        <v>217.267674697573</v>
      </c>
      <c r="R89" s="30" t="n">
        <f aca="false">R88+(2/27)*(E89-R88)</f>
        <v>215.356433371213</v>
      </c>
      <c r="S89" s="33" t="n">
        <f aca="false">Q89-R89</f>
        <v>1.91124132635954</v>
      </c>
      <c r="T89" s="33" t="n">
        <f aca="false">T88+(2/10)*(S89-T88)</f>
        <v>1.74415027188602</v>
      </c>
      <c r="U89" s="33" t="n">
        <f aca="false">S89-T89</f>
        <v>0.167091054473528</v>
      </c>
      <c r="V89" s="32" t="str">
        <f aca="false">IF(M89="","",IF(M89&lt;Assumptions!$B$5,"BUY",IF(M89&gt;Assumptions!$B$4,"SELL","HOLD")))</f>
        <v>HOLD</v>
      </c>
      <c r="W89" s="32" t="str">
        <f aca="false">IF(O89="","",IF(E89&gt;O89,"BUY","SELL"))</f>
        <v>BUY</v>
      </c>
      <c r="X89" s="32" t="str">
        <f aca="false">IF(T89="","",IF(S89&gt;T89,"BUY","SELL"))</f>
        <v>BUY</v>
      </c>
      <c r="Y89" s="34" t="n">
        <f aca="false">IF(OR(V89="",W89="",X89=""),"",IFERROR(IF(V89="BUY",1,IF(V89="SELL",-1,0))+IF(W89="BUY",1,IF(W89="SELL",-1,0))+IF(X89="BUY",1,IF(X89="SELL",-1,0)),0))</f>
        <v>2</v>
      </c>
      <c r="Z89" s="32" t="str">
        <f aca="false">IF(Y89="","",IF(Y89&gt;=2,"STRONG BUY",IF(Y89=1,"BUY",IF(Y89=0,"HOLD",IF(Y89=-1,"SELL","STRONG SELL")))))</f>
        <v>STRONG BUY</v>
      </c>
    </row>
    <row r="90" customFormat="false" ht="15" hidden="false" customHeight="false" outlineLevel="0" collapsed="false">
      <c r="A90" s="24" t="n">
        <v>45894</v>
      </c>
      <c r="B90" s="25" t="n">
        <v>222.08</v>
      </c>
      <c r="C90" s="25" t="n">
        <v>225.78</v>
      </c>
      <c r="D90" s="25" t="n">
        <v>219.88</v>
      </c>
      <c r="E90" s="25" t="n">
        <v>222.83</v>
      </c>
      <c r="F90" s="26" t="n">
        <v>5678781</v>
      </c>
      <c r="G90" s="27" t="n">
        <f aca="false">E90-E89</f>
        <v>1.97</v>
      </c>
      <c r="H90" s="28" t="n">
        <f aca="false">G90/E89</f>
        <v>0.0089196776238341</v>
      </c>
      <c r="I90" s="29" t="n">
        <f aca="false">MAX(G90,0)</f>
        <v>1.97</v>
      </c>
      <c r="J90" s="29" t="n">
        <f aca="false">MAX(-G90,0)</f>
        <v>0</v>
      </c>
      <c r="K90" s="29" t="n">
        <f aca="false">(K89*13+I90)/14</f>
        <v>1.22063498014057</v>
      </c>
      <c r="L90" s="29" t="n">
        <f aca="false">(L89*13+J90)/14</f>
        <v>0.680608778617476</v>
      </c>
      <c r="M90" s="31" t="n">
        <f aca="false">IF(L90=0,100,100-100/(1+K90/MAX(L90,0.000001)))</f>
        <v>64.2019191130931</v>
      </c>
      <c r="N90" s="30" t="n">
        <f aca="false">AVERAGE(E71:E90)</f>
        <v>216.208</v>
      </c>
      <c r="O90" s="30" t="n">
        <f aca="false">AVERAGE(E41:E90)</f>
        <v>212.4596</v>
      </c>
      <c r="Q90" s="30" t="n">
        <f aca="false">Q89+(2/13)*(E90-Q89)</f>
        <v>218.123417051793</v>
      </c>
      <c r="R90" s="30" t="n">
        <f aca="false">R89+(2/27)*(E90-R89)</f>
        <v>215.910030899272</v>
      </c>
      <c r="S90" s="33" t="n">
        <f aca="false">Q90-R90</f>
        <v>2.21338615252083</v>
      </c>
      <c r="T90" s="33" t="n">
        <f aca="false">T89+(2/10)*(S90-T89)</f>
        <v>1.83799744801298</v>
      </c>
      <c r="U90" s="33" t="n">
        <f aca="false">S90-T90</f>
        <v>0.375388704507848</v>
      </c>
      <c r="V90" s="32" t="str">
        <f aca="false">IF(M90="","",IF(M90&lt;Assumptions!$B$5,"BUY",IF(M90&gt;Assumptions!$B$4,"SELL","HOLD")))</f>
        <v>HOLD</v>
      </c>
      <c r="W90" s="32" t="str">
        <f aca="false">IF(O90="","",IF(E90&gt;O90,"BUY","SELL"))</f>
        <v>BUY</v>
      </c>
      <c r="X90" s="32" t="str">
        <f aca="false">IF(T90="","",IF(S90&gt;T90,"BUY","SELL"))</f>
        <v>BUY</v>
      </c>
      <c r="Y90" s="34" t="n">
        <f aca="false">IF(OR(V90="",W90="",X90=""),"",IFERROR(IF(V90="BUY",1,IF(V90="SELL",-1,0))+IF(W90="BUY",1,IF(W90="SELL",-1,0))+IF(X90="BUY",1,IF(X90="SELL",-1,0)),0))</f>
        <v>2</v>
      </c>
      <c r="Z90" s="32" t="str">
        <f aca="false">IF(Y90="","",IF(Y90&gt;=2,"STRONG BUY",IF(Y90=1,"BUY",IF(Y90=0,"HOLD",IF(Y90=-1,"SELL","STRONG SELL")))))</f>
        <v>STRONG BUY</v>
      </c>
    </row>
    <row r="91" customFormat="false" ht="15" hidden="false" customHeight="false" outlineLevel="0" collapsed="false">
      <c r="A91" s="24" t="n">
        <v>45895</v>
      </c>
      <c r="B91" s="25" t="n">
        <v>221.27</v>
      </c>
      <c r="C91" s="25" t="n">
        <v>222.34</v>
      </c>
      <c r="D91" s="25" t="n">
        <v>221.06</v>
      </c>
      <c r="E91" s="25" t="n">
        <v>221.7</v>
      </c>
      <c r="F91" s="26" t="n">
        <v>2960696</v>
      </c>
      <c r="G91" s="27" t="n">
        <f aca="false">E91-E90</f>
        <v>-1.13000000000002</v>
      </c>
      <c r="H91" s="28" t="n">
        <f aca="false">G91/E90</f>
        <v>-0.00507113045819694</v>
      </c>
      <c r="I91" s="29" t="n">
        <f aca="false">MAX(G91,0)</f>
        <v>0</v>
      </c>
      <c r="J91" s="29" t="n">
        <f aca="false">MAX(-G91,0)</f>
        <v>1.13000000000002</v>
      </c>
      <c r="K91" s="29" t="n">
        <f aca="false">(K90*13+I91)/14</f>
        <v>1.13344676727339</v>
      </c>
      <c r="L91" s="29" t="n">
        <f aca="false">(L90*13+J91)/14</f>
        <v>0.712708151573372</v>
      </c>
      <c r="M91" s="31" t="n">
        <f aca="false">IF(L91=0,100,100-100/(1+K91/MAX(L91,0.000001)))</f>
        <v>61.3949975542367</v>
      </c>
      <c r="N91" s="30" t="n">
        <f aca="false">AVERAGE(E72:E91)</f>
        <v>216.6885</v>
      </c>
      <c r="O91" s="30" t="n">
        <f aca="false">AVERAGE(E42:E91)</f>
        <v>212.614</v>
      </c>
      <c r="Q91" s="30" t="n">
        <f aca="false">Q90+(2/13)*(E91-Q90)</f>
        <v>218.673660582286</v>
      </c>
      <c r="R91" s="30" t="n">
        <f aca="false">R90+(2/27)*(E91-R90)</f>
        <v>216.338917499326</v>
      </c>
      <c r="S91" s="33" t="n">
        <f aca="false">Q91-R91</f>
        <v>2.33474308296033</v>
      </c>
      <c r="T91" s="33" t="n">
        <f aca="false">T90+(2/10)*(S91-T90)</f>
        <v>1.93734657500245</v>
      </c>
      <c r="U91" s="33" t="n">
        <f aca="false">S91-T91</f>
        <v>0.397396507957881</v>
      </c>
      <c r="V91" s="32" t="str">
        <f aca="false">IF(M91="","",IF(M91&lt;Assumptions!$B$5,"BUY",IF(M91&gt;Assumptions!$B$4,"SELL","HOLD")))</f>
        <v>HOLD</v>
      </c>
      <c r="W91" s="32" t="str">
        <f aca="false">IF(O91="","",IF(E91&gt;O91,"BUY","SELL"))</f>
        <v>BUY</v>
      </c>
      <c r="X91" s="32" t="str">
        <f aca="false">IF(T91="","",IF(S91&gt;T91,"BUY","SELL"))</f>
        <v>BUY</v>
      </c>
      <c r="Y91" s="34" t="n">
        <f aca="false">IF(OR(V91="",W91="",X91=""),"",IFERROR(IF(V91="BUY",1,IF(V91="SELL",-1,0))+IF(W91="BUY",1,IF(W91="SELL",-1,0))+IF(X91="BUY",1,IF(X91="SELL",-1,0)),0))</f>
        <v>2</v>
      </c>
      <c r="Z91" s="32" t="str">
        <f aca="false">IF(Y91="","",IF(Y91&gt;=2,"STRONG BUY",IF(Y91=1,"BUY",IF(Y91=0,"HOLD",IF(Y91=-1,"SELL","STRONG SELL")))))</f>
        <v>STRONG BUY</v>
      </c>
    </row>
    <row r="92" customFormat="false" ht="15" hidden="false" customHeight="false" outlineLevel="0" collapsed="false">
      <c r="A92" s="24" t="n">
        <v>45896</v>
      </c>
      <c r="B92" s="25" t="n">
        <v>223.68</v>
      </c>
      <c r="C92" s="25" t="n">
        <v>223.68</v>
      </c>
      <c r="D92" s="25" t="n">
        <v>223.6</v>
      </c>
      <c r="E92" s="25" t="n">
        <v>223.64</v>
      </c>
      <c r="F92" s="26" t="n">
        <v>10154040</v>
      </c>
      <c r="G92" s="27" t="n">
        <f aca="false">E92-E91</f>
        <v>1.94</v>
      </c>
      <c r="H92" s="28" t="n">
        <f aca="false">G92/E91</f>
        <v>0.00875056382498871</v>
      </c>
      <c r="I92" s="29" t="n">
        <f aca="false">MAX(G92,0)</f>
        <v>1.94</v>
      </c>
      <c r="J92" s="29" t="n">
        <f aca="false">MAX(-G92,0)</f>
        <v>0</v>
      </c>
      <c r="K92" s="29" t="n">
        <f aca="false">(K91*13+I92)/14</f>
        <v>1.19105771246815</v>
      </c>
      <c r="L92" s="29" t="n">
        <f aca="false">(L91*13+J92)/14</f>
        <v>0.661800426460988</v>
      </c>
      <c r="M92" s="31" t="n">
        <f aca="false">IF(L92=0,100,100-100/(1+K92/MAX(L92,0.000001)))</f>
        <v>64.2821858535011</v>
      </c>
      <c r="N92" s="30" t="n">
        <f aca="false">AVERAGE(E73:E92)</f>
        <v>217.349</v>
      </c>
      <c r="O92" s="30" t="n">
        <f aca="false">AVERAGE(E43:E92)</f>
        <v>212.8754</v>
      </c>
      <c r="Q92" s="30" t="n">
        <f aca="false">Q91+(2/13)*(E92-Q91)</f>
        <v>219.437712800396</v>
      </c>
      <c r="R92" s="30" t="n">
        <f aca="false">R91+(2/27)*(E92-R91)</f>
        <v>216.879738425302</v>
      </c>
      <c r="S92" s="33" t="n">
        <f aca="false">Q92-R92</f>
        <v>2.55797437509429</v>
      </c>
      <c r="T92" s="33" t="n">
        <f aca="false">T91+(2/10)*(S92-T91)</f>
        <v>2.06147213502082</v>
      </c>
      <c r="U92" s="33" t="n">
        <f aca="false">S92-T92</f>
        <v>0.496502240073473</v>
      </c>
      <c r="V92" s="32" t="str">
        <f aca="false">IF(M92="","",IF(M92&lt;Assumptions!$B$5,"BUY",IF(M92&gt;Assumptions!$B$4,"SELL","HOLD")))</f>
        <v>HOLD</v>
      </c>
      <c r="W92" s="32" t="str">
        <f aca="false">IF(O92="","",IF(E92&gt;O92,"BUY","SELL"))</f>
        <v>BUY</v>
      </c>
      <c r="X92" s="32" t="str">
        <f aca="false">IF(T92="","",IF(S92&gt;T92,"BUY","SELL"))</f>
        <v>BUY</v>
      </c>
      <c r="Y92" s="34" t="n">
        <f aca="false">IF(OR(V92="",W92="",X92=""),"",IFERROR(IF(V92="BUY",1,IF(V92="SELL",-1,0))+IF(W92="BUY",1,IF(W92="SELL",-1,0))+IF(X92="BUY",1,IF(X92="SELL",-1,0)),0))</f>
        <v>2</v>
      </c>
      <c r="Z92" s="32" t="str">
        <f aca="false">IF(Y92="","",IF(Y92&gt;=2,"STRONG BUY",IF(Y92=1,"BUY",IF(Y92=0,"HOLD",IF(Y92=-1,"SELL","STRONG SELL")))))</f>
        <v>STRONG BUY</v>
      </c>
    </row>
    <row r="93" customFormat="false" ht="15" hidden="false" customHeight="false" outlineLevel="0" collapsed="false">
      <c r="A93" s="24" t="n">
        <v>45897</v>
      </c>
      <c r="B93" s="25" t="n">
        <v>223.7</v>
      </c>
      <c r="C93" s="25" t="n">
        <v>223.7</v>
      </c>
      <c r="D93" s="25" t="n">
        <v>222.72</v>
      </c>
      <c r="E93" s="25" t="n">
        <v>223.21</v>
      </c>
      <c r="F93" s="26" t="n">
        <v>5571281</v>
      </c>
      <c r="G93" s="27" t="n">
        <f aca="false">E93-E92</f>
        <v>-0.429999999999978</v>
      </c>
      <c r="H93" s="28" t="n">
        <f aca="false">G93/E92</f>
        <v>-0.00192273296369155</v>
      </c>
      <c r="I93" s="29" t="n">
        <f aca="false">MAX(G93,0)</f>
        <v>0</v>
      </c>
      <c r="J93" s="29" t="n">
        <f aca="false">MAX(-G93,0)</f>
        <v>0.429999999999978</v>
      </c>
      <c r="K93" s="29" t="n">
        <f aca="false">(K92*13+I93)/14</f>
        <v>1.10598216157757</v>
      </c>
      <c r="L93" s="29" t="n">
        <f aca="false">(L92*13+J93)/14</f>
        <v>0.645243253142345</v>
      </c>
      <c r="M93" s="31" t="n">
        <f aca="false">IF(L93=0,100,100-100/(1+K93/MAX(L93,0.000001)))</f>
        <v>63.1547573648282</v>
      </c>
      <c r="N93" s="30" t="n">
        <f aca="false">AVERAGE(E74:E93)</f>
        <v>217.9955</v>
      </c>
      <c r="O93" s="30" t="n">
        <f aca="false">AVERAGE(E44:E93)</f>
        <v>213.15</v>
      </c>
      <c r="Q93" s="30" t="n">
        <f aca="false">Q92+(2/13)*(E93-Q92)</f>
        <v>220.018064677258</v>
      </c>
      <c r="R93" s="30" t="n">
        <f aca="false">R92+(2/27)*(E93-R92)</f>
        <v>217.348646690094</v>
      </c>
      <c r="S93" s="33" t="n">
        <f aca="false">Q93-R93</f>
        <v>2.669417987164</v>
      </c>
      <c r="T93" s="33" t="n">
        <f aca="false">T92+(2/10)*(S93-T92)</f>
        <v>2.18306130544945</v>
      </c>
      <c r="U93" s="33" t="n">
        <f aca="false">S93-T93</f>
        <v>0.486356681714544</v>
      </c>
      <c r="V93" s="32" t="str">
        <f aca="false">IF(M93="","",IF(M93&lt;Assumptions!$B$5,"BUY",IF(M93&gt;Assumptions!$B$4,"SELL","HOLD")))</f>
        <v>HOLD</v>
      </c>
      <c r="W93" s="32" t="str">
        <f aca="false">IF(O93="","",IF(E93&gt;O93,"BUY","SELL"))</f>
        <v>BUY</v>
      </c>
      <c r="X93" s="32" t="str">
        <f aca="false">IF(T93="","",IF(S93&gt;T93,"BUY","SELL"))</f>
        <v>BUY</v>
      </c>
      <c r="Y93" s="34" t="n">
        <f aca="false">IF(OR(V93="",W93="",X93=""),"",IFERROR(IF(V93="BUY",1,IF(V93="SELL",-1,0))+IF(W93="BUY",1,IF(W93="SELL",-1,0))+IF(X93="BUY",1,IF(X93="SELL",-1,0)),0))</f>
        <v>2</v>
      </c>
      <c r="Z93" s="32" t="str">
        <f aca="false">IF(Y93="","",IF(Y93&gt;=2,"STRONG BUY",IF(Y93=1,"BUY",IF(Y93=0,"HOLD",IF(Y93=-1,"SELL","STRONG SELL")))))</f>
        <v>STRONG BUY</v>
      </c>
    </row>
    <row r="94" customFormat="false" ht="15" hidden="false" customHeight="false" outlineLevel="0" collapsed="false">
      <c r="A94" s="24" t="n">
        <v>45898</v>
      </c>
      <c r="B94" s="25" t="n">
        <v>222.79</v>
      </c>
      <c r="C94" s="25" t="n">
        <v>223.72</v>
      </c>
      <c r="D94" s="25" t="n">
        <v>220.22</v>
      </c>
      <c r="E94" s="25" t="n">
        <v>221.97</v>
      </c>
      <c r="F94" s="26" t="n">
        <v>6220946</v>
      </c>
      <c r="G94" s="27" t="n">
        <f aca="false">E94-E93</f>
        <v>-1.24000000000001</v>
      </c>
      <c r="H94" s="28" t="n">
        <f aca="false">G94/E93</f>
        <v>-0.00555530666188795</v>
      </c>
      <c r="I94" s="29" t="n">
        <f aca="false">MAX(G94,0)</f>
        <v>0</v>
      </c>
      <c r="J94" s="29" t="n">
        <f aca="false">MAX(-G94,0)</f>
        <v>1.24000000000001</v>
      </c>
      <c r="K94" s="29" t="n">
        <f aca="false">(K93*13+I94)/14</f>
        <v>1.0269834357506</v>
      </c>
      <c r="L94" s="29" t="n">
        <f aca="false">(L93*13+J94)/14</f>
        <v>0.687725877917892</v>
      </c>
      <c r="M94" s="31" t="n">
        <f aca="false">IF(L94=0,100,100-100/(1+K94/MAX(L94,0.000001)))</f>
        <v>59.8925676535485</v>
      </c>
      <c r="N94" s="30" t="n">
        <f aca="false">AVERAGE(E75:E94)</f>
        <v>218.5635</v>
      </c>
      <c r="O94" s="30" t="n">
        <f aca="false">AVERAGE(E45:E94)</f>
        <v>213.4066</v>
      </c>
      <c r="Q94" s="30" t="n">
        <f aca="false">Q93+(2/13)*(E94-Q93)</f>
        <v>220.318362419218</v>
      </c>
      <c r="R94" s="30" t="n">
        <f aca="false">R93+(2/27)*(E94-R93)</f>
        <v>217.690969157494</v>
      </c>
      <c r="S94" s="33" t="n">
        <f aca="false">Q94-R94</f>
        <v>2.62739326172388</v>
      </c>
      <c r="T94" s="33" t="n">
        <f aca="false">T93+(2/10)*(S94-T93)</f>
        <v>2.27192769670434</v>
      </c>
      <c r="U94" s="33" t="n">
        <f aca="false">S94-T94</f>
        <v>0.355465565019543</v>
      </c>
      <c r="V94" s="32" t="str">
        <f aca="false">IF(M94="","",IF(M94&lt;Assumptions!$B$5,"BUY",IF(M94&gt;Assumptions!$B$4,"SELL","HOLD")))</f>
        <v>HOLD</v>
      </c>
      <c r="W94" s="32" t="str">
        <f aca="false">IF(O94="","",IF(E94&gt;O94,"BUY","SELL"))</f>
        <v>BUY</v>
      </c>
      <c r="X94" s="32" t="str">
        <f aca="false">IF(T94="","",IF(S94&gt;T94,"BUY","SELL"))</f>
        <v>BUY</v>
      </c>
      <c r="Y94" s="34" t="n">
        <f aca="false">IF(OR(V94="",W94="",X94=""),"",IFERROR(IF(V94="BUY",1,IF(V94="SELL",-1,0))+IF(W94="BUY",1,IF(W94="SELL",-1,0))+IF(X94="BUY",1,IF(X94="SELL",-1,0)),0))</f>
        <v>2</v>
      </c>
      <c r="Z94" s="32" t="str">
        <f aca="false">IF(Y94="","",IF(Y94&gt;=2,"STRONG BUY",IF(Y94=1,"BUY",IF(Y94=0,"HOLD",IF(Y94=-1,"SELL","STRONG SELL")))))</f>
        <v>STRONG BUY</v>
      </c>
    </row>
    <row r="95" customFormat="false" ht="15" hidden="false" customHeight="false" outlineLevel="0" collapsed="false">
      <c r="A95" s="24" t="n">
        <v>45901</v>
      </c>
      <c r="B95" s="25" t="n">
        <v>220.83</v>
      </c>
      <c r="C95" s="25" t="n">
        <v>221.17</v>
      </c>
      <c r="D95" s="25" t="n">
        <v>220.83</v>
      </c>
      <c r="E95" s="25" t="n">
        <v>221</v>
      </c>
      <c r="F95" s="26" t="n">
        <v>7653048</v>
      </c>
      <c r="G95" s="27" t="n">
        <f aca="false">E95-E94</f>
        <v>-0.969999999999999</v>
      </c>
      <c r="H95" s="28" t="n">
        <f aca="false">G95/E94</f>
        <v>-0.00436995990449159</v>
      </c>
      <c r="I95" s="29" t="n">
        <f aca="false">MAX(G95,0)</f>
        <v>0</v>
      </c>
      <c r="J95" s="29" t="n">
        <f aca="false">MAX(-G95,0)</f>
        <v>0.969999999999999</v>
      </c>
      <c r="K95" s="29" t="n">
        <f aca="false">(K94*13+I95)/14</f>
        <v>0.953627476054126</v>
      </c>
      <c r="L95" s="29" t="n">
        <f aca="false">(L94*13+J95)/14</f>
        <v>0.707888315209471</v>
      </c>
      <c r="M95" s="31" t="n">
        <f aca="false">IF(L95=0,100,100-100/(1+K95/MAX(L95,0.000001)))</f>
        <v>57.3950293502106</v>
      </c>
      <c r="N95" s="30" t="n">
        <f aca="false">AVERAGE(E76:E95)</f>
        <v>219.0545</v>
      </c>
      <c r="O95" s="30" t="n">
        <f aca="false">AVERAGE(E46:E95)</f>
        <v>213.6696</v>
      </c>
      <c r="Q95" s="30" t="n">
        <f aca="false">Q94+(2/13)*(E95-Q94)</f>
        <v>220.423229739339</v>
      </c>
      <c r="R95" s="30" t="n">
        <f aca="false">R94+(2/27)*(E95-R94)</f>
        <v>217.936082553236</v>
      </c>
      <c r="S95" s="33" t="n">
        <f aca="false">Q95-R95</f>
        <v>2.48714718610299</v>
      </c>
      <c r="T95" s="33" t="n">
        <f aca="false">T94+(2/10)*(S95-T94)</f>
        <v>2.31497159458407</v>
      </c>
      <c r="U95" s="33" t="n">
        <f aca="false">S95-T95</f>
        <v>0.172175591518919</v>
      </c>
      <c r="V95" s="32" t="str">
        <f aca="false">IF(M95="","",IF(M95&lt;Assumptions!$B$5,"BUY",IF(M95&gt;Assumptions!$B$4,"SELL","HOLD")))</f>
        <v>HOLD</v>
      </c>
      <c r="W95" s="32" t="str">
        <f aca="false">IF(O95="","",IF(E95&gt;O95,"BUY","SELL"))</f>
        <v>BUY</v>
      </c>
      <c r="X95" s="32" t="str">
        <f aca="false">IF(T95="","",IF(S95&gt;T95,"BUY","SELL"))</f>
        <v>BUY</v>
      </c>
      <c r="Y95" s="34" t="n">
        <f aca="false">IF(OR(V95="",W95="",X95=""),"",IFERROR(IF(V95="BUY",1,IF(V95="SELL",-1,0))+IF(W95="BUY",1,IF(W95="SELL",-1,0))+IF(X95="BUY",1,IF(X95="SELL",-1,0)),0))</f>
        <v>2</v>
      </c>
      <c r="Z95" s="32" t="str">
        <f aca="false">IF(Y95="","",IF(Y95&gt;=2,"STRONG BUY",IF(Y95=1,"BUY",IF(Y95=0,"HOLD",IF(Y95=-1,"SELL","STRONG SELL")))))</f>
        <v>STRONG BUY</v>
      </c>
    </row>
    <row r="96" customFormat="false" ht="15" hidden="false" customHeight="false" outlineLevel="0" collapsed="false">
      <c r="A96" s="24" t="n">
        <v>45902</v>
      </c>
      <c r="B96" s="25" t="n">
        <v>223.52</v>
      </c>
      <c r="C96" s="25" t="n">
        <v>224.52</v>
      </c>
      <c r="D96" s="25" t="n">
        <v>223.32</v>
      </c>
      <c r="E96" s="25" t="n">
        <v>223.92</v>
      </c>
      <c r="F96" s="26" t="n">
        <v>7985318</v>
      </c>
      <c r="G96" s="27" t="n">
        <f aca="false">E96-E95</f>
        <v>2.91999999999999</v>
      </c>
      <c r="H96" s="28" t="n">
        <f aca="false">G96/E95</f>
        <v>0.0132126696832579</v>
      </c>
      <c r="I96" s="29" t="n">
        <f aca="false">MAX(G96,0)</f>
        <v>2.91999999999999</v>
      </c>
      <c r="J96" s="29" t="n">
        <f aca="false">MAX(-G96,0)</f>
        <v>0</v>
      </c>
      <c r="K96" s="29" t="n">
        <f aca="false">(K95*13+I96)/14</f>
        <v>1.09408265633597</v>
      </c>
      <c r="L96" s="29" t="n">
        <f aca="false">(L95*13+J96)/14</f>
        <v>0.657324864123081</v>
      </c>
      <c r="M96" s="31" t="n">
        <f aca="false">IF(L96=0,100,100-100/(1+K96/MAX(L96,0.000001)))</f>
        <v>62.4687654675143</v>
      </c>
      <c r="N96" s="30" t="n">
        <f aca="false">AVERAGE(E77:E96)</f>
        <v>219.6905</v>
      </c>
      <c r="O96" s="30" t="n">
        <f aca="false">AVERAGE(E47:E96)</f>
        <v>213.986</v>
      </c>
      <c r="Q96" s="30" t="n">
        <f aca="false">Q95+(2/13)*(E96-Q95)</f>
        <v>220.961194394825</v>
      </c>
      <c r="R96" s="30" t="n">
        <f aca="false">R95+(2/27)*(E96-R95)</f>
        <v>218.37933569744</v>
      </c>
      <c r="S96" s="33" t="n">
        <f aca="false">Q96-R96</f>
        <v>2.5818586973846</v>
      </c>
      <c r="T96" s="33" t="n">
        <f aca="false">T95+(2/10)*(S96-T95)</f>
        <v>2.36834901514418</v>
      </c>
      <c r="U96" s="33" t="n">
        <f aca="false">S96-T96</f>
        <v>0.213509682240429</v>
      </c>
      <c r="V96" s="32" t="str">
        <f aca="false">IF(M96="","",IF(M96&lt;Assumptions!$B$5,"BUY",IF(M96&gt;Assumptions!$B$4,"SELL","HOLD")))</f>
        <v>HOLD</v>
      </c>
      <c r="W96" s="32" t="str">
        <f aca="false">IF(O96="","",IF(E96&gt;O96,"BUY","SELL"))</f>
        <v>BUY</v>
      </c>
      <c r="X96" s="32" t="str">
        <f aca="false">IF(T96="","",IF(S96&gt;T96,"BUY","SELL"))</f>
        <v>BUY</v>
      </c>
      <c r="Y96" s="34" t="n">
        <f aca="false">IF(OR(V96="",W96="",X96=""),"",IFERROR(IF(V96="BUY",1,IF(V96="SELL",-1,0))+IF(W96="BUY",1,IF(W96="SELL",-1,0))+IF(X96="BUY",1,IF(X96="SELL",-1,0)),0))</f>
        <v>2</v>
      </c>
      <c r="Z96" s="32" t="str">
        <f aca="false">IF(Y96="","",IF(Y96&gt;=2,"STRONG BUY",IF(Y96=1,"BUY",IF(Y96=0,"HOLD",IF(Y96=-1,"SELL","STRONG SELL")))))</f>
        <v>STRONG BUY</v>
      </c>
    </row>
    <row r="97" customFormat="false" ht="15" hidden="false" customHeight="false" outlineLevel="0" collapsed="false">
      <c r="A97" s="24" t="n">
        <v>45903</v>
      </c>
      <c r="B97" s="25" t="n">
        <v>223.57</v>
      </c>
      <c r="C97" s="25" t="n">
        <v>223.95</v>
      </c>
      <c r="D97" s="25" t="n">
        <v>221.19</v>
      </c>
      <c r="E97" s="25" t="n">
        <v>222.57</v>
      </c>
      <c r="F97" s="26" t="n">
        <v>10458723</v>
      </c>
      <c r="G97" s="27" t="n">
        <f aca="false">E97-E96</f>
        <v>-1.34999999999999</v>
      </c>
      <c r="H97" s="28" t="n">
        <f aca="false">G97/E96</f>
        <v>-0.00602893890675239</v>
      </c>
      <c r="I97" s="29" t="n">
        <f aca="false">MAX(G97,0)</f>
        <v>0</v>
      </c>
      <c r="J97" s="29" t="n">
        <f aca="false">MAX(-G97,0)</f>
        <v>1.34999999999999</v>
      </c>
      <c r="K97" s="29" t="n">
        <f aca="false">(K96*13+I97)/14</f>
        <v>1.01593389516912</v>
      </c>
      <c r="L97" s="29" t="n">
        <f aca="false">(L96*13+J97)/14</f>
        <v>0.70680165954286</v>
      </c>
      <c r="M97" s="31" t="n">
        <f aca="false">IF(L97=0,100,100-100/(1+K97/MAX(L97,0.000001)))</f>
        <v>58.9721325708037</v>
      </c>
      <c r="N97" s="30" t="n">
        <f aca="false">AVERAGE(E78:E97)</f>
        <v>220.255</v>
      </c>
      <c r="O97" s="30" t="n">
        <f aca="false">AVERAGE(E48:E97)</f>
        <v>214.276</v>
      </c>
      <c r="Q97" s="30" t="n">
        <f aca="false">Q96+(2/13)*(E97-Q96)</f>
        <v>221.208702949467</v>
      </c>
      <c r="R97" s="30" t="n">
        <f aca="false">R96+(2/27)*(E97-R96)</f>
        <v>218.689755275408</v>
      </c>
      <c r="S97" s="33" t="n">
        <f aca="false">Q97-R97</f>
        <v>2.51894767405952</v>
      </c>
      <c r="T97" s="33" t="n">
        <f aca="false">T96+(2/10)*(S97-T96)</f>
        <v>2.39846874692724</v>
      </c>
      <c r="U97" s="33" t="n">
        <f aca="false">S97-T97</f>
        <v>0.120478927132274</v>
      </c>
      <c r="V97" s="32" t="str">
        <f aca="false">IF(M97="","",IF(M97&lt;Assumptions!$B$5,"BUY",IF(M97&gt;Assumptions!$B$4,"SELL","HOLD")))</f>
        <v>HOLD</v>
      </c>
      <c r="W97" s="32" t="str">
        <f aca="false">IF(O97="","",IF(E97&gt;O97,"BUY","SELL"))</f>
        <v>BUY</v>
      </c>
      <c r="X97" s="32" t="str">
        <f aca="false">IF(T97="","",IF(S97&gt;T97,"BUY","SELL"))</f>
        <v>BUY</v>
      </c>
      <c r="Y97" s="34" t="n">
        <f aca="false">IF(OR(V97="",W97="",X97=""),"",IFERROR(IF(V97="BUY",1,IF(V97="SELL",-1,0))+IF(W97="BUY",1,IF(W97="SELL",-1,0))+IF(X97="BUY",1,IF(X97="SELL",-1,0)),0))</f>
        <v>2</v>
      </c>
      <c r="Z97" s="32" t="str">
        <f aca="false">IF(Y97="","",IF(Y97&gt;=2,"STRONG BUY",IF(Y97=1,"BUY",IF(Y97=0,"HOLD",IF(Y97=-1,"SELL","STRONG SELL")))))</f>
        <v>STRONG BUY</v>
      </c>
    </row>
    <row r="98" customFormat="false" ht="15" hidden="false" customHeight="false" outlineLevel="0" collapsed="false">
      <c r="A98" s="24" t="n">
        <v>45904</v>
      </c>
      <c r="B98" s="25" t="n">
        <v>223.19</v>
      </c>
      <c r="C98" s="25" t="n">
        <v>223.35</v>
      </c>
      <c r="D98" s="25" t="n">
        <v>221.49</v>
      </c>
      <c r="E98" s="25" t="n">
        <v>222.42</v>
      </c>
      <c r="F98" s="26" t="n">
        <v>5056078</v>
      </c>
      <c r="G98" s="27" t="n">
        <f aca="false">E98-E97</f>
        <v>-0.150000000000006</v>
      </c>
      <c r="H98" s="28" t="n">
        <f aca="false">G98/E97</f>
        <v>-0.000673945275643643</v>
      </c>
      <c r="I98" s="29" t="n">
        <f aca="false">MAX(G98,0)</f>
        <v>0</v>
      </c>
      <c r="J98" s="29" t="n">
        <f aca="false">MAX(-G98,0)</f>
        <v>0.150000000000006</v>
      </c>
      <c r="K98" s="29" t="n">
        <f aca="false">(K97*13+I98)/14</f>
        <v>0.943367188371324</v>
      </c>
      <c r="L98" s="29" t="n">
        <f aca="false">(L97*13+J98)/14</f>
        <v>0.667030112432656</v>
      </c>
      <c r="M98" s="31" t="n">
        <f aca="false">IF(L98=0,100,100-100/(1+K98/MAX(L98,0.000001)))</f>
        <v>58.5797795302038</v>
      </c>
      <c r="N98" s="30" t="n">
        <f aca="false">AVERAGE(E79:E98)</f>
        <v>220.592</v>
      </c>
      <c r="O98" s="30" t="n">
        <f aca="false">AVERAGE(E49:E98)</f>
        <v>214.541</v>
      </c>
      <c r="Q98" s="30" t="n">
        <f aca="false">Q97+(2/13)*(E98-Q97)</f>
        <v>221.395056341857</v>
      </c>
      <c r="R98" s="30" t="n">
        <f aca="false">R97+(2/27)*(E98-R97)</f>
        <v>218.966069699452</v>
      </c>
      <c r="S98" s="33" t="n">
        <f aca="false">Q98-R98</f>
        <v>2.42898664240531</v>
      </c>
      <c r="T98" s="33" t="n">
        <f aca="false">T97+(2/10)*(S98-T97)</f>
        <v>2.40457232602286</v>
      </c>
      <c r="U98" s="33" t="n">
        <f aca="false">S98-T98</f>
        <v>0.0244143163824497</v>
      </c>
      <c r="V98" s="32" t="str">
        <f aca="false">IF(M98="","",IF(M98&lt;Assumptions!$B$5,"BUY",IF(M98&gt;Assumptions!$B$4,"SELL","HOLD")))</f>
        <v>HOLD</v>
      </c>
      <c r="W98" s="32" t="str">
        <f aca="false">IF(O98="","",IF(E98&gt;O98,"BUY","SELL"))</f>
        <v>BUY</v>
      </c>
      <c r="X98" s="32" t="str">
        <f aca="false">IF(T98="","",IF(S98&gt;T98,"BUY","SELL"))</f>
        <v>BUY</v>
      </c>
      <c r="Y98" s="34" t="n">
        <f aca="false">IF(OR(V98="",W98="",X98=""),"",IFERROR(IF(V98="BUY",1,IF(V98="SELL",-1,0))+IF(W98="BUY",1,IF(W98="SELL",-1,0))+IF(X98="BUY",1,IF(X98="SELL",-1,0)),0))</f>
        <v>2</v>
      </c>
      <c r="Z98" s="32" t="str">
        <f aca="false">IF(Y98="","",IF(Y98&gt;=2,"STRONG BUY",IF(Y98=1,"BUY",IF(Y98=0,"HOLD",IF(Y98=-1,"SELL","STRONG SELL")))))</f>
        <v>STRONG BUY</v>
      </c>
    </row>
    <row r="99" customFormat="false" ht="15" hidden="false" customHeight="false" outlineLevel="0" collapsed="false">
      <c r="A99" s="24" t="n">
        <v>45905</v>
      </c>
      <c r="B99" s="25" t="n">
        <v>225.23</v>
      </c>
      <c r="C99" s="25" t="n">
        <v>227.36</v>
      </c>
      <c r="D99" s="25" t="n">
        <v>222.54</v>
      </c>
      <c r="E99" s="25" t="n">
        <v>224.95</v>
      </c>
      <c r="F99" s="26" t="n">
        <v>9530323</v>
      </c>
      <c r="G99" s="27" t="n">
        <f aca="false">E99-E98</f>
        <v>2.53</v>
      </c>
      <c r="H99" s="28" t="n">
        <f aca="false">G99/E98</f>
        <v>0.0113748763600396</v>
      </c>
      <c r="I99" s="29" t="n">
        <f aca="false">MAX(G99,0)</f>
        <v>2.53</v>
      </c>
      <c r="J99" s="29" t="n">
        <f aca="false">MAX(-G99,0)</f>
        <v>0</v>
      </c>
      <c r="K99" s="29" t="n">
        <f aca="false">(K98*13+I99)/14</f>
        <v>1.05669810348766</v>
      </c>
      <c r="L99" s="29" t="n">
        <f aca="false">(L98*13+J99)/14</f>
        <v>0.619385104401752</v>
      </c>
      <c r="M99" s="31" t="n">
        <f aca="false">IF(L99=0,100,100-100/(1+K99/MAX(L99,0.000001)))</f>
        <v>63.045682846396</v>
      </c>
      <c r="N99" s="30" t="n">
        <f aca="false">AVERAGE(E80:E99)</f>
        <v>220.713</v>
      </c>
      <c r="O99" s="30" t="n">
        <f aca="false">AVERAGE(E50:E99)</f>
        <v>214.8422</v>
      </c>
      <c r="Q99" s="30" t="n">
        <f aca="false">Q98+(2/13)*(E99-Q98)</f>
        <v>221.941970750802</v>
      </c>
      <c r="R99" s="30" t="n">
        <f aca="false">R98+(2/27)*(E99-R98)</f>
        <v>219.409323795789</v>
      </c>
      <c r="S99" s="33" t="n">
        <f aca="false">Q99-R99</f>
        <v>2.53264695501349</v>
      </c>
      <c r="T99" s="33" t="n">
        <f aca="false">T98+(2/10)*(S99-T98)</f>
        <v>2.43018725182098</v>
      </c>
      <c r="U99" s="33" t="n">
        <f aca="false">S99-T99</f>
        <v>0.102459703192507</v>
      </c>
      <c r="V99" s="32" t="str">
        <f aca="false">IF(M99="","",IF(M99&lt;Assumptions!$B$5,"BUY",IF(M99&gt;Assumptions!$B$4,"SELL","HOLD")))</f>
        <v>HOLD</v>
      </c>
      <c r="W99" s="32" t="str">
        <f aca="false">IF(O99="","",IF(E99&gt;O99,"BUY","SELL"))</f>
        <v>BUY</v>
      </c>
      <c r="X99" s="32" t="str">
        <f aca="false">IF(T99="","",IF(S99&gt;T99,"BUY","SELL"))</f>
        <v>BUY</v>
      </c>
      <c r="Y99" s="34" t="n">
        <f aca="false">IF(OR(V99="",W99="",X99=""),"",IFERROR(IF(V99="BUY",1,IF(V99="SELL",-1,0))+IF(W99="BUY",1,IF(W99="SELL",-1,0))+IF(X99="BUY",1,IF(X99="SELL",-1,0)),0))</f>
        <v>2</v>
      </c>
      <c r="Z99" s="32" t="str">
        <f aca="false">IF(Y99="","",IF(Y99&gt;=2,"STRONG BUY",IF(Y99=1,"BUY",IF(Y99=0,"HOLD",IF(Y99=-1,"SELL","STRONG SELL")))))</f>
        <v>STRONG BUY</v>
      </c>
    </row>
    <row r="100" customFormat="false" ht="15" hidden="false" customHeight="false" outlineLevel="0" collapsed="false">
      <c r="A100" s="24" t="n">
        <v>45908</v>
      </c>
      <c r="B100" s="25" t="n">
        <v>226.21</v>
      </c>
      <c r="C100" s="25" t="n">
        <v>226.73</v>
      </c>
      <c r="D100" s="25" t="n">
        <v>224.73</v>
      </c>
      <c r="E100" s="25" t="n">
        <v>225.73</v>
      </c>
      <c r="F100" s="26" t="n">
        <v>13489357</v>
      </c>
      <c r="G100" s="27" t="n">
        <f aca="false">E100-E99</f>
        <v>0.780000000000001</v>
      </c>
      <c r="H100" s="28" t="n">
        <f aca="false">G100/E99</f>
        <v>0.00346743720826851</v>
      </c>
      <c r="I100" s="29" t="n">
        <f aca="false">MAX(G100,0)</f>
        <v>0.780000000000001</v>
      </c>
      <c r="J100" s="29" t="n">
        <f aca="false">MAX(-G100,0)</f>
        <v>0</v>
      </c>
      <c r="K100" s="29" t="n">
        <f aca="false">(K99*13+I100)/14</f>
        <v>1.03693395323854</v>
      </c>
      <c r="L100" s="29" t="n">
        <f aca="false">(L99*13+J100)/14</f>
        <v>0.575143311230199</v>
      </c>
      <c r="M100" s="31" t="n">
        <f aca="false">IF(L100=0,100,100-100/(1+K100/MAX(L100,0.000001)))</f>
        <v>64.3228445740944</v>
      </c>
      <c r="N100" s="30" t="n">
        <f aca="false">AVERAGE(E81:E100)</f>
        <v>220.8505</v>
      </c>
      <c r="O100" s="30" t="n">
        <f aca="false">AVERAGE(E51:E100)</f>
        <v>215.1142</v>
      </c>
      <c r="Q100" s="30" t="n">
        <f aca="false">Q99+(2/13)*(E100-Q99)</f>
        <v>222.524744481448</v>
      </c>
      <c r="R100" s="30" t="n">
        <f aca="false">R99+(2/27)*(E100-R99)</f>
        <v>219.877522033138</v>
      </c>
      <c r="S100" s="33" t="n">
        <f aca="false">Q100-R100</f>
        <v>2.64722244831034</v>
      </c>
      <c r="T100" s="33" t="n">
        <f aca="false">T99+(2/10)*(S100-T99)</f>
        <v>2.47359429111886</v>
      </c>
      <c r="U100" s="33" t="n">
        <f aca="false">S100-T100</f>
        <v>0.17362815719149</v>
      </c>
      <c r="V100" s="32" t="str">
        <f aca="false">IF(M100="","",IF(M100&lt;Assumptions!$B$5,"BUY",IF(M100&gt;Assumptions!$B$4,"SELL","HOLD")))</f>
        <v>HOLD</v>
      </c>
      <c r="W100" s="32" t="str">
        <f aca="false">IF(O100="","",IF(E100&gt;O100,"BUY","SELL"))</f>
        <v>BUY</v>
      </c>
      <c r="X100" s="32" t="str">
        <f aca="false">IF(T100="","",IF(S100&gt;T100,"BUY","SELL"))</f>
        <v>BUY</v>
      </c>
      <c r="Y100" s="34" t="n">
        <f aca="false">IF(OR(V100="",W100="",X100=""),"",IFERROR(IF(V100="BUY",1,IF(V100="SELL",-1,0))+IF(W100="BUY",1,IF(W100="SELL",-1,0))+IF(X100="BUY",1,IF(X100="SELL",-1,0)),0))</f>
        <v>2</v>
      </c>
      <c r="Z100" s="32" t="str">
        <f aca="false">IF(Y100="","",IF(Y100&gt;=2,"STRONG BUY",IF(Y100=1,"BUY",IF(Y100=0,"HOLD",IF(Y100=-1,"SELL","STRONG SELL")))))</f>
        <v>STRONG BUY</v>
      </c>
    </row>
    <row r="101" customFormat="false" ht="15" hidden="false" customHeight="false" outlineLevel="0" collapsed="false">
      <c r="A101" s="24" t="n">
        <v>45909</v>
      </c>
      <c r="B101" s="25" t="n">
        <v>225.56</v>
      </c>
      <c r="C101" s="25" t="n">
        <v>230.44</v>
      </c>
      <c r="D101" s="25" t="n">
        <v>222.26</v>
      </c>
      <c r="E101" s="25" t="n">
        <v>226.35</v>
      </c>
      <c r="F101" s="26" t="n">
        <v>8914623</v>
      </c>
      <c r="G101" s="27" t="n">
        <f aca="false">E101-E100</f>
        <v>0.620000000000005</v>
      </c>
      <c r="H101" s="28" t="n">
        <f aca="false">G101/E100</f>
        <v>0.00274664422097198</v>
      </c>
      <c r="I101" s="29" t="n">
        <f aca="false">MAX(G101,0)</f>
        <v>0.620000000000005</v>
      </c>
      <c r="J101" s="29" t="n">
        <f aca="false">MAX(-G101,0)</f>
        <v>0</v>
      </c>
      <c r="K101" s="29" t="n">
        <f aca="false">(K100*13+I101)/14</f>
        <v>1.00715295657864</v>
      </c>
      <c r="L101" s="29" t="n">
        <f aca="false">(L100*13+J101)/14</f>
        <v>0.534061646142327</v>
      </c>
      <c r="M101" s="31" t="n">
        <f aca="false">IF(L101=0,100,100-100/(1+K101/MAX(L101,0.000001)))</f>
        <v>65.3480024651041</v>
      </c>
      <c r="N101" s="30" t="n">
        <f aca="false">AVERAGE(E82:E101)</f>
        <v>221.13</v>
      </c>
      <c r="O101" s="30" t="n">
        <f aca="false">AVERAGE(E52:E101)</f>
        <v>215.4206</v>
      </c>
      <c r="Q101" s="30" t="n">
        <f aca="false">Q100+(2/13)*(E101-Q100)</f>
        <v>223.113245330456</v>
      </c>
      <c r="R101" s="30" t="n">
        <f aca="false">R100+(2/27)*(E101-R100)</f>
        <v>220.356964845498</v>
      </c>
      <c r="S101" s="33" t="n">
        <f aca="false">Q101-R101</f>
        <v>2.75628048495818</v>
      </c>
      <c r="T101" s="33" t="n">
        <f aca="false">T100+(2/10)*(S101-T100)</f>
        <v>2.53013152988672</v>
      </c>
      <c r="U101" s="33" t="n">
        <f aca="false">S101-T101</f>
        <v>0.226148955071462</v>
      </c>
      <c r="V101" s="32" t="str">
        <f aca="false">IF(M101="","",IF(M101&lt;Assumptions!$B$5,"BUY",IF(M101&gt;Assumptions!$B$4,"SELL","HOLD")))</f>
        <v>HOLD</v>
      </c>
      <c r="W101" s="32" t="str">
        <f aca="false">IF(O101="","",IF(E101&gt;O101,"BUY","SELL"))</f>
        <v>BUY</v>
      </c>
      <c r="X101" s="32" t="str">
        <f aca="false">IF(T101="","",IF(S101&gt;T101,"BUY","SELL"))</f>
        <v>BUY</v>
      </c>
      <c r="Y101" s="34" t="n">
        <f aca="false">IF(OR(V101="",W101="",X101=""),"",IFERROR(IF(V101="BUY",1,IF(V101="SELL",-1,0))+IF(W101="BUY",1,IF(W101="SELL",-1,0))+IF(X101="BUY",1,IF(X101="SELL",-1,0)),0))</f>
        <v>2</v>
      </c>
      <c r="Z101" s="32" t="str">
        <f aca="false">IF(Y101="","",IF(Y101&gt;=2,"STRONG BUY",IF(Y101=1,"BUY",IF(Y101=0,"HOLD",IF(Y101=-1,"SELL","STRONG SELL")))))</f>
        <v>STRONG BUY</v>
      </c>
    </row>
    <row r="102" customFormat="false" ht="15" hidden="false" customHeight="false" outlineLevel="0" collapsed="false">
      <c r="A102" s="24" t="n">
        <v>45910</v>
      </c>
      <c r="B102" s="25" t="n">
        <v>226.38</v>
      </c>
      <c r="C102" s="25" t="n">
        <v>226.38</v>
      </c>
      <c r="D102" s="25" t="n">
        <v>223.06</v>
      </c>
      <c r="E102" s="25" t="n">
        <v>224.72</v>
      </c>
      <c r="F102" s="26" t="n">
        <v>6779660</v>
      </c>
      <c r="G102" s="27" t="n">
        <f aca="false">E102-E101</f>
        <v>-1.63</v>
      </c>
      <c r="H102" s="28" t="n">
        <f aca="false">G102/E101</f>
        <v>-0.00720123702231056</v>
      </c>
      <c r="I102" s="29" t="n">
        <f aca="false">MAX(G102,0)</f>
        <v>0</v>
      </c>
      <c r="J102" s="29" t="n">
        <f aca="false">MAX(-G102,0)</f>
        <v>1.63</v>
      </c>
      <c r="K102" s="29" t="n">
        <f aca="false">(K101*13+I102)/14</f>
        <v>0.93521345968017</v>
      </c>
      <c r="L102" s="29" t="n">
        <f aca="false">(L101*13+J102)/14</f>
        <v>0.612342957132161</v>
      </c>
      <c r="M102" s="31" t="n">
        <f aca="false">IF(L102=0,100,100-100/(1+K102/MAX(L102,0.000001)))</f>
        <v>60.4316230103281</v>
      </c>
      <c r="N102" s="30" t="n">
        <f aca="false">AVERAGE(E83:E102)</f>
        <v>221.4535</v>
      </c>
      <c r="O102" s="30" t="n">
        <f aca="false">AVERAGE(E53:E102)</f>
        <v>215.6636</v>
      </c>
      <c r="Q102" s="30" t="n">
        <f aca="false">Q101+(2/13)*(E102-Q101)</f>
        <v>223.36043835654</v>
      </c>
      <c r="R102" s="30" t="n">
        <f aca="false">R101+(2/27)*(E102-R101)</f>
        <v>220.68015263472</v>
      </c>
      <c r="S102" s="33" t="n">
        <f aca="false">Q102-R102</f>
        <v>2.6802857218195</v>
      </c>
      <c r="T102" s="33" t="n">
        <f aca="false">T101+(2/10)*(S102-T101)</f>
        <v>2.56016236827328</v>
      </c>
      <c r="U102" s="33" t="n">
        <f aca="false">S102-T102</f>
        <v>0.120123353546225</v>
      </c>
      <c r="V102" s="32" t="str">
        <f aca="false">IF(M102="","",IF(M102&lt;Assumptions!$B$5,"BUY",IF(M102&gt;Assumptions!$B$4,"SELL","HOLD")))</f>
        <v>HOLD</v>
      </c>
      <c r="W102" s="32" t="str">
        <f aca="false">IF(O102="","",IF(E102&gt;O102,"BUY","SELL"))</f>
        <v>BUY</v>
      </c>
      <c r="X102" s="32" t="str">
        <f aca="false">IF(T102="","",IF(S102&gt;T102,"BUY","SELL"))</f>
        <v>BUY</v>
      </c>
      <c r="Y102" s="34" t="n">
        <f aca="false">IF(OR(V102="",W102="",X102=""),"",IFERROR(IF(V102="BUY",1,IF(V102="SELL",-1,0))+IF(W102="BUY",1,IF(W102="SELL",-1,0))+IF(X102="BUY",1,IF(X102="SELL",-1,0)),0))</f>
        <v>2</v>
      </c>
      <c r="Z102" s="32" t="str">
        <f aca="false">IF(Y102="","",IF(Y102&gt;=2,"STRONG BUY",IF(Y102=1,"BUY",IF(Y102=0,"HOLD",IF(Y102=-1,"SELL","STRONG SELL")))))</f>
        <v>STRONG BUY</v>
      </c>
    </row>
    <row r="103" customFormat="false" ht="15" hidden="false" customHeight="false" outlineLevel="0" collapsed="false">
      <c r="A103" s="24" t="n">
        <v>45911</v>
      </c>
      <c r="B103" s="25" t="n">
        <v>230.67</v>
      </c>
      <c r="C103" s="25" t="n">
        <v>231.77</v>
      </c>
      <c r="D103" s="25" t="n">
        <v>229.39</v>
      </c>
      <c r="E103" s="25" t="n">
        <v>230.58</v>
      </c>
      <c r="F103" s="26" t="n">
        <v>5040226</v>
      </c>
      <c r="G103" s="27" t="n">
        <f aca="false">E103-E102</f>
        <v>5.86000000000001</v>
      </c>
      <c r="H103" s="28" t="n">
        <f aca="false">G103/E102</f>
        <v>0.0260768956924173</v>
      </c>
      <c r="I103" s="29" t="n">
        <f aca="false">MAX(G103,0)</f>
        <v>5.86000000000001</v>
      </c>
      <c r="J103" s="29" t="n">
        <f aca="false">MAX(-G103,0)</f>
        <v>0</v>
      </c>
      <c r="K103" s="29" t="n">
        <f aca="false">(K102*13+I103)/14</f>
        <v>1.28698392684587</v>
      </c>
      <c r="L103" s="29" t="n">
        <f aca="false">(L102*13+J103)/14</f>
        <v>0.568604174479863</v>
      </c>
      <c r="M103" s="31" t="n">
        <f aca="false">IF(L103=0,100,100-100/(1+K103/MAX(L103,0.000001)))</f>
        <v>69.3571987191758</v>
      </c>
      <c r="N103" s="30" t="n">
        <f aca="false">AVERAGE(E84:E103)</f>
        <v>221.971</v>
      </c>
      <c r="O103" s="30" t="n">
        <f aca="false">AVERAGE(E54:E103)</f>
        <v>216.0104</v>
      </c>
      <c r="Q103" s="30" t="n">
        <f aca="false">Q102+(2/13)*(E103-Q102)</f>
        <v>224.471140147841</v>
      </c>
      <c r="R103" s="30" t="n">
        <f aca="false">R102+(2/27)*(E103-R102)</f>
        <v>221.413474661778</v>
      </c>
      <c r="S103" s="33" t="n">
        <f aca="false">Q103-R103</f>
        <v>3.05766548606334</v>
      </c>
      <c r="T103" s="33" t="n">
        <f aca="false">T102+(2/10)*(S103-T102)</f>
        <v>2.65966299183129</v>
      </c>
      <c r="U103" s="33" t="n">
        <f aca="false">S103-T103</f>
        <v>0.398002494232053</v>
      </c>
      <c r="V103" s="32" t="str">
        <f aca="false">IF(M103="","",IF(M103&lt;Assumptions!$B$5,"BUY",IF(M103&gt;Assumptions!$B$4,"SELL","HOLD")))</f>
        <v>HOLD</v>
      </c>
      <c r="W103" s="32" t="str">
        <f aca="false">IF(O103="","",IF(E103&gt;O103,"BUY","SELL"))</f>
        <v>BUY</v>
      </c>
      <c r="X103" s="32" t="str">
        <f aca="false">IF(T103="","",IF(S103&gt;T103,"BUY","SELL"))</f>
        <v>BUY</v>
      </c>
      <c r="Y103" s="34" t="n">
        <f aca="false">IF(OR(V103="",W103="",X103=""),"",IFERROR(IF(V103="BUY",1,IF(V103="SELL",-1,0))+IF(W103="BUY",1,IF(W103="SELL",-1,0))+IF(X103="BUY",1,IF(X103="SELL",-1,0)),0))</f>
        <v>2</v>
      </c>
      <c r="Z103" s="32" t="str">
        <f aca="false">IF(Y103="","",IF(Y103&gt;=2,"STRONG BUY",IF(Y103=1,"BUY",IF(Y103=0,"HOLD",IF(Y103=-1,"SELL","STRONG SELL")))))</f>
        <v>STRONG BUY</v>
      </c>
    </row>
    <row r="104" customFormat="false" ht="15" hidden="false" customHeight="false" outlineLevel="0" collapsed="false">
      <c r="A104" s="24" t="n">
        <v>45912</v>
      </c>
      <c r="B104" s="25" t="n">
        <v>232.4</v>
      </c>
      <c r="C104" s="25" t="n">
        <v>232.98</v>
      </c>
      <c r="D104" s="25" t="n">
        <v>232.4</v>
      </c>
      <c r="E104" s="25" t="n">
        <v>232.69</v>
      </c>
      <c r="F104" s="26" t="n">
        <v>6208157</v>
      </c>
      <c r="G104" s="27" t="n">
        <f aca="false">E104-E103</f>
        <v>2.10999999999999</v>
      </c>
      <c r="H104" s="28" t="n">
        <f aca="false">G104/E103</f>
        <v>0.00915083701968941</v>
      </c>
      <c r="I104" s="29" t="n">
        <f aca="false">MAX(G104,0)</f>
        <v>2.10999999999999</v>
      </c>
      <c r="J104" s="29" t="n">
        <f aca="false">MAX(-G104,0)</f>
        <v>0</v>
      </c>
      <c r="K104" s="29" t="n">
        <f aca="false">(K103*13+I104)/14</f>
        <v>1.34577078921402</v>
      </c>
      <c r="L104" s="29" t="n">
        <f aca="false">(L103*13+J104)/14</f>
        <v>0.527989590588445</v>
      </c>
      <c r="M104" s="31" t="n">
        <f aca="false">IF(L104=0,100,100-100/(1+K104/MAX(L104,0.000001)))</f>
        <v>71.8219257766511</v>
      </c>
      <c r="N104" s="30" t="n">
        <f aca="false">AVERAGE(E85:E104)</f>
        <v>222.788</v>
      </c>
      <c r="O104" s="30" t="n">
        <f aca="false">AVERAGE(E55:E104)</f>
        <v>216.3876</v>
      </c>
      <c r="Q104" s="30" t="n">
        <f aca="false">Q103+(2/13)*(E104-Q103)</f>
        <v>225.735580125096</v>
      </c>
      <c r="R104" s="30" t="n">
        <f aca="false">R103+(2/27)*(E104-R103)</f>
        <v>222.24877283498</v>
      </c>
      <c r="S104" s="33" t="n">
        <f aca="false">Q104-R104</f>
        <v>3.4868072901169</v>
      </c>
      <c r="T104" s="33" t="n">
        <f aca="false">T103+(2/10)*(S104-T103)</f>
        <v>2.82509185148841</v>
      </c>
      <c r="U104" s="33" t="n">
        <f aca="false">S104-T104</f>
        <v>0.661715438628488</v>
      </c>
      <c r="V104" s="32" t="str">
        <f aca="false">IF(M104="","",IF(M104&lt;Assumptions!$B$5,"BUY",IF(M104&gt;Assumptions!$B$4,"SELL","HOLD")))</f>
        <v>SELL</v>
      </c>
      <c r="W104" s="32" t="str">
        <f aca="false">IF(O104="","",IF(E104&gt;O104,"BUY","SELL"))</f>
        <v>BUY</v>
      </c>
      <c r="X104" s="32" t="str">
        <f aca="false">IF(T104="","",IF(S104&gt;T104,"BUY","SELL"))</f>
        <v>BUY</v>
      </c>
      <c r="Y104" s="34" t="n">
        <f aca="false">IF(OR(V104="",W104="",X104=""),"",IFERROR(IF(V104="BUY",1,IF(V104="SELL",-1,0))+IF(W104="BUY",1,IF(W104="SELL",-1,0))+IF(X104="BUY",1,IF(X104="SELL",-1,0)),0))</f>
        <v>1</v>
      </c>
      <c r="Z104" s="32" t="str">
        <f aca="false">IF(Y104="","",IF(Y104&gt;=2,"STRONG BUY",IF(Y104=1,"BUY",IF(Y104=0,"HOLD",IF(Y104=-1,"SELL","STRONG SELL")))))</f>
        <v>BUY</v>
      </c>
    </row>
    <row r="105" customFormat="false" ht="15" hidden="false" customHeight="false" outlineLevel="0" collapsed="false">
      <c r="A105" s="24" t="n">
        <v>45915</v>
      </c>
      <c r="B105" s="25" t="n">
        <v>226.93</v>
      </c>
      <c r="C105" s="25" t="n">
        <v>227.09</v>
      </c>
      <c r="D105" s="25" t="n">
        <v>226.37</v>
      </c>
      <c r="E105" s="25" t="n">
        <v>226.73</v>
      </c>
      <c r="F105" s="26" t="n">
        <v>1639157</v>
      </c>
      <c r="G105" s="27" t="n">
        <f aca="false">E105-E104</f>
        <v>-5.96000000000001</v>
      </c>
      <c r="H105" s="28" t="n">
        <f aca="false">G105/E104</f>
        <v>-0.0256134771584512</v>
      </c>
      <c r="I105" s="29" t="n">
        <f aca="false">MAX(G105,0)</f>
        <v>0</v>
      </c>
      <c r="J105" s="29" t="n">
        <f aca="false">MAX(-G105,0)</f>
        <v>5.96000000000001</v>
      </c>
      <c r="K105" s="29" t="n">
        <f aca="false">(K104*13+I105)/14</f>
        <v>1.24964430427016</v>
      </c>
      <c r="L105" s="29" t="n">
        <f aca="false">(L104*13+J105)/14</f>
        <v>0.915990334117842</v>
      </c>
      <c r="M105" s="31" t="n">
        <f aca="false">IF(L105=0,100,100-100/(1+K105/MAX(L105,0.000001)))</f>
        <v>57.7033762814368</v>
      </c>
      <c r="N105" s="30" t="n">
        <f aca="false">AVERAGE(E86:E105)</f>
        <v>223.3275</v>
      </c>
      <c r="O105" s="30" t="n">
        <f aca="false">AVERAGE(E56:E105)</f>
        <v>216.6388</v>
      </c>
      <c r="Q105" s="30" t="n">
        <f aca="false">Q104+(2/13)*(E105-Q104)</f>
        <v>225.888567798158</v>
      </c>
      <c r="R105" s="30" t="n">
        <f aca="false">R104+(2/27)*(E105-R104)</f>
        <v>222.580715587944</v>
      </c>
      <c r="S105" s="33" t="n">
        <f aca="false">Q105-R105</f>
        <v>3.30785221021449</v>
      </c>
      <c r="T105" s="33" t="n">
        <f aca="false">T104+(2/10)*(S105-T104)</f>
        <v>2.92164392323363</v>
      </c>
      <c r="U105" s="33" t="n">
        <f aca="false">S105-T105</f>
        <v>0.386208286980864</v>
      </c>
      <c r="V105" s="32" t="str">
        <f aca="false">IF(M105="","",IF(M105&lt;Assumptions!$B$5,"BUY",IF(M105&gt;Assumptions!$B$4,"SELL","HOLD")))</f>
        <v>HOLD</v>
      </c>
      <c r="W105" s="32" t="str">
        <f aca="false">IF(O105="","",IF(E105&gt;O105,"BUY","SELL"))</f>
        <v>BUY</v>
      </c>
      <c r="X105" s="32" t="str">
        <f aca="false">IF(T105="","",IF(S105&gt;T105,"BUY","SELL"))</f>
        <v>BUY</v>
      </c>
      <c r="Y105" s="34" t="n">
        <f aca="false">IF(OR(V105="",W105="",X105=""),"",IFERROR(IF(V105="BUY",1,IF(V105="SELL",-1,0))+IF(W105="BUY",1,IF(W105="SELL",-1,0))+IF(X105="BUY",1,IF(X105="SELL",-1,0)),0))</f>
        <v>2</v>
      </c>
      <c r="Z105" s="32" t="str">
        <f aca="false">IF(Y105="","",IF(Y105&gt;=2,"STRONG BUY",IF(Y105=1,"BUY",IF(Y105=0,"HOLD",IF(Y105=-1,"SELL","STRONG SELL")))))</f>
        <v>STRONG BUY</v>
      </c>
    </row>
    <row r="106" customFormat="false" ht="15" hidden="false" customHeight="false" outlineLevel="0" collapsed="false">
      <c r="A106" s="24" t="n">
        <v>45916</v>
      </c>
      <c r="B106" s="25" t="n">
        <v>230.12</v>
      </c>
      <c r="C106" s="25" t="n">
        <v>230.12</v>
      </c>
      <c r="D106" s="25" t="n">
        <v>229.94</v>
      </c>
      <c r="E106" s="25" t="n">
        <v>230.03</v>
      </c>
      <c r="F106" s="26" t="n">
        <v>5335146</v>
      </c>
      <c r="G106" s="27" t="n">
        <f aca="false">E106-E105</f>
        <v>3.30000000000001</v>
      </c>
      <c r="H106" s="28" t="n">
        <f aca="false">G106/E105</f>
        <v>0.0145547567591409</v>
      </c>
      <c r="I106" s="29" t="n">
        <f aca="false">MAX(G106,0)</f>
        <v>3.30000000000001</v>
      </c>
      <c r="J106" s="29" t="n">
        <f aca="false">MAX(-G106,0)</f>
        <v>0</v>
      </c>
      <c r="K106" s="29" t="n">
        <f aca="false">(K105*13+I106)/14</f>
        <v>1.39609828253658</v>
      </c>
      <c r="L106" s="29" t="n">
        <f aca="false">(L105*13+J106)/14</f>
        <v>0.850562453109425</v>
      </c>
      <c r="M106" s="31" t="n">
        <f aca="false">IF(L106=0,100,100-100/(1+K106/MAX(L106,0.000001)))</f>
        <v>62.1410371573146</v>
      </c>
      <c r="N106" s="30" t="n">
        <f aca="false">AVERAGE(E87:E106)</f>
        <v>223.984</v>
      </c>
      <c r="O106" s="30" t="n">
        <f aca="false">AVERAGE(E57:E106)</f>
        <v>217.056</v>
      </c>
      <c r="Q106" s="30" t="n">
        <f aca="false">Q105+(2/13)*(E106-Q105)</f>
        <v>226.525711213826</v>
      </c>
      <c r="R106" s="30" t="n">
        <f aca="false">R105+(2/27)*(E106-R105)</f>
        <v>223.132514433281</v>
      </c>
      <c r="S106" s="33" t="n">
        <f aca="false">Q106-R106</f>
        <v>3.39319678054494</v>
      </c>
      <c r="T106" s="33" t="n">
        <f aca="false">T105+(2/10)*(S106-T105)</f>
        <v>3.01595449469589</v>
      </c>
      <c r="U106" s="33" t="n">
        <f aca="false">S106-T106</f>
        <v>0.37724228584905</v>
      </c>
      <c r="V106" s="32" t="str">
        <f aca="false">IF(M106="","",IF(M106&lt;Assumptions!$B$5,"BUY",IF(M106&gt;Assumptions!$B$4,"SELL","HOLD")))</f>
        <v>HOLD</v>
      </c>
      <c r="W106" s="32" t="str">
        <f aca="false">IF(O106="","",IF(E106&gt;O106,"BUY","SELL"))</f>
        <v>BUY</v>
      </c>
      <c r="X106" s="32" t="str">
        <f aca="false">IF(T106="","",IF(S106&gt;T106,"BUY","SELL"))</f>
        <v>BUY</v>
      </c>
      <c r="Y106" s="34" t="n">
        <f aca="false">IF(OR(V106="",W106="",X106=""),"",IFERROR(IF(V106="BUY",1,IF(V106="SELL",-1,0))+IF(W106="BUY",1,IF(W106="SELL",-1,0))+IF(X106="BUY",1,IF(X106="SELL",-1,0)),0))</f>
        <v>2</v>
      </c>
      <c r="Z106" s="32" t="str">
        <f aca="false">IF(Y106="","",IF(Y106&gt;=2,"STRONG BUY",IF(Y106=1,"BUY",IF(Y106=0,"HOLD",IF(Y106=-1,"SELL","STRONG SELL")))))</f>
        <v>STRONG BUY</v>
      </c>
    </row>
    <row r="107" customFormat="false" ht="15" hidden="false" customHeight="false" outlineLevel="0" collapsed="false">
      <c r="A107" s="24" t="n">
        <v>45917</v>
      </c>
      <c r="B107" s="25" t="n">
        <v>226.44</v>
      </c>
      <c r="C107" s="25" t="n">
        <v>227.26</v>
      </c>
      <c r="D107" s="25" t="n">
        <v>226.38</v>
      </c>
      <c r="E107" s="25" t="n">
        <v>226.82</v>
      </c>
      <c r="F107" s="26" t="n">
        <v>97791</v>
      </c>
      <c r="G107" s="27" t="n">
        <f aca="false">E107-E106</f>
        <v>-3.21000000000001</v>
      </c>
      <c r="H107" s="28" t="n">
        <f aca="false">G107/E106</f>
        <v>-0.013954701560666</v>
      </c>
      <c r="I107" s="29" t="n">
        <f aca="false">MAX(G107,0)</f>
        <v>0</v>
      </c>
      <c r="J107" s="29" t="n">
        <f aca="false">MAX(-G107,0)</f>
        <v>3.21000000000001</v>
      </c>
      <c r="K107" s="29" t="n">
        <f aca="false">(K106*13+I107)/14</f>
        <v>1.29637697664111</v>
      </c>
      <c r="L107" s="29" t="n">
        <f aca="false">(L106*13+J107)/14</f>
        <v>1.01909370645875</v>
      </c>
      <c r="M107" s="31" t="n">
        <f aca="false">IF(L107=0,100,100-100/(1+K107/MAX(L107,0.000001)))</f>
        <v>55.9876221324285</v>
      </c>
      <c r="N107" s="30" t="n">
        <f aca="false">AVERAGE(E88:E107)</f>
        <v>224.457</v>
      </c>
      <c r="O107" s="30" t="n">
        <f aca="false">AVERAGE(E58:E107)</f>
        <v>217.3194</v>
      </c>
      <c r="Q107" s="30" t="n">
        <f aca="false">Q106+(2/13)*(E107-Q106)</f>
        <v>226.570986411699</v>
      </c>
      <c r="R107" s="30" t="n">
        <f aca="false">R106+(2/27)*(E107-R106)</f>
        <v>223.405661512298</v>
      </c>
      <c r="S107" s="33" t="n">
        <f aca="false">Q107-R107</f>
        <v>3.16532489940161</v>
      </c>
      <c r="T107" s="33" t="n">
        <f aca="false">T106+(2/10)*(S107-T106)</f>
        <v>3.04582857563703</v>
      </c>
      <c r="U107" s="33" t="n">
        <f aca="false">S107-T107</f>
        <v>0.119496323764577</v>
      </c>
      <c r="V107" s="32" t="str">
        <f aca="false">IF(M107="","",IF(M107&lt;Assumptions!$B$5,"BUY",IF(M107&gt;Assumptions!$B$4,"SELL","HOLD")))</f>
        <v>HOLD</v>
      </c>
      <c r="W107" s="32" t="str">
        <f aca="false">IF(O107="","",IF(E107&gt;O107,"BUY","SELL"))</f>
        <v>BUY</v>
      </c>
      <c r="X107" s="32" t="str">
        <f aca="false">IF(T107="","",IF(S107&gt;T107,"BUY","SELL"))</f>
        <v>BUY</v>
      </c>
      <c r="Y107" s="34" t="n">
        <f aca="false">IF(OR(V107="",W107="",X107=""),"",IFERROR(IF(V107="BUY",1,IF(V107="SELL",-1,0))+IF(W107="BUY",1,IF(W107="SELL",-1,0))+IF(X107="BUY",1,IF(X107="SELL",-1,0)),0))</f>
        <v>2</v>
      </c>
      <c r="Z107" s="32" t="str">
        <f aca="false">IF(Y107="","",IF(Y107&gt;=2,"STRONG BUY",IF(Y107=1,"BUY",IF(Y107=0,"HOLD",IF(Y107=-1,"SELL","STRONG SELL")))))</f>
        <v>STRONG BUY</v>
      </c>
    </row>
    <row r="108" customFormat="false" ht="15" hidden="false" customHeight="false" outlineLevel="0" collapsed="false">
      <c r="A108" s="24" t="n">
        <v>45918</v>
      </c>
      <c r="B108" s="25" t="n">
        <v>222.83</v>
      </c>
      <c r="C108" s="25" t="n">
        <v>224.77</v>
      </c>
      <c r="D108" s="25" t="n">
        <v>222.11</v>
      </c>
      <c r="E108" s="25" t="n">
        <v>223.44</v>
      </c>
      <c r="F108" s="26" t="n">
        <v>10371565</v>
      </c>
      <c r="G108" s="27" t="n">
        <f aca="false">E108-E107</f>
        <v>-3.38</v>
      </c>
      <c r="H108" s="28" t="n">
        <f aca="false">G108/E107</f>
        <v>-0.0149016841548364</v>
      </c>
      <c r="I108" s="29" t="n">
        <f aca="false">MAX(G108,0)</f>
        <v>0</v>
      </c>
      <c r="J108" s="29" t="n">
        <f aca="false">MAX(-G108,0)</f>
        <v>3.38</v>
      </c>
      <c r="K108" s="29" t="n">
        <f aca="false">(K107*13+I108)/14</f>
        <v>1.20377862116675</v>
      </c>
      <c r="L108" s="29" t="n">
        <f aca="false">(L107*13+J108)/14</f>
        <v>1.18772987028313</v>
      </c>
      <c r="M108" s="31" t="n">
        <f aca="false">IF(L108=0,100,100-100/(1+K108/MAX(L108,0.000001)))</f>
        <v>50.3355361467667</v>
      </c>
      <c r="N108" s="30" t="n">
        <f aca="false">AVERAGE(E89:E108)</f>
        <v>224.808</v>
      </c>
      <c r="O108" s="30" t="n">
        <f aca="false">AVERAGE(E59:E108)</f>
        <v>217.5576</v>
      </c>
      <c r="Q108" s="30" t="n">
        <f aca="false">Q107+(2/13)*(E108-Q107)</f>
        <v>226.089296194515</v>
      </c>
      <c r="R108" s="30" t="n">
        <f aca="false">R107+(2/27)*(E108-R107)</f>
        <v>223.408205103979</v>
      </c>
      <c r="S108" s="33" t="n">
        <f aca="false">Q108-R108</f>
        <v>2.68109109053546</v>
      </c>
      <c r="T108" s="33" t="n">
        <f aca="false">T107+(2/10)*(S108-T107)</f>
        <v>2.97288107861672</v>
      </c>
      <c r="U108" s="33" t="n">
        <f aca="false">S108-T108</f>
        <v>-0.291789988081259</v>
      </c>
      <c r="V108" s="32" t="str">
        <f aca="false">IF(M108="","",IF(M108&lt;Assumptions!$B$5,"BUY",IF(M108&gt;Assumptions!$B$4,"SELL","HOLD")))</f>
        <v>HOLD</v>
      </c>
      <c r="W108" s="32" t="str">
        <f aca="false">IF(O108="","",IF(E108&gt;O108,"BUY","SELL"))</f>
        <v>BUY</v>
      </c>
      <c r="X108" s="32" t="str">
        <f aca="false">IF(T108="","",IF(S108&gt;T108,"BUY","SELL"))</f>
        <v>SELL</v>
      </c>
      <c r="Y108" s="34" t="n">
        <f aca="false">IF(OR(V108="",W108="",X108=""),"",IFERROR(IF(V108="BUY",1,IF(V108="SELL",-1,0))+IF(W108="BUY",1,IF(W108="SELL",-1,0))+IF(X108="BUY",1,IF(X108="SELL",-1,0)),0))</f>
        <v>0</v>
      </c>
      <c r="Z108" s="32" t="str">
        <f aca="false">IF(Y108="","",IF(Y108&gt;=2,"STRONG BUY",IF(Y108=1,"BUY",IF(Y108=0,"HOLD",IF(Y108=-1,"SELL","STRONG SELL")))))</f>
        <v>HOLD</v>
      </c>
    </row>
    <row r="109" customFormat="false" ht="15" hidden="false" customHeight="false" outlineLevel="0" collapsed="false">
      <c r="A109" s="24" t="n">
        <v>45919</v>
      </c>
      <c r="B109" s="25" t="n">
        <v>221.7</v>
      </c>
      <c r="C109" s="25" t="n">
        <v>221.8</v>
      </c>
      <c r="D109" s="25" t="n">
        <v>221.7</v>
      </c>
      <c r="E109" s="25" t="n">
        <v>221.75</v>
      </c>
      <c r="F109" s="26" t="n">
        <v>9885028</v>
      </c>
      <c r="G109" s="27" t="n">
        <f aca="false">E109-E108</f>
        <v>-1.69</v>
      </c>
      <c r="H109" s="28" t="n">
        <f aca="false">G109/E108</f>
        <v>-0.00756355173648406</v>
      </c>
      <c r="I109" s="29" t="n">
        <f aca="false">MAX(G109,0)</f>
        <v>0</v>
      </c>
      <c r="J109" s="29" t="n">
        <f aca="false">MAX(-G109,0)</f>
        <v>1.69</v>
      </c>
      <c r="K109" s="29" t="n">
        <f aca="false">(K108*13+I109)/14</f>
        <v>1.11779443394055</v>
      </c>
      <c r="L109" s="29" t="n">
        <f aca="false">(L108*13+J109)/14</f>
        <v>1.22360630812005</v>
      </c>
      <c r="M109" s="31" t="n">
        <f aca="false">IF(L109=0,100,100-100/(1+K109/MAX(L109,0.000001)))</f>
        <v>47.7404151224798</v>
      </c>
      <c r="N109" s="30" t="n">
        <f aca="false">AVERAGE(E90:E109)</f>
        <v>224.8525</v>
      </c>
      <c r="O109" s="30" t="n">
        <f aca="false">AVERAGE(E60:E109)</f>
        <v>217.7984</v>
      </c>
      <c r="Q109" s="30" t="n">
        <f aca="false">Q108+(2/13)*(E109-Q108)</f>
        <v>225.421712164589</v>
      </c>
      <c r="R109" s="30" t="n">
        <f aca="false">R108+(2/27)*(E109-R108)</f>
        <v>223.285375096277</v>
      </c>
      <c r="S109" s="33" t="n">
        <f aca="false">Q109-R109</f>
        <v>2.13633706831229</v>
      </c>
      <c r="T109" s="33" t="n">
        <f aca="false">T108+(2/10)*(S109-T108)</f>
        <v>2.80557227655583</v>
      </c>
      <c r="U109" s="33" t="n">
        <f aca="false">S109-T109</f>
        <v>-0.669235208243546</v>
      </c>
      <c r="V109" s="32" t="str">
        <f aca="false">IF(M109="","",IF(M109&lt;Assumptions!$B$5,"BUY",IF(M109&gt;Assumptions!$B$4,"SELL","HOLD")))</f>
        <v>HOLD</v>
      </c>
      <c r="W109" s="32" t="str">
        <f aca="false">IF(O109="","",IF(E109&gt;O109,"BUY","SELL"))</f>
        <v>BUY</v>
      </c>
      <c r="X109" s="32" t="str">
        <f aca="false">IF(T109="","",IF(S109&gt;T109,"BUY","SELL"))</f>
        <v>SELL</v>
      </c>
      <c r="Y109" s="34" t="n">
        <f aca="false">IF(OR(V109="",W109="",X109=""),"",IFERROR(IF(V109="BUY",1,IF(V109="SELL",-1,0))+IF(W109="BUY",1,IF(W109="SELL",-1,0))+IF(X109="BUY",1,IF(X109="SELL",-1,0)),0))</f>
        <v>0</v>
      </c>
      <c r="Z109" s="32" t="str">
        <f aca="false">IF(Y109="","",IF(Y109&gt;=2,"STRONG BUY",IF(Y109=1,"BUY",IF(Y109=0,"HOLD",IF(Y109=-1,"SELL","STRONG SELL")))))</f>
        <v>HOLD</v>
      </c>
    </row>
    <row r="110" customFormat="false" ht="15" hidden="false" customHeight="false" outlineLevel="0" collapsed="false">
      <c r="A110" s="24" t="n">
        <v>45922</v>
      </c>
      <c r="B110" s="25" t="n">
        <v>224.71</v>
      </c>
      <c r="C110" s="25" t="n">
        <v>225.03</v>
      </c>
      <c r="D110" s="25" t="n">
        <v>224.69</v>
      </c>
      <c r="E110" s="25" t="n">
        <v>224.86</v>
      </c>
      <c r="F110" s="26" t="n">
        <v>9871011</v>
      </c>
      <c r="G110" s="27" t="n">
        <f aca="false">E110-E109</f>
        <v>3.11000000000001</v>
      </c>
      <c r="H110" s="28" t="n">
        <f aca="false">G110/E109</f>
        <v>0.0140248027057498</v>
      </c>
      <c r="I110" s="29" t="n">
        <f aca="false">MAX(G110,0)</f>
        <v>3.11000000000001</v>
      </c>
      <c r="J110" s="29" t="n">
        <f aca="false">MAX(-G110,0)</f>
        <v>0</v>
      </c>
      <c r="K110" s="29" t="n">
        <f aca="false">(K109*13+I110)/14</f>
        <v>1.26009483151623</v>
      </c>
      <c r="L110" s="29" t="n">
        <f aca="false">(L109*13+J110)/14</f>
        <v>1.13620585754004</v>
      </c>
      <c r="M110" s="31" t="n">
        <f aca="false">IF(L110=0,100,100-100/(1+K110/MAX(L110,0.000001)))</f>
        <v>52.585004764677</v>
      </c>
      <c r="N110" s="30" t="n">
        <f aca="false">AVERAGE(E91:E110)</f>
        <v>224.954</v>
      </c>
      <c r="O110" s="30" t="n">
        <f aca="false">AVERAGE(E61:E110)</f>
        <v>218.1158</v>
      </c>
      <c r="Q110" s="30" t="n">
        <f aca="false">Q109+(2/13)*(E110-Q109)</f>
        <v>225.335294908499</v>
      </c>
      <c r="R110" s="30" t="n">
        <f aca="false">R109+(2/27)*(E110-R109)</f>
        <v>223.402013978034</v>
      </c>
      <c r="S110" s="33" t="n">
        <f aca="false">Q110-R110</f>
        <v>1.93328093046438</v>
      </c>
      <c r="T110" s="33" t="n">
        <f aca="false">T109+(2/10)*(S110-T109)</f>
        <v>2.63111400733754</v>
      </c>
      <c r="U110" s="33" t="n">
        <f aca="false">S110-T110</f>
        <v>-0.697833076873164</v>
      </c>
      <c r="V110" s="32" t="str">
        <f aca="false">IF(M110="","",IF(M110&lt;Assumptions!$B$5,"BUY",IF(M110&gt;Assumptions!$B$4,"SELL","HOLD")))</f>
        <v>HOLD</v>
      </c>
      <c r="W110" s="32" t="str">
        <f aca="false">IF(O110="","",IF(E110&gt;O110,"BUY","SELL"))</f>
        <v>BUY</v>
      </c>
      <c r="X110" s="32" t="str">
        <f aca="false">IF(T110="","",IF(S110&gt;T110,"BUY","SELL"))</f>
        <v>SELL</v>
      </c>
      <c r="Y110" s="34" t="n">
        <f aca="false">IF(OR(V110="",W110="",X110=""),"",IFERROR(IF(V110="BUY",1,IF(V110="SELL",-1,0))+IF(W110="BUY",1,IF(W110="SELL",-1,0))+IF(X110="BUY",1,IF(X110="SELL",-1,0)),0))</f>
        <v>0</v>
      </c>
      <c r="Z110" s="32" t="str">
        <f aca="false">IF(Y110="","",IF(Y110&gt;=2,"STRONG BUY",IF(Y110=1,"BUY",IF(Y110=0,"HOLD",IF(Y110=-1,"SELL","STRONG SELL")))))</f>
        <v>HOLD</v>
      </c>
    </row>
    <row r="111" customFormat="false" ht="15" hidden="false" customHeight="false" outlineLevel="0" collapsed="false">
      <c r="A111" s="24" t="n">
        <v>45923</v>
      </c>
      <c r="B111" s="25" t="n">
        <v>224.03</v>
      </c>
      <c r="C111" s="25" t="n">
        <v>226.06</v>
      </c>
      <c r="D111" s="25" t="n">
        <v>222.36</v>
      </c>
      <c r="E111" s="25" t="n">
        <v>224.21</v>
      </c>
      <c r="F111" s="26" t="n">
        <v>11509314</v>
      </c>
      <c r="G111" s="27" t="n">
        <f aca="false">E111-E110</f>
        <v>-0.650000000000006</v>
      </c>
      <c r="H111" s="28" t="n">
        <f aca="false">G111/E110</f>
        <v>-0.00289068753891313</v>
      </c>
      <c r="I111" s="29" t="n">
        <f aca="false">MAX(G111,0)</f>
        <v>0</v>
      </c>
      <c r="J111" s="29" t="n">
        <f aca="false">MAX(-G111,0)</f>
        <v>0.650000000000006</v>
      </c>
      <c r="K111" s="29" t="n">
        <f aca="false">(K110*13+I111)/14</f>
        <v>1.1700880578365</v>
      </c>
      <c r="L111" s="29" t="n">
        <f aca="false">(L110*13+J111)/14</f>
        <v>1.10147686771575</v>
      </c>
      <c r="M111" s="31" t="n">
        <f aca="false">IF(L111=0,100,100-100/(1+K111/MAX(L111,0.000001)))</f>
        <v>51.5102185578971</v>
      </c>
      <c r="N111" s="30" t="n">
        <f aca="false">AVERAGE(E92:E111)</f>
        <v>225.0795</v>
      </c>
      <c r="O111" s="30" t="n">
        <f aca="false">AVERAGE(E62:E111)</f>
        <v>218.4796</v>
      </c>
      <c r="Q111" s="30" t="n">
        <f aca="false">Q110+(2/13)*(E111-Q110)</f>
        <v>225.162172614884</v>
      </c>
      <c r="R111" s="30" t="n">
        <f aca="false">R110+(2/27)*(E111-R110)</f>
        <v>223.461864794476</v>
      </c>
      <c r="S111" s="33" t="n">
        <f aca="false">Q111-R111</f>
        <v>1.70030782040729</v>
      </c>
      <c r="T111" s="33" t="n">
        <f aca="false">T110+(2/10)*(S111-T110)</f>
        <v>2.44495276995149</v>
      </c>
      <c r="U111" s="33" t="n">
        <f aca="false">S111-T111</f>
        <v>-0.744644949544202</v>
      </c>
      <c r="V111" s="32" t="str">
        <f aca="false">IF(M111="","",IF(M111&lt;Assumptions!$B$5,"BUY",IF(M111&gt;Assumptions!$B$4,"SELL","HOLD")))</f>
        <v>HOLD</v>
      </c>
      <c r="W111" s="32" t="str">
        <f aca="false">IF(O111="","",IF(E111&gt;O111,"BUY","SELL"))</f>
        <v>BUY</v>
      </c>
      <c r="X111" s="32" t="str">
        <f aca="false">IF(T111="","",IF(S111&gt;T111,"BUY","SELL"))</f>
        <v>SELL</v>
      </c>
      <c r="Y111" s="34" t="n">
        <f aca="false">IF(OR(V111="",W111="",X111=""),"",IFERROR(IF(V111="BUY",1,IF(V111="SELL",-1,0))+IF(W111="BUY",1,IF(W111="SELL",-1,0))+IF(X111="BUY",1,IF(X111="SELL",-1,0)),0))</f>
        <v>0</v>
      </c>
      <c r="Z111" s="32" t="str">
        <f aca="false">IF(Y111="","",IF(Y111&gt;=2,"STRONG BUY",IF(Y111=1,"BUY",IF(Y111=0,"HOLD",IF(Y111=-1,"SELL","STRONG SELL")))))</f>
        <v>HOLD</v>
      </c>
    </row>
    <row r="112" customFormat="false" ht="15" hidden="false" customHeight="false" outlineLevel="0" collapsed="false">
      <c r="A112" s="24" t="n">
        <v>45924</v>
      </c>
      <c r="B112" s="25" t="n">
        <v>224.04</v>
      </c>
      <c r="C112" s="25" t="n">
        <v>227.64</v>
      </c>
      <c r="D112" s="25" t="n">
        <v>221.86</v>
      </c>
      <c r="E112" s="25" t="n">
        <v>224.75</v>
      </c>
      <c r="F112" s="26" t="n">
        <v>8437682</v>
      </c>
      <c r="G112" s="27" t="n">
        <f aca="false">E112-E111</f>
        <v>0.539999999999992</v>
      </c>
      <c r="H112" s="28" t="n">
        <f aca="false">G112/E111</f>
        <v>0.00240845635787874</v>
      </c>
      <c r="I112" s="29" t="n">
        <f aca="false">MAX(G112,0)</f>
        <v>0.539999999999992</v>
      </c>
      <c r="J112" s="29" t="n">
        <f aca="false">MAX(-G112,0)</f>
        <v>0</v>
      </c>
      <c r="K112" s="29" t="n">
        <f aca="false">(K111*13+I112)/14</f>
        <v>1.12508176799103</v>
      </c>
      <c r="L112" s="29" t="n">
        <f aca="false">(L111*13+J112)/14</f>
        <v>1.0227999485932</v>
      </c>
      <c r="M112" s="31" t="n">
        <f aca="false">IF(L112=0,100,100-100/(1+K112/MAX(L112,0.000001)))</f>
        <v>52.3809928314044</v>
      </c>
      <c r="N112" s="30" t="n">
        <f aca="false">AVERAGE(E93:E112)</f>
        <v>225.135</v>
      </c>
      <c r="O112" s="30" t="n">
        <f aca="false">AVERAGE(E63:E112)</f>
        <v>218.7738</v>
      </c>
      <c r="Q112" s="30" t="n">
        <f aca="false">Q111+(2/13)*(E112-Q111)</f>
        <v>225.098761443363</v>
      </c>
      <c r="R112" s="30" t="n">
        <f aca="false">R111+(2/27)*(E112-R111)</f>
        <v>223.557282217108</v>
      </c>
      <c r="S112" s="33" t="n">
        <f aca="false">Q112-R112</f>
        <v>1.54147922625535</v>
      </c>
      <c r="T112" s="33" t="n">
        <f aca="false">T111+(2/10)*(S112-T111)</f>
        <v>2.26425806121226</v>
      </c>
      <c r="U112" s="33" t="n">
        <f aca="false">S112-T112</f>
        <v>-0.722778834956915</v>
      </c>
      <c r="V112" s="32" t="str">
        <f aca="false">IF(M112="","",IF(M112&lt;Assumptions!$B$5,"BUY",IF(M112&gt;Assumptions!$B$4,"SELL","HOLD")))</f>
        <v>HOLD</v>
      </c>
      <c r="W112" s="32" t="str">
        <f aca="false">IF(O112="","",IF(E112&gt;O112,"BUY","SELL"))</f>
        <v>BUY</v>
      </c>
      <c r="X112" s="32" t="str">
        <f aca="false">IF(T112="","",IF(S112&gt;T112,"BUY","SELL"))</f>
        <v>SELL</v>
      </c>
      <c r="Y112" s="34" t="n">
        <f aca="false">IF(OR(V112="",W112="",X112=""),"",IFERROR(IF(V112="BUY",1,IF(V112="SELL",-1,0))+IF(W112="BUY",1,IF(W112="SELL",-1,0))+IF(X112="BUY",1,IF(X112="SELL",-1,0)),0))</f>
        <v>0</v>
      </c>
      <c r="Z112" s="32" t="str">
        <f aca="false">IF(Y112="","",IF(Y112&gt;=2,"STRONG BUY",IF(Y112=1,"BUY",IF(Y112=0,"HOLD",IF(Y112=-1,"SELL","STRONG SELL")))))</f>
        <v>HOLD</v>
      </c>
    </row>
    <row r="113" customFormat="false" ht="15" hidden="false" customHeight="false" outlineLevel="0" collapsed="false">
      <c r="A113" s="24" t="n">
        <v>45925</v>
      </c>
      <c r="B113" s="25" t="n">
        <v>220.38</v>
      </c>
      <c r="C113" s="25" t="n">
        <v>220.98</v>
      </c>
      <c r="D113" s="25" t="n">
        <v>220.38</v>
      </c>
      <c r="E113" s="25" t="n">
        <v>220.68</v>
      </c>
      <c r="F113" s="26" t="n">
        <v>9203777</v>
      </c>
      <c r="G113" s="27" t="n">
        <f aca="false">E113-E112</f>
        <v>-4.06999999999999</v>
      </c>
      <c r="H113" s="28" t="n">
        <f aca="false">G113/E112</f>
        <v>-0.0181090100111234</v>
      </c>
      <c r="I113" s="29" t="n">
        <f aca="false">MAX(G113,0)</f>
        <v>0</v>
      </c>
      <c r="J113" s="29" t="n">
        <f aca="false">MAX(-G113,0)</f>
        <v>4.06999999999999</v>
      </c>
      <c r="K113" s="29" t="n">
        <f aca="false">(K112*13+I113)/14</f>
        <v>1.0447187845631</v>
      </c>
      <c r="L113" s="29" t="n">
        <f aca="false">(L112*13+J113)/14</f>
        <v>1.24045709512226</v>
      </c>
      <c r="M113" s="31" t="n">
        <f aca="false">IF(L113=0,100,100-100/(1+K113/MAX(L113,0.000001)))</f>
        <v>45.7172156353649</v>
      </c>
      <c r="N113" s="30" t="n">
        <f aca="false">AVERAGE(E94:E113)</f>
        <v>225.0085</v>
      </c>
      <c r="O113" s="30" t="n">
        <f aca="false">AVERAGE(E64:E113)</f>
        <v>219.0148</v>
      </c>
      <c r="Q113" s="30" t="n">
        <f aca="false">Q112+(2/13)*(E113-Q112)</f>
        <v>224.418951990538</v>
      </c>
      <c r="R113" s="30" t="n">
        <f aca="false">R112+(2/27)*(E113-R112)</f>
        <v>223.344150201026</v>
      </c>
      <c r="S113" s="33" t="n">
        <f aca="false">Q113-R113</f>
        <v>1.07480178951232</v>
      </c>
      <c r="T113" s="33" t="n">
        <f aca="false">T112+(2/10)*(S113-T112)</f>
        <v>2.02636680687227</v>
      </c>
      <c r="U113" s="33" t="n">
        <f aca="false">S113-T113</f>
        <v>-0.951565017359953</v>
      </c>
      <c r="V113" s="32" t="str">
        <f aca="false">IF(M113="","",IF(M113&lt;Assumptions!$B$5,"BUY",IF(M113&gt;Assumptions!$B$4,"SELL","HOLD")))</f>
        <v>HOLD</v>
      </c>
      <c r="W113" s="32" t="str">
        <f aca="false">IF(O113="","",IF(E113&gt;O113,"BUY","SELL"))</f>
        <v>BUY</v>
      </c>
      <c r="X113" s="32" t="str">
        <f aca="false">IF(T113="","",IF(S113&gt;T113,"BUY","SELL"))</f>
        <v>SELL</v>
      </c>
      <c r="Y113" s="34" t="n">
        <f aca="false">IF(OR(V113="",W113="",X113=""),"",IFERROR(IF(V113="BUY",1,IF(V113="SELL",-1,0))+IF(W113="BUY",1,IF(W113="SELL",-1,0))+IF(X113="BUY",1,IF(X113="SELL",-1,0)),0))</f>
        <v>0</v>
      </c>
      <c r="Z113" s="32" t="str">
        <f aca="false">IF(Y113="","",IF(Y113&gt;=2,"STRONG BUY",IF(Y113=1,"BUY",IF(Y113=0,"HOLD",IF(Y113=-1,"SELL","STRONG SELL")))))</f>
        <v>HOLD</v>
      </c>
    </row>
    <row r="114" customFormat="false" ht="15" hidden="false" customHeight="false" outlineLevel="0" collapsed="false">
      <c r="A114" s="24" t="n">
        <v>45926</v>
      </c>
      <c r="B114" s="25" t="n">
        <v>224.21</v>
      </c>
      <c r="C114" s="25" t="n">
        <v>224.52</v>
      </c>
      <c r="D114" s="25" t="n">
        <v>222.14</v>
      </c>
      <c r="E114" s="25" t="n">
        <v>223.33</v>
      </c>
      <c r="F114" s="26" t="n">
        <v>8545147</v>
      </c>
      <c r="G114" s="27" t="n">
        <f aca="false">E114-E113</f>
        <v>2.65000000000001</v>
      </c>
      <c r="H114" s="28" t="n">
        <f aca="false">G114/E113</f>
        <v>0.0120083378647816</v>
      </c>
      <c r="I114" s="29" t="n">
        <f aca="false">MAX(G114,0)</f>
        <v>2.65000000000001</v>
      </c>
      <c r="J114" s="29" t="n">
        <f aca="false">MAX(-G114,0)</f>
        <v>0</v>
      </c>
      <c r="K114" s="29" t="n">
        <f aca="false">(K113*13+I114)/14</f>
        <v>1.15938172852288</v>
      </c>
      <c r="L114" s="29" t="n">
        <f aca="false">(L113*13+J114)/14</f>
        <v>1.15185301689924</v>
      </c>
      <c r="M114" s="31" t="n">
        <f aca="false">IF(L114=0,100,100-100/(1+K114/MAX(L114,0.000001)))</f>
        <v>50.1628720673777</v>
      </c>
      <c r="N114" s="30" t="n">
        <f aca="false">AVERAGE(E95:E114)</f>
        <v>225.0765</v>
      </c>
      <c r="O114" s="30" t="n">
        <f aca="false">AVERAGE(E65:E114)</f>
        <v>219.3396</v>
      </c>
      <c r="Q114" s="30" t="n">
        <f aca="false">Q113+(2/13)*(E114-Q113)</f>
        <v>224.251420915071</v>
      </c>
      <c r="R114" s="30" t="n">
        <f aca="false">R113+(2/27)*(E114-R113)</f>
        <v>223.343102037987</v>
      </c>
      <c r="S114" s="33" t="n">
        <f aca="false">Q114-R114</f>
        <v>0.9083188770839</v>
      </c>
      <c r="T114" s="33" t="n">
        <f aca="false">T113+(2/10)*(S114-T113)</f>
        <v>1.8027572209146</v>
      </c>
      <c r="U114" s="33" t="n">
        <f aca="false">S114-T114</f>
        <v>-0.894438343830699</v>
      </c>
      <c r="V114" s="32" t="str">
        <f aca="false">IF(M114="","",IF(M114&lt;Assumptions!$B$5,"BUY",IF(M114&gt;Assumptions!$B$4,"SELL","HOLD")))</f>
        <v>HOLD</v>
      </c>
      <c r="W114" s="32" t="str">
        <f aca="false">IF(O114="","",IF(E114&gt;O114,"BUY","SELL"))</f>
        <v>BUY</v>
      </c>
      <c r="X114" s="32" t="str">
        <f aca="false">IF(T114="","",IF(S114&gt;T114,"BUY","SELL"))</f>
        <v>SELL</v>
      </c>
      <c r="Y114" s="34" t="n">
        <f aca="false">IF(OR(V114="",W114="",X114=""),"",IFERROR(IF(V114="BUY",1,IF(V114="SELL",-1,0))+IF(W114="BUY",1,IF(W114="SELL",-1,0))+IF(X114="BUY",1,IF(X114="SELL",-1,0)),0))</f>
        <v>0</v>
      </c>
      <c r="Z114" s="32" t="str">
        <f aca="false">IF(Y114="","",IF(Y114&gt;=2,"STRONG BUY",IF(Y114=1,"BUY",IF(Y114=0,"HOLD",IF(Y114=-1,"SELL","STRONG SELL")))))</f>
        <v>HOLD</v>
      </c>
    </row>
    <row r="115" customFormat="false" ht="15" hidden="false" customHeight="false" outlineLevel="0" collapsed="false">
      <c r="A115" s="24" t="n">
        <v>45929</v>
      </c>
      <c r="B115" s="25" t="n">
        <v>223.46</v>
      </c>
      <c r="C115" s="25" t="n">
        <v>225.13</v>
      </c>
      <c r="D115" s="25" t="n">
        <v>220.27</v>
      </c>
      <c r="E115" s="25" t="n">
        <v>222.7</v>
      </c>
      <c r="F115" s="26" t="n">
        <v>9544455</v>
      </c>
      <c r="G115" s="27" t="n">
        <f aca="false">E115-E114</f>
        <v>-0.630000000000024</v>
      </c>
      <c r="H115" s="28" t="n">
        <f aca="false">G115/E114</f>
        <v>-0.00282093762593482</v>
      </c>
      <c r="I115" s="29" t="n">
        <f aca="false">MAX(G115,0)</f>
        <v>0</v>
      </c>
      <c r="J115" s="29" t="n">
        <f aca="false">MAX(-G115,0)</f>
        <v>0.630000000000024</v>
      </c>
      <c r="K115" s="29" t="n">
        <f aca="false">(K114*13+I115)/14</f>
        <v>1.0765687479141</v>
      </c>
      <c r="L115" s="29" t="n">
        <f aca="false">(L114*13+J115)/14</f>
        <v>1.11457780140644</v>
      </c>
      <c r="M115" s="31" t="n">
        <f aca="false">IF(L115=0,100,100-100/(1+K115/MAX(L115,0.000001)))</f>
        <v>49.1326674725586</v>
      </c>
      <c r="N115" s="30" t="n">
        <f aca="false">AVERAGE(E96:E115)</f>
        <v>225.1615</v>
      </c>
      <c r="O115" s="30" t="n">
        <f aca="false">AVERAGE(E66:E115)</f>
        <v>219.689</v>
      </c>
      <c r="Q115" s="30" t="n">
        <f aca="false">Q114+(2/13)*(E115-Q114)</f>
        <v>224.01274077429</v>
      </c>
      <c r="R115" s="30" t="n">
        <f aca="false">R114+(2/27)*(E115-R114)</f>
        <v>223.295464849988</v>
      </c>
      <c r="S115" s="33" t="n">
        <f aca="false">Q115-R115</f>
        <v>0.71727592430284</v>
      </c>
      <c r="T115" s="33" t="n">
        <f aca="false">T114+(2/10)*(S115-T114)</f>
        <v>1.58566096159225</v>
      </c>
      <c r="U115" s="33" t="n">
        <f aca="false">S115-T115</f>
        <v>-0.868385037289408</v>
      </c>
      <c r="V115" s="32" t="str">
        <f aca="false">IF(M115="","",IF(M115&lt;Assumptions!$B$5,"BUY",IF(M115&gt;Assumptions!$B$4,"SELL","HOLD")))</f>
        <v>HOLD</v>
      </c>
      <c r="W115" s="32" t="str">
        <f aca="false">IF(O115="","",IF(E115&gt;O115,"BUY","SELL"))</f>
        <v>BUY</v>
      </c>
      <c r="X115" s="32" t="str">
        <f aca="false">IF(T115="","",IF(S115&gt;T115,"BUY","SELL"))</f>
        <v>SELL</v>
      </c>
      <c r="Y115" s="34" t="n">
        <f aca="false">IF(OR(V115="",W115="",X115=""),"",IFERROR(IF(V115="BUY",1,IF(V115="SELL",-1,0))+IF(W115="BUY",1,IF(W115="SELL",-1,0))+IF(X115="BUY",1,IF(X115="SELL",-1,0)),0))</f>
        <v>0</v>
      </c>
      <c r="Z115" s="32" t="str">
        <f aca="false">IF(Y115="","",IF(Y115&gt;=2,"STRONG BUY",IF(Y115=1,"BUY",IF(Y115=0,"HOLD",IF(Y115=-1,"SELL","STRONG SELL")))))</f>
        <v>HOLD</v>
      </c>
    </row>
    <row r="116" customFormat="false" ht="15" hidden="false" customHeight="false" outlineLevel="0" collapsed="false">
      <c r="A116" s="24" t="n">
        <v>45930</v>
      </c>
      <c r="B116" s="25" t="n">
        <v>218.89</v>
      </c>
      <c r="C116" s="25" t="n">
        <v>221.46</v>
      </c>
      <c r="D116" s="25" t="n">
        <v>217.72</v>
      </c>
      <c r="E116" s="25" t="n">
        <v>219.59</v>
      </c>
      <c r="F116" s="26" t="n">
        <v>7178964</v>
      </c>
      <c r="G116" s="27" t="n">
        <f aca="false">E116-E115</f>
        <v>-3.10999999999999</v>
      </c>
      <c r="H116" s="28" t="n">
        <f aca="false">G116/E115</f>
        <v>-0.0139649753030983</v>
      </c>
      <c r="I116" s="29" t="n">
        <f aca="false">MAX(G116,0)</f>
        <v>0</v>
      </c>
      <c r="J116" s="29" t="n">
        <f aca="false">MAX(-G116,0)</f>
        <v>3.10999999999999</v>
      </c>
      <c r="K116" s="29" t="n">
        <f aca="false">(K115*13+I116)/14</f>
        <v>0.999670980205952</v>
      </c>
      <c r="L116" s="29" t="n">
        <f aca="false">(L115*13+J116)/14</f>
        <v>1.25710795844883</v>
      </c>
      <c r="M116" s="31" t="n">
        <f aca="false">IF(L116=0,100,100-100/(1+K116/MAX(L116,0.000001)))</f>
        <v>44.2963625317167</v>
      </c>
      <c r="N116" s="30" t="n">
        <f aca="false">AVERAGE(E97:E116)</f>
        <v>224.945</v>
      </c>
      <c r="O116" s="30" t="n">
        <f aca="false">AVERAGE(E67:E116)</f>
        <v>219.956</v>
      </c>
      <c r="Q116" s="30" t="n">
        <f aca="false">Q115+(2/13)*(E116-Q115)</f>
        <v>223.332319116707</v>
      </c>
      <c r="R116" s="30" t="n">
        <f aca="false">R115+(2/27)*(E116-R115)</f>
        <v>223.020985972211</v>
      </c>
      <c r="S116" s="33" t="n">
        <f aca="false">Q116-R116</f>
        <v>0.311333144496558</v>
      </c>
      <c r="T116" s="33" t="n">
        <f aca="false">T115+(2/10)*(S116-T115)</f>
        <v>1.33079539817311</v>
      </c>
      <c r="U116" s="33" t="n">
        <f aca="false">S116-T116</f>
        <v>-1.01946225367655</v>
      </c>
      <c r="V116" s="32" t="str">
        <f aca="false">IF(M116="","",IF(M116&lt;Assumptions!$B$5,"BUY",IF(M116&gt;Assumptions!$B$4,"SELL","HOLD")))</f>
        <v>HOLD</v>
      </c>
      <c r="W116" s="32" t="str">
        <f aca="false">IF(O116="","",IF(E116&gt;O116,"BUY","SELL"))</f>
        <v>SELL</v>
      </c>
      <c r="X116" s="32" t="str">
        <f aca="false">IF(T116="","",IF(S116&gt;T116,"BUY","SELL"))</f>
        <v>SELL</v>
      </c>
      <c r="Y116" s="34" t="n">
        <f aca="false">IF(OR(V116="",W116="",X116=""),"",IFERROR(IF(V116="BUY",1,IF(V116="SELL",-1,0))+IF(W116="BUY",1,IF(W116="SELL",-1,0))+IF(X116="BUY",1,IF(X116="SELL",-1,0)),0))</f>
        <v>-2</v>
      </c>
      <c r="Z116" s="32" t="str">
        <f aca="false">IF(Y116="","",IF(Y116&gt;=2,"STRONG BUY",IF(Y116=1,"BUY",IF(Y116=0,"HOLD",IF(Y116=-1,"SELL","STRONG SELL")))))</f>
        <v>STRONG SELL</v>
      </c>
    </row>
    <row r="117" customFormat="false" ht="15" hidden="false" customHeight="false" outlineLevel="0" collapsed="false">
      <c r="A117" s="24" t="n">
        <v>45931</v>
      </c>
      <c r="B117" s="25" t="n">
        <v>221.17</v>
      </c>
      <c r="C117" s="25" t="n">
        <v>222.71</v>
      </c>
      <c r="D117" s="25" t="n">
        <v>218.09</v>
      </c>
      <c r="E117" s="25" t="n">
        <v>220.4</v>
      </c>
      <c r="F117" s="26" t="n">
        <v>12631666</v>
      </c>
      <c r="G117" s="27" t="n">
        <f aca="false">E117-E116</f>
        <v>0.810000000000002</v>
      </c>
      <c r="H117" s="28" t="n">
        <f aca="false">G117/E116</f>
        <v>0.00368869256341364</v>
      </c>
      <c r="I117" s="29" t="n">
        <f aca="false">MAX(G117,0)</f>
        <v>0.810000000000002</v>
      </c>
      <c r="J117" s="29" t="n">
        <f aca="false">MAX(-G117,0)</f>
        <v>0</v>
      </c>
      <c r="K117" s="29" t="n">
        <f aca="false">(K116*13+I117)/14</f>
        <v>0.986123053048384</v>
      </c>
      <c r="L117" s="29" t="n">
        <f aca="false">(L116*13+J117)/14</f>
        <v>1.16731453284535</v>
      </c>
      <c r="M117" s="31" t="n">
        <f aca="false">IF(L117=0,100,100-100/(1+K117/MAX(L117,0.000001)))</f>
        <v>45.7929711781788</v>
      </c>
      <c r="N117" s="30" t="n">
        <f aca="false">AVERAGE(E98:E117)</f>
        <v>224.8365</v>
      </c>
      <c r="O117" s="30" t="n">
        <f aca="false">AVERAGE(E68:E117)</f>
        <v>220.175</v>
      </c>
      <c r="Q117" s="30" t="n">
        <f aca="false">Q116+(2/13)*(E117-Q116)</f>
        <v>222.881193098752</v>
      </c>
      <c r="R117" s="30" t="n">
        <f aca="false">R116+(2/27)*(E117-R116)</f>
        <v>222.826838863158</v>
      </c>
      <c r="S117" s="33" t="n">
        <f aca="false">Q117-R117</f>
        <v>0.0543542355942179</v>
      </c>
      <c r="T117" s="33" t="n">
        <f aca="false">T116+(2/10)*(S117-T116)</f>
        <v>1.07550716565733</v>
      </c>
      <c r="U117" s="33" t="n">
        <f aca="false">S117-T117</f>
        <v>-1.02115293006311</v>
      </c>
      <c r="V117" s="32" t="str">
        <f aca="false">IF(M117="","",IF(M117&lt;Assumptions!$B$5,"BUY",IF(M117&gt;Assumptions!$B$4,"SELL","HOLD")))</f>
        <v>HOLD</v>
      </c>
      <c r="W117" s="32" t="str">
        <f aca="false">IF(O117="","",IF(E117&gt;O117,"BUY","SELL"))</f>
        <v>BUY</v>
      </c>
      <c r="X117" s="32" t="str">
        <f aca="false">IF(T117="","",IF(S117&gt;T117,"BUY","SELL"))</f>
        <v>SELL</v>
      </c>
      <c r="Y117" s="34" t="n">
        <f aca="false">IF(OR(V117="",W117="",X117=""),"",IFERROR(IF(V117="BUY",1,IF(V117="SELL",-1,0))+IF(W117="BUY",1,IF(W117="SELL",-1,0))+IF(X117="BUY",1,IF(X117="SELL",-1,0)),0))</f>
        <v>0</v>
      </c>
      <c r="Z117" s="32" t="str">
        <f aca="false">IF(Y117="","",IF(Y117&gt;=2,"STRONG BUY",IF(Y117=1,"BUY",IF(Y117=0,"HOLD",IF(Y117=-1,"SELL","STRONG SELL")))))</f>
        <v>HOLD</v>
      </c>
    </row>
    <row r="118" customFormat="false" ht="15" hidden="false" customHeight="false" outlineLevel="0" collapsed="false">
      <c r="A118" s="24" t="n">
        <v>45932</v>
      </c>
      <c r="B118" s="25" t="n">
        <v>220.96</v>
      </c>
      <c r="C118" s="25" t="n">
        <v>222.26</v>
      </c>
      <c r="D118" s="25" t="n">
        <v>220.96</v>
      </c>
      <c r="E118" s="25" t="n">
        <v>221.61</v>
      </c>
      <c r="F118" s="26" t="n">
        <v>11149543</v>
      </c>
      <c r="G118" s="27" t="n">
        <f aca="false">E118-E117</f>
        <v>1.21000000000001</v>
      </c>
      <c r="H118" s="28" t="n">
        <f aca="false">G118/E117</f>
        <v>0.00549001814882036</v>
      </c>
      <c r="I118" s="29" t="n">
        <f aca="false">MAX(G118,0)</f>
        <v>1.21000000000001</v>
      </c>
      <c r="J118" s="29" t="n">
        <f aca="false">MAX(-G118,0)</f>
        <v>0</v>
      </c>
      <c r="K118" s="29" t="n">
        <f aca="false">(K117*13+I118)/14</f>
        <v>1.00211426354493</v>
      </c>
      <c r="L118" s="29" t="n">
        <f aca="false">(L117*13+J118)/14</f>
        <v>1.08393492335639</v>
      </c>
      <c r="M118" s="31" t="n">
        <f aca="false">IF(L118=0,100,100-100/(1+K118/MAX(L118,0.000001)))</f>
        <v>48.0388607247319</v>
      </c>
      <c r="N118" s="30" t="n">
        <f aca="false">AVERAGE(E99:E118)</f>
        <v>224.796</v>
      </c>
      <c r="O118" s="30" t="n">
        <f aca="false">AVERAGE(E69:E118)</f>
        <v>220.4052</v>
      </c>
      <c r="Q118" s="30" t="n">
        <f aca="false">Q117+(2/13)*(E118-Q117)</f>
        <v>222.685624929714</v>
      </c>
      <c r="R118" s="30" t="n">
        <f aca="false">R117+(2/27)*(E118-R117)</f>
        <v>222.736702651072</v>
      </c>
      <c r="S118" s="33" t="n">
        <f aca="false">Q118-R118</f>
        <v>-0.0510777213588369</v>
      </c>
      <c r="T118" s="33" t="n">
        <f aca="false">T117+(2/10)*(S118-T117)</f>
        <v>0.850190188254098</v>
      </c>
      <c r="U118" s="33" t="n">
        <f aca="false">S118-T118</f>
        <v>-0.901267909612935</v>
      </c>
      <c r="V118" s="32" t="str">
        <f aca="false">IF(M118="","",IF(M118&lt;Assumptions!$B$5,"BUY",IF(M118&gt;Assumptions!$B$4,"SELL","HOLD")))</f>
        <v>HOLD</v>
      </c>
      <c r="W118" s="32" t="str">
        <f aca="false">IF(O118="","",IF(E118&gt;O118,"BUY","SELL"))</f>
        <v>BUY</v>
      </c>
      <c r="X118" s="32" t="str">
        <f aca="false">IF(T118="","",IF(S118&gt;T118,"BUY","SELL"))</f>
        <v>SELL</v>
      </c>
      <c r="Y118" s="34" t="n">
        <f aca="false">IF(OR(V118="",W118="",X118=""),"",IFERROR(IF(V118="BUY",1,IF(V118="SELL",-1,0))+IF(W118="BUY",1,IF(W118="SELL",-1,0))+IF(X118="BUY",1,IF(X118="SELL",-1,0)),0))</f>
        <v>0</v>
      </c>
      <c r="Z118" s="32" t="str">
        <f aca="false">IF(Y118="","",IF(Y118&gt;=2,"STRONG BUY",IF(Y118=1,"BUY",IF(Y118=0,"HOLD",IF(Y118=-1,"SELL","STRONG SELL")))))</f>
        <v>HOLD</v>
      </c>
    </row>
    <row r="119" customFormat="false" ht="15" hidden="false" customHeight="false" outlineLevel="0" collapsed="false">
      <c r="A119" s="24" t="n">
        <v>45933</v>
      </c>
      <c r="B119" s="25" t="n">
        <v>221.39</v>
      </c>
      <c r="C119" s="25" t="n">
        <v>222.82</v>
      </c>
      <c r="D119" s="25" t="n">
        <v>220.86</v>
      </c>
      <c r="E119" s="25" t="n">
        <v>221.84</v>
      </c>
      <c r="F119" s="26" t="n">
        <v>12310616</v>
      </c>
      <c r="G119" s="27" t="n">
        <f aca="false">E119-E118</f>
        <v>0.22999999999999</v>
      </c>
      <c r="H119" s="28" t="n">
        <f aca="false">G119/E118</f>
        <v>0.00103785930237801</v>
      </c>
      <c r="I119" s="29" t="n">
        <f aca="false">MAX(G119,0)</f>
        <v>0.22999999999999</v>
      </c>
      <c r="J119" s="29" t="n">
        <f aca="false">MAX(-G119,0)</f>
        <v>0</v>
      </c>
      <c r="K119" s="29" t="n">
        <f aca="false">(K118*13+I119)/14</f>
        <v>0.946963244720291</v>
      </c>
      <c r="L119" s="29" t="n">
        <f aca="false">(L118*13+J119)/14</f>
        <v>1.00651100025951</v>
      </c>
      <c r="M119" s="31" t="n">
        <f aca="false">IF(L119=0,100,100-100/(1+K119/MAX(L119,0.000001)))</f>
        <v>48.4758499966855</v>
      </c>
      <c r="N119" s="30" t="n">
        <f aca="false">AVERAGE(E100:E119)</f>
        <v>224.6405</v>
      </c>
      <c r="O119" s="30" t="n">
        <f aca="false">AVERAGE(E70:E119)</f>
        <v>220.6752</v>
      </c>
      <c r="Q119" s="30" t="n">
        <f aca="false">Q118+(2/13)*(E119-Q118)</f>
        <v>222.555528786681</v>
      </c>
      <c r="R119" s="30" t="n">
        <f aca="false">R118+(2/27)*(E119-R118)</f>
        <v>222.670280232474</v>
      </c>
      <c r="S119" s="33" t="n">
        <f aca="false">Q119-R119</f>
        <v>-0.114751445793729</v>
      </c>
      <c r="T119" s="33" t="n">
        <f aca="false">T118+(2/10)*(S119-T118)</f>
        <v>0.657201861444532</v>
      </c>
      <c r="U119" s="33" t="n">
        <f aca="false">S119-T119</f>
        <v>-0.771953307238261</v>
      </c>
      <c r="V119" s="32" t="str">
        <f aca="false">IF(M119="","",IF(M119&lt;Assumptions!$B$5,"BUY",IF(M119&gt;Assumptions!$B$4,"SELL","HOLD")))</f>
        <v>HOLD</v>
      </c>
      <c r="W119" s="32" t="str">
        <f aca="false">IF(O119="","",IF(E119&gt;O119,"BUY","SELL"))</f>
        <v>BUY</v>
      </c>
      <c r="X119" s="32" t="str">
        <f aca="false">IF(T119="","",IF(S119&gt;T119,"BUY","SELL"))</f>
        <v>SELL</v>
      </c>
      <c r="Y119" s="34" t="n">
        <f aca="false">IF(OR(V119="",W119="",X119=""),"",IFERROR(IF(V119="BUY",1,IF(V119="SELL",-1,0))+IF(W119="BUY",1,IF(W119="SELL",-1,0))+IF(X119="BUY",1,IF(X119="SELL",-1,0)),0))</f>
        <v>0</v>
      </c>
      <c r="Z119" s="32" t="str">
        <f aca="false">IF(Y119="","",IF(Y119&gt;=2,"STRONG BUY",IF(Y119=1,"BUY",IF(Y119=0,"HOLD",IF(Y119=-1,"SELL","STRONG SELL")))))</f>
        <v>HOLD</v>
      </c>
    </row>
    <row r="120" customFormat="false" ht="15" hidden="false" customHeight="false" outlineLevel="0" collapsed="false">
      <c r="A120" s="24" t="n">
        <v>45936</v>
      </c>
      <c r="B120" s="25" t="n">
        <v>224.87</v>
      </c>
      <c r="C120" s="25" t="n">
        <v>225.52</v>
      </c>
      <c r="D120" s="25" t="n">
        <v>224.56</v>
      </c>
      <c r="E120" s="25" t="n">
        <v>225.04</v>
      </c>
      <c r="F120" s="26" t="n">
        <v>12513185</v>
      </c>
      <c r="G120" s="27" t="n">
        <f aca="false">E120-E119</f>
        <v>3.19999999999999</v>
      </c>
      <c r="H120" s="28" t="n">
        <f aca="false">G120/E119</f>
        <v>0.0144248106743598</v>
      </c>
      <c r="I120" s="29" t="n">
        <f aca="false">MAX(G120,0)</f>
        <v>3.19999999999999</v>
      </c>
      <c r="J120" s="29" t="n">
        <f aca="false">MAX(-G120,0)</f>
        <v>0</v>
      </c>
      <c r="K120" s="29" t="n">
        <f aca="false">(K119*13+I120)/14</f>
        <v>1.10789444152598</v>
      </c>
      <c r="L120" s="29" t="n">
        <f aca="false">(L119*13+J120)/14</f>
        <v>0.934617357383828</v>
      </c>
      <c r="M120" s="31" t="n">
        <f aca="false">IF(L120=0,100,100-100/(1+K120/MAX(L120,0.000001)))</f>
        <v>54.2417645820857</v>
      </c>
      <c r="N120" s="30" t="n">
        <f aca="false">AVERAGE(E101:E120)</f>
        <v>224.606</v>
      </c>
      <c r="O120" s="30" t="n">
        <f aca="false">AVERAGE(E71:E120)</f>
        <v>220.9478</v>
      </c>
      <c r="Q120" s="30" t="n">
        <f aca="false">Q119+(2/13)*(E120-Q119)</f>
        <v>222.937755127191</v>
      </c>
      <c r="R120" s="30" t="n">
        <f aca="false">R119+(2/27)*(E120-R119)</f>
        <v>222.845815030069</v>
      </c>
      <c r="S120" s="33" t="n">
        <f aca="false">Q120-R120</f>
        <v>0.0919400971224604</v>
      </c>
      <c r="T120" s="33" t="n">
        <f aca="false">T119+(2/10)*(S120-T119)</f>
        <v>0.544149508580118</v>
      </c>
      <c r="U120" s="33" t="n">
        <f aca="false">S120-T120</f>
        <v>-0.452209411457657</v>
      </c>
      <c r="V120" s="32" t="str">
        <f aca="false">IF(M120="","",IF(M120&lt;Assumptions!$B$5,"BUY",IF(M120&gt;Assumptions!$B$4,"SELL","HOLD")))</f>
        <v>HOLD</v>
      </c>
      <c r="W120" s="32" t="str">
        <f aca="false">IF(O120="","",IF(E120&gt;O120,"BUY","SELL"))</f>
        <v>BUY</v>
      </c>
      <c r="X120" s="32" t="str">
        <f aca="false">IF(T120="","",IF(S120&gt;T120,"BUY","SELL"))</f>
        <v>SELL</v>
      </c>
      <c r="Y120" s="34" t="n">
        <f aca="false">IF(OR(V120="",W120="",X120=""),"",IFERROR(IF(V120="BUY",1,IF(V120="SELL",-1,0))+IF(W120="BUY",1,IF(W120="SELL",-1,0))+IF(X120="BUY",1,IF(X120="SELL",-1,0)),0))</f>
        <v>0</v>
      </c>
      <c r="Z120" s="32" t="str">
        <f aca="false">IF(Y120="","",IF(Y120&gt;=2,"STRONG BUY",IF(Y120=1,"BUY",IF(Y120=0,"HOLD",IF(Y120=-1,"SELL","STRONG SELL")))))</f>
        <v>HOLD</v>
      </c>
    </row>
    <row r="121" customFormat="false" ht="15" hidden="false" customHeight="false" outlineLevel="0" collapsed="false">
      <c r="A121" s="24" t="n">
        <v>45937</v>
      </c>
      <c r="B121" s="25" t="n">
        <v>225.71</v>
      </c>
      <c r="C121" s="25" t="n">
        <v>227.31</v>
      </c>
      <c r="D121" s="25" t="n">
        <v>225.71</v>
      </c>
      <c r="E121" s="25" t="n">
        <v>226.51</v>
      </c>
      <c r="F121" s="26" t="n">
        <v>12214835</v>
      </c>
      <c r="G121" s="27" t="n">
        <f aca="false">E121-E120</f>
        <v>1.47</v>
      </c>
      <c r="H121" s="28" t="n">
        <f aca="false">G121/E120</f>
        <v>0.00653217205830074</v>
      </c>
      <c r="I121" s="29" t="n">
        <f aca="false">MAX(G121,0)</f>
        <v>1.47</v>
      </c>
      <c r="J121" s="29" t="n">
        <f aca="false">MAX(-G121,0)</f>
        <v>0</v>
      </c>
      <c r="K121" s="29" t="n">
        <f aca="false">(K120*13+I121)/14</f>
        <v>1.13375912427413</v>
      </c>
      <c r="L121" s="29" t="n">
        <f aca="false">(L120*13+J121)/14</f>
        <v>0.867858974713555</v>
      </c>
      <c r="M121" s="31" t="n">
        <f aca="false">IF(L121=0,100,100-100/(1+K121/MAX(L121,0.000001)))</f>
        <v>56.6421299271587</v>
      </c>
      <c r="N121" s="30" t="n">
        <f aca="false">AVERAGE(E102:E121)</f>
        <v>224.614</v>
      </c>
      <c r="O121" s="30" t="n">
        <f aca="false">AVERAGE(E72:E121)</f>
        <v>221.2362</v>
      </c>
      <c r="Q121" s="30" t="n">
        <f aca="false">Q120+(2/13)*(E121-Q120)</f>
        <v>223.48733126147</v>
      </c>
      <c r="R121" s="30" t="n">
        <f aca="false">R120+(2/27)*(E121-R120)</f>
        <v>223.117236138953</v>
      </c>
      <c r="S121" s="33" t="n">
        <f aca="false">Q121-R121</f>
        <v>0.370095122516915</v>
      </c>
      <c r="T121" s="33" t="n">
        <f aca="false">T120+(2/10)*(S121-T120)</f>
        <v>0.509338631367477</v>
      </c>
      <c r="U121" s="33" t="n">
        <f aca="false">S121-T121</f>
        <v>-0.139243508850562</v>
      </c>
      <c r="V121" s="32" t="str">
        <f aca="false">IF(M121="","",IF(M121&lt;Assumptions!$B$5,"BUY",IF(M121&gt;Assumptions!$B$4,"SELL","HOLD")))</f>
        <v>HOLD</v>
      </c>
      <c r="W121" s="32" t="str">
        <f aca="false">IF(O121="","",IF(E121&gt;O121,"BUY","SELL"))</f>
        <v>BUY</v>
      </c>
      <c r="X121" s="32" t="str">
        <f aca="false">IF(T121="","",IF(S121&gt;T121,"BUY","SELL"))</f>
        <v>SELL</v>
      </c>
      <c r="Y121" s="34" t="n">
        <f aca="false">IF(OR(V121="",W121="",X121=""),"",IFERROR(IF(V121="BUY",1,IF(V121="SELL",-1,0))+IF(W121="BUY",1,IF(W121="SELL",-1,0))+IF(X121="BUY",1,IF(X121="SELL",-1,0)),0))</f>
        <v>0</v>
      </c>
      <c r="Z121" s="32" t="str">
        <f aca="false">IF(Y121="","",IF(Y121&gt;=2,"STRONG BUY",IF(Y121=1,"BUY",IF(Y121=0,"HOLD",IF(Y121=-1,"SELL","STRONG SELL")))))</f>
        <v>HOLD</v>
      </c>
    </row>
    <row r="122" customFormat="false" ht="15" hidden="false" customHeight="false" outlineLevel="0" collapsed="false">
      <c r="A122" s="24" t="n">
        <v>45938</v>
      </c>
      <c r="B122" s="25" t="n">
        <v>231.24</v>
      </c>
      <c r="C122" s="25" t="n">
        <v>232.72</v>
      </c>
      <c r="D122" s="25" t="n">
        <v>227.9</v>
      </c>
      <c r="E122" s="25" t="n">
        <v>230.31</v>
      </c>
      <c r="F122" s="26" t="n">
        <v>9372510</v>
      </c>
      <c r="G122" s="27" t="n">
        <f aca="false">E122-E121</f>
        <v>3.80000000000001</v>
      </c>
      <c r="H122" s="28" t="n">
        <f aca="false">G122/E121</f>
        <v>0.0167763012670523</v>
      </c>
      <c r="I122" s="29" t="n">
        <f aca="false">MAX(G122,0)</f>
        <v>3.80000000000001</v>
      </c>
      <c r="J122" s="29" t="n">
        <f aca="false">MAX(-G122,0)</f>
        <v>0</v>
      </c>
      <c r="K122" s="29" t="n">
        <f aca="false">(K121*13+I122)/14</f>
        <v>1.32420490111169</v>
      </c>
      <c r="L122" s="29" t="n">
        <f aca="false">(L121*13+J122)/14</f>
        <v>0.805869047948301</v>
      </c>
      <c r="M122" s="31" t="n">
        <f aca="false">IF(L122=0,100,100-100/(1+K122/MAX(L122,0.000001)))</f>
        <v>62.1670858749325</v>
      </c>
      <c r="N122" s="30" t="n">
        <f aca="false">AVERAGE(E103:E122)</f>
        <v>224.8935</v>
      </c>
      <c r="O122" s="30" t="n">
        <f aca="false">AVERAGE(E73:E122)</f>
        <v>221.6338</v>
      </c>
      <c r="Q122" s="30" t="n">
        <f aca="false">Q121+(2/13)*(E122-Q121)</f>
        <v>224.536972605859</v>
      </c>
      <c r="R122" s="30" t="n">
        <f aca="false">R121+(2/27)*(E122-R121)</f>
        <v>223.650033461993</v>
      </c>
      <c r="S122" s="33" t="n">
        <f aca="false">Q122-R122</f>
        <v>0.886939143865675</v>
      </c>
      <c r="T122" s="33" t="n">
        <f aca="false">T121+(2/10)*(S122-T121)</f>
        <v>0.584858733867117</v>
      </c>
      <c r="U122" s="33" t="n">
        <f aca="false">S122-T122</f>
        <v>0.302080409998558</v>
      </c>
      <c r="V122" s="32" t="str">
        <f aca="false">IF(M122="","",IF(M122&lt;Assumptions!$B$5,"BUY",IF(M122&gt;Assumptions!$B$4,"SELL","HOLD")))</f>
        <v>HOLD</v>
      </c>
      <c r="W122" s="32" t="str">
        <f aca="false">IF(O122="","",IF(E122&gt;O122,"BUY","SELL"))</f>
        <v>BUY</v>
      </c>
      <c r="X122" s="32" t="str">
        <f aca="false">IF(T122="","",IF(S122&gt;T122,"BUY","SELL"))</f>
        <v>BUY</v>
      </c>
      <c r="Y122" s="34" t="n">
        <f aca="false">IF(OR(V122="",W122="",X122=""),"",IFERROR(IF(V122="BUY",1,IF(V122="SELL",-1,0))+IF(W122="BUY",1,IF(W122="SELL",-1,0))+IF(X122="BUY",1,IF(X122="SELL",-1,0)),0))</f>
        <v>2</v>
      </c>
      <c r="Z122" s="32" t="str">
        <f aca="false">IF(Y122="","",IF(Y122&gt;=2,"STRONG BUY",IF(Y122=1,"BUY",IF(Y122=0,"HOLD",IF(Y122=-1,"SELL","STRONG SELL")))))</f>
        <v>STRONG BUY</v>
      </c>
    </row>
    <row r="123" customFormat="false" ht="15" hidden="false" customHeight="false" outlineLevel="0" collapsed="false">
      <c r="A123" s="24" t="n">
        <v>45939</v>
      </c>
      <c r="B123" s="25" t="n">
        <v>229.47</v>
      </c>
      <c r="C123" s="25" t="n">
        <v>230.91</v>
      </c>
      <c r="D123" s="25" t="n">
        <v>229.47</v>
      </c>
      <c r="E123" s="25" t="n">
        <v>230.19</v>
      </c>
      <c r="F123" s="26" t="n">
        <v>4885271</v>
      </c>
      <c r="G123" s="27" t="n">
        <f aca="false">E123-E122</f>
        <v>-0.120000000000005</v>
      </c>
      <c r="H123" s="28" t="n">
        <f aca="false">G123/E122</f>
        <v>-0.000521036863358102</v>
      </c>
      <c r="I123" s="29" t="n">
        <f aca="false">MAX(G123,0)</f>
        <v>0</v>
      </c>
      <c r="J123" s="29" t="n">
        <f aca="false">MAX(-G123,0)</f>
        <v>0.120000000000005</v>
      </c>
      <c r="K123" s="29" t="n">
        <f aca="false">(K122*13+I123)/14</f>
        <v>1.22961883674657</v>
      </c>
      <c r="L123" s="29" t="n">
        <f aca="false">(L122*13+J123)/14</f>
        <v>0.75687840166628</v>
      </c>
      <c r="M123" s="31" t="n">
        <f aca="false">IF(L123=0,100,100-100/(1+K123/MAX(L123,0.000001)))</f>
        <v>61.8988445072794</v>
      </c>
      <c r="N123" s="30" t="n">
        <f aca="false">AVERAGE(E104:E123)</f>
        <v>224.874</v>
      </c>
      <c r="O123" s="30" t="n">
        <f aca="false">AVERAGE(E74:E123)</f>
        <v>222.032</v>
      </c>
      <c r="Q123" s="30" t="n">
        <f aca="false">Q122+(2/13)*(E123-Q122)</f>
        <v>225.406669128034</v>
      </c>
      <c r="R123" s="30" t="n">
        <f aca="false">R122+(2/27)*(E123-R122)</f>
        <v>224.134475427772</v>
      </c>
      <c r="S123" s="33" t="n">
        <f aca="false">Q123-R123</f>
        <v>1.27219370026296</v>
      </c>
      <c r="T123" s="33" t="n">
        <f aca="false">T122+(2/10)*(S123-T122)</f>
        <v>0.722325727146285</v>
      </c>
      <c r="U123" s="33" t="n">
        <f aca="false">S123-T123</f>
        <v>0.549867973116675</v>
      </c>
      <c r="V123" s="32" t="str">
        <f aca="false">IF(M123="","",IF(M123&lt;Assumptions!$B$5,"BUY",IF(M123&gt;Assumptions!$B$4,"SELL","HOLD")))</f>
        <v>HOLD</v>
      </c>
      <c r="W123" s="32" t="str">
        <f aca="false">IF(O123="","",IF(E123&gt;O123,"BUY","SELL"))</f>
        <v>BUY</v>
      </c>
      <c r="X123" s="32" t="str">
        <f aca="false">IF(T123="","",IF(S123&gt;T123,"BUY","SELL"))</f>
        <v>BUY</v>
      </c>
      <c r="Y123" s="34" t="n">
        <f aca="false">IF(OR(V123="",W123="",X123=""),"",IFERROR(IF(V123="BUY",1,IF(V123="SELL",-1,0))+IF(W123="BUY",1,IF(W123="SELL",-1,0))+IF(X123="BUY",1,IF(X123="SELL",-1,0)),0))</f>
        <v>2</v>
      </c>
      <c r="Z123" s="32" t="str">
        <f aca="false">IF(Y123="","",IF(Y123&gt;=2,"STRONG BUY",IF(Y123=1,"BUY",IF(Y123=0,"HOLD",IF(Y123=-1,"SELL","STRONG SELL")))))</f>
        <v>STRONG BUY</v>
      </c>
    </row>
    <row r="124" customFormat="false" ht="15" hidden="false" customHeight="false" outlineLevel="0" collapsed="false">
      <c r="A124" s="24" t="n">
        <v>45940</v>
      </c>
      <c r="B124" s="25" t="n">
        <v>230.6</v>
      </c>
      <c r="C124" s="25" t="n">
        <v>232.88</v>
      </c>
      <c r="D124" s="25" t="n">
        <v>228.1</v>
      </c>
      <c r="E124" s="25" t="n">
        <v>230.49</v>
      </c>
      <c r="F124" s="26" t="n">
        <v>6234258</v>
      </c>
      <c r="G124" s="27" t="n">
        <f aca="false">E124-E123</f>
        <v>0.300000000000011</v>
      </c>
      <c r="H124" s="28" t="n">
        <f aca="false">G124/E123</f>
        <v>0.001303271210739</v>
      </c>
      <c r="I124" s="29" t="n">
        <f aca="false">MAX(G124,0)</f>
        <v>0.300000000000011</v>
      </c>
      <c r="J124" s="29" t="n">
        <f aca="false">MAX(-G124,0)</f>
        <v>0</v>
      </c>
      <c r="K124" s="29" t="n">
        <f aca="false">(K123*13+I124)/14</f>
        <v>1.16321749126467</v>
      </c>
      <c r="L124" s="29" t="n">
        <f aca="false">(L123*13+J124)/14</f>
        <v>0.702815658690117</v>
      </c>
      <c r="M124" s="31" t="n">
        <f aca="false">IF(L124=0,100,100-100/(1+K124/MAX(L124,0.000001)))</f>
        <v>62.336378712932</v>
      </c>
      <c r="N124" s="30" t="n">
        <f aca="false">AVERAGE(E105:E124)</f>
        <v>224.764</v>
      </c>
      <c r="O124" s="30" t="n">
        <f aca="false">AVERAGE(E75:E124)</f>
        <v>222.4296</v>
      </c>
      <c r="Q124" s="30" t="n">
        <f aca="false">Q123+(2/13)*(E124-Q123)</f>
        <v>226.188720031414</v>
      </c>
      <c r="R124" s="30" t="n">
        <f aca="false">R123+(2/27)*(E124-R123)</f>
        <v>224.605255025714</v>
      </c>
      <c r="S124" s="33" t="n">
        <f aca="false">Q124-R124</f>
        <v>1.58346500569942</v>
      </c>
      <c r="T124" s="33" t="n">
        <f aca="false">T123+(2/10)*(S124-T123)</f>
        <v>0.894553582856913</v>
      </c>
      <c r="U124" s="33" t="n">
        <f aca="false">S124-T124</f>
        <v>0.688911422842511</v>
      </c>
      <c r="V124" s="32" t="str">
        <f aca="false">IF(M124="","",IF(M124&lt;Assumptions!$B$5,"BUY",IF(M124&gt;Assumptions!$B$4,"SELL","HOLD")))</f>
        <v>HOLD</v>
      </c>
      <c r="W124" s="32" t="str">
        <f aca="false">IF(O124="","",IF(E124&gt;O124,"BUY","SELL"))</f>
        <v>BUY</v>
      </c>
      <c r="X124" s="32" t="str">
        <f aca="false">IF(T124="","",IF(S124&gt;T124,"BUY","SELL"))</f>
        <v>BUY</v>
      </c>
      <c r="Y124" s="34" t="n">
        <f aca="false">IF(OR(V124="",W124="",X124=""),"",IFERROR(IF(V124="BUY",1,IF(V124="SELL",-1,0))+IF(W124="BUY",1,IF(W124="SELL",-1,0))+IF(X124="BUY",1,IF(X124="SELL",-1,0)),0))</f>
        <v>2</v>
      </c>
      <c r="Z124" s="32" t="str">
        <f aca="false">IF(Y124="","",IF(Y124&gt;=2,"STRONG BUY",IF(Y124=1,"BUY",IF(Y124=0,"HOLD",IF(Y124=-1,"SELL","STRONG SELL")))))</f>
        <v>STRONG BUY</v>
      </c>
    </row>
    <row r="125" customFormat="false" ht="15" hidden="false" customHeight="false" outlineLevel="0" collapsed="false">
      <c r="A125" s="24" t="n">
        <v>45943</v>
      </c>
      <c r="B125" s="25" t="n">
        <v>233.51</v>
      </c>
      <c r="C125" s="25" t="n">
        <v>233.51</v>
      </c>
      <c r="D125" s="25" t="n">
        <v>231.91</v>
      </c>
      <c r="E125" s="25" t="n">
        <v>232.71</v>
      </c>
      <c r="F125" s="26" t="n">
        <v>8892774</v>
      </c>
      <c r="G125" s="27" t="n">
        <f aca="false">E125-E124</f>
        <v>2.22</v>
      </c>
      <c r="H125" s="28" t="n">
        <f aca="false">G125/E124</f>
        <v>0.00963165430170506</v>
      </c>
      <c r="I125" s="29" t="n">
        <f aca="false">MAX(G125,0)</f>
        <v>2.22</v>
      </c>
      <c r="J125" s="29" t="n">
        <f aca="false">MAX(-G125,0)</f>
        <v>0</v>
      </c>
      <c r="K125" s="29" t="n">
        <f aca="false">(K124*13+I125)/14</f>
        <v>1.23870195617434</v>
      </c>
      <c r="L125" s="29" t="n">
        <f aca="false">(L124*13+J125)/14</f>
        <v>0.652614540212252</v>
      </c>
      <c r="M125" s="31" t="n">
        <f aca="false">IF(L125=0,100,100-100/(1+K125/MAX(L125,0.000001)))</f>
        <v>65.4941654948239</v>
      </c>
      <c r="N125" s="30" t="n">
        <f aca="false">AVERAGE(E106:E125)</f>
        <v>225.063</v>
      </c>
      <c r="O125" s="30" t="n">
        <f aca="false">AVERAGE(E76:E125)</f>
        <v>222.8602</v>
      </c>
      <c r="Q125" s="30" t="n">
        <f aca="false">Q124+(2/13)*(E125-Q124)</f>
        <v>227.191993872735</v>
      </c>
      <c r="R125" s="30" t="n">
        <f aca="false">R124+(2/27)*(E125-R124)</f>
        <v>225.205606505291</v>
      </c>
      <c r="S125" s="33" t="n">
        <f aca="false">Q125-R125</f>
        <v>1.98638736744365</v>
      </c>
      <c r="T125" s="33" t="n">
        <f aca="false">T124+(2/10)*(S125-T124)</f>
        <v>1.11292033977426</v>
      </c>
      <c r="U125" s="33" t="n">
        <f aca="false">S125-T125</f>
        <v>0.873467027669393</v>
      </c>
      <c r="V125" s="32" t="str">
        <f aca="false">IF(M125="","",IF(M125&lt;Assumptions!$B$5,"BUY",IF(M125&gt;Assumptions!$B$4,"SELL","HOLD")))</f>
        <v>HOLD</v>
      </c>
      <c r="W125" s="32" t="str">
        <f aca="false">IF(O125="","",IF(E125&gt;O125,"BUY","SELL"))</f>
        <v>BUY</v>
      </c>
      <c r="X125" s="32" t="str">
        <f aca="false">IF(T125="","",IF(S125&gt;T125,"BUY","SELL"))</f>
        <v>BUY</v>
      </c>
      <c r="Y125" s="34" t="n">
        <f aca="false">IF(OR(V125="",W125="",X125=""),"",IFERROR(IF(V125="BUY",1,IF(V125="SELL",-1,0))+IF(W125="BUY",1,IF(W125="SELL",-1,0))+IF(X125="BUY",1,IF(X125="SELL",-1,0)),0))</f>
        <v>2</v>
      </c>
      <c r="Z125" s="32" t="str">
        <f aca="false">IF(Y125="","",IF(Y125&gt;=2,"STRONG BUY",IF(Y125=1,"BUY",IF(Y125=0,"HOLD",IF(Y125=-1,"SELL","STRONG SELL")))))</f>
        <v>STRONG BUY</v>
      </c>
    </row>
    <row r="126" customFormat="false" ht="15" hidden="false" customHeight="false" outlineLevel="0" collapsed="false">
      <c r="A126" s="24" t="n">
        <v>45944</v>
      </c>
      <c r="B126" s="25" t="n">
        <v>236.62</v>
      </c>
      <c r="C126" s="25" t="n">
        <v>236.71</v>
      </c>
      <c r="D126" s="25" t="n">
        <v>234.73</v>
      </c>
      <c r="E126" s="25" t="n">
        <v>235.72</v>
      </c>
      <c r="F126" s="26" t="n">
        <v>8164502</v>
      </c>
      <c r="G126" s="27" t="n">
        <f aca="false">E126-E125</f>
        <v>3.00999999999999</v>
      </c>
      <c r="H126" s="28" t="n">
        <f aca="false">G126/E125</f>
        <v>0.0129345537364101</v>
      </c>
      <c r="I126" s="29" t="n">
        <f aca="false">MAX(G126,0)</f>
        <v>3.00999999999999</v>
      </c>
      <c r="J126" s="29" t="n">
        <f aca="false">MAX(-G126,0)</f>
        <v>0</v>
      </c>
      <c r="K126" s="29" t="n">
        <f aca="false">(K125*13+I126)/14</f>
        <v>1.36522324501903</v>
      </c>
      <c r="L126" s="29" t="n">
        <f aca="false">(L125*13+J126)/14</f>
        <v>0.605999215911376</v>
      </c>
      <c r="M126" s="31" t="n">
        <f aca="false">IF(L126=0,100,100-100/(1+K126/MAX(L126,0.000001)))</f>
        <v>69.2576952666546</v>
      </c>
      <c r="N126" s="30" t="n">
        <f aca="false">AVERAGE(E107:E126)</f>
        <v>225.3475</v>
      </c>
      <c r="O126" s="30" t="n">
        <f aca="false">AVERAGE(E77:E126)</f>
        <v>223.3506</v>
      </c>
      <c r="Q126" s="30" t="n">
        <f aca="false">Q125+(2/13)*(E126-Q125)</f>
        <v>228.503994815391</v>
      </c>
      <c r="R126" s="30" t="n">
        <f aca="false">R125+(2/27)*(E126-R125)</f>
        <v>225.984450467862</v>
      </c>
      <c r="S126" s="33" t="n">
        <f aca="false">Q126-R126</f>
        <v>2.51954434752881</v>
      </c>
      <c r="T126" s="33" t="n">
        <f aca="false">T125+(2/10)*(S126-T125)</f>
        <v>1.39424514132517</v>
      </c>
      <c r="U126" s="33" t="n">
        <f aca="false">S126-T126</f>
        <v>1.12529920620364</v>
      </c>
      <c r="V126" s="32" t="str">
        <f aca="false">IF(M126="","",IF(M126&lt;Assumptions!$B$5,"BUY",IF(M126&gt;Assumptions!$B$4,"SELL","HOLD")))</f>
        <v>HOLD</v>
      </c>
      <c r="W126" s="32" t="str">
        <f aca="false">IF(O126="","",IF(E126&gt;O126,"BUY","SELL"))</f>
        <v>BUY</v>
      </c>
      <c r="X126" s="32" t="str">
        <f aca="false">IF(T126="","",IF(S126&gt;T126,"BUY","SELL"))</f>
        <v>BUY</v>
      </c>
      <c r="Y126" s="34" t="n">
        <f aca="false">IF(OR(V126="",W126="",X126=""),"",IFERROR(IF(V126="BUY",1,IF(V126="SELL",-1,0))+IF(W126="BUY",1,IF(W126="SELL",-1,0))+IF(X126="BUY",1,IF(X126="SELL",-1,0)),0))</f>
        <v>2</v>
      </c>
      <c r="Z126" s="32" t="str">
        <f aca="false">IF(Y126="","",IF(Y126&gt;=2,"STRONG BUY",IF(Y126=1,"BUY",IF(Y126=0,"HOLD",IF(Y126=-1,"SELL","STRONG SELL")))))</f>
        <v>STRONG BUY</v>
      </c>
    </row>
    <row r="127" customFormat="false" ht="15" hidden="false" customHeight="false" outlineLevel="0" collapsed="false">
      <c r="A127" s="24" t="n">
        <v>45945</v>
      </c>
      <c r="B127" s="25" t="n">
        <v>234.77</v>
      </c>
      <c r="C127" s="25" t="n">
        <v>235.33</v>
      </c>
      <c r="D127" s="25" t="n">
        <v>234.43</v>
      </c>
      <c r="E127" s="25" t="n">
        <v>234.88</v>
      </c>
      <c r="F127" s="26" t="n">
        <v>5221424</v>
      </c>
      <c r="G127" s="27" t="n">
        <f aca="false">E127-E126</f>
        <v>-0.840000000000003</v>
      </c>
      <c r="H127" s="28" t="n">
        <f aca="false">G127/E126</f>
        <v>-0.00356354997454609</v>
      </c>
      <c r="I127" s="29" t="n">
        <f aca="false">MAX(G127,0)</f>
        <v>0</v>
      </c>
      <c r="J127" s="29" t="n">
        <f aca="false">MAX(-G127,0)</f>
        <v>0.840000000000003</v>
      </c>
      <c r="K127" s="29" t="n">
        <f aca="false">(K126*13+I127)/14</f>
        <v>1.26770729894624</v>
      </c>
      <c r="L127" s="29" t="n">
        <f aca="false">(L126*13+J127)/14</f>
        <v>0.622713557631993</v>
      </c>
      <c r="M127" s="31" t="n">
        <f aca="false">IF(L127=0,100,100-100/(1+K127/MAX(L127,0.000001)))</f>
        <v>67.0595277519769</v>
      </c>
      <c r="N127" s="30" t="n">
        <f aca="false">AVERAGE(E108:E127)</f>
        <v>225.7505</v>
      </c>
      <c r="O127" s="30" t="n">
        <f aca="false">AVERAGE(E78:E127)</f>
        <v>223.8226</v>
      </c>
      <c r="Q127" s="30" t="n">
        <f aca="false">Q126+(2/13)*(E127-Q126)</f>
        <v>229.484918689946</v>
      </c>
      <c r="R127" s="30" t="n">
        <f aca="false">R126+(2/27)*(E127-R126)</f>
        <v>226.643380062835</v>
      </c>
      <c r="S127" s="33" t="n">
        <f aca="false">Q127-R127</f>
        <v>2.84153862711085</v>
      </c>
      <c r="T127" s="33" t="n">
        <f aca="false">T126+(2/10)*(S127-T126)</f>
        <v>1.68370383848231</v>
      </c>
      <c r="U127" s="33" t="n">
        <f aca="false">S127-T127</f>
        <v>1.15783478862854</v>
      </c>
      <c r="V127" s="32" t="str">
        <f aca="false">IF(M127="","",IF(M127&lt;Assumptions!$B$5,"BUY",IF(M127&gt;Assumptions!$B$4,"SELL","HOLD")))</f>
        <v>HOLD</v>
      </c>
      <c r="W127" s="32" t="str">
        <f aca="false">IF(O127="","",IF(E127&gt;O127,"BUY","SELL"))</f>
        <v>BUY</v>
      </c>
      <c r="X127" s="32" t="str">
        <f aca="false">IF(T127="","",IF(S127&gt;T127,"BUY","SELL"))</f>
        <v>BUY</v>
      </c>
      <c r="Y127" s="34" t="n">
        <f aca="false">IF(OR(V127="",W127="",X127=""),"",IFERROR(IF(V127="BUY",1,IF(V127="SELL",-1,0))+IF(W127="BUY",1,IF(W127="SELL",-1,0))+IF(X127="BUY",1,IF(X127="SELL",-1,0)),0))</f>
        <v>2</v>
      </c>
      <c r="Z127" s="32" t="str">
        <f aca="false">IF(Y127="","",IF(Y127&gt;=2,"STRONG BUY",IF(Y127=1,"BUY",IF(Y127=0,"HOLD",IF(Y127=-1,"SELL","STRONG SELL")))))</f>
        <v>STRONG BUY</v>
      </c>
    </row>
    <row r="128" customFormat="false" ht="15" hidden="false" customHeight="false" outlineLevel="0" collapsed="false">
      <c r="A128" s="24" t="n">
        <v>45946</v>
      </c>
      <c r="B128" s="25" t="n">
        <v>240.26</v>
      </c>
      <c r="C128" s="25" t="n">
        <v>241.65</v>
      </c>
      <c r="D128" s="25" t="n">
        <v>238.01</v>
      </c>
      <c r="E128" s="25" t="n">
        <v>239.83</v>
      </c>
      <c r="F128" s="26" t="n">
        <v>6016472</v>
      </c>
      <c r="G128" s="27" t="n">
        <f aca="false">E128-E127</f>
        <v>4.95000000000002</v>
      </c>
      <c r="H128" s="28" t="n">
        <f aca="false">G128/E127</f>
        <v>0.021074591280654</v>
      </c>
      <c r="I128" s="29" t="n">
        <f aca="false">MAX(G128,0)</f>
        <v>4.95000000000002</v>
      </c>
      <c r="J128" s="29" t="n">
        <f aca="false">MAX(-G128,0)</f>
        <v>0</v>
      </c>
      <c r="K128" s="29" t="n">
        <f aca="false">(K127*13+I128)/14</f>
        <v>1.53072820616437</v>
      </c>
      <c r="L128" s="29" t="n">
        <f aca="false">(L127*13+J128)/14</f>
        <v>0.578234017801136</v>
      </c>
      <c r="M128" s="31" t="n">
        <f aca="false">IF(L128=0,100,100-100/(1+K128/MAX(L128,0.000001)))</f>
        <v>72.5820590226658</v>
      </c>
      <c r="N128" s="30" t="n">
        <f aca="false">AVERAGE(E109:E128)</f>
        <v>226.57</v>
      </c>
      <c r="O128" s="30" t="n">
        <f aca="false">AVERAGE(E79:E128)</f>
        <v>224.3056</v>
      </c>
      <c r="Q128" s="30" t="n">
        <f aca="false">Q127+(2/13)*(E128-Q127)</f>
        <v>231.076469660724</v>
      </c>
      <c r="R128" s="30" t="n">
        <f aca="false">R127+(2/27)*(E128-R127)</f>
        <v>227.620166724847</v>
      </c>
      <c r="S128" s="33" t="n">
        <f aca="false">Q128-R128</f>
        <v>3.45630293587618</v>
      </c>
      <c r="T128" s="33" t="n">
        <f aca="false">T127+(2/10)*(S128-T127)</f>
        <v>2.03822365796108</v>
      </c>
      <c r="U128" s="33" t="n">
        <f aca="false">S128-T128</f>
        <v>1.4180792779151</v>
      </c>
      <c r="V128" s="32" t="str">
        <f aca="false">IF(M128="","",IF(M128&lt;Assumptions!$B$5,"BUY",IF(M128&gt;Assumptions!$B$4,"SELL","HOLD")))</f>
        <v>SELL</v>
      </c>
      <c r="W128" s="32" t="str">
        <f aca="false">IF(O128="","",IF(E128&gt;O128,"BUY","SELL"))</f>
        <v>BUY</v>
      </c>
      <c r="X128" s="32" t="str">
        <f aca="false">IF(T128="","",IF(S128&gt;T128,"BUY","SELL"))</f>
        <v>BUY</v>
      </c>
      <c r="Y128" s="34" t="n">
        <f aca="false">IF(OR(V128="",W128="",X128=""),"",IFERROR(IF(V128="BUY",1,IF(V128="SELL",-1,0))+IF(W128="BUY",1,IF(W128="SELL",-1,0))+IF(X128="BUY",1,IF(X128="SELL",-1,0)),0))</f>
        <v>1</v>
      </c>
      <c r="Z128" s="32" t="str">
        <f aca="false">IF(Y128="","",IF(Y128&gt;=2,"STRONG BUY",IF(Y128=1,"BUY",IF(Y128=0,"HOLD",IF(Y128=-1,"SELL","STRONG SELL")))))</f>
        <v>BUY</v>
      </c>
    </row>
    <row r="129" customFormat="false" ht="15" hidden="false" customHeight="false" outlineLevel="0" collapsed="false">
      <c r="A129" s="24" t="n">
        <v>45947</v>
      </c>
      <c r="B129" s="25" t="n">
        <v>240.13</v>
      </c>
      <c r="C129" s="25" t="n">
        <v>240.19</v>
      </c>
      <c r="D129" s="25" t="n">
        <v>240.13</v>
      </c>
      <c r="E129" s="25" t="n">
        <v>240.16</v>
      </c>
      <c r="F129" s="26" t="n">
        <v>10716795</v>
      </c>
      <c r="G129" s="27" t="n">
        <f aca="false">E129-E128</f>
        <v>0.329999999999984</v>
      </c>
      <c r="H129" s="28" t="n">
        <f aca="false">G129/E128</f>
        <v>0.00137597464870944</v>
      </c>
      <c r="I129" s="29" t="n">
        <f aca="false">MAX(G129,0)</f>
        <v>0.329999999999984</v>
      </c>
      <c r="J129" s="29" t="n">
        <f aca="false">MAX(-G129,0)</f>
        <v>0</v>
      </c>
      <c r="K129" s="29" t="n">
        <f aca="false">(K128*13+I129)/14</f>
        <v>1.44496190572405</v>
      </c>
      <c r="L129" s="29" t="n">
        <f aca="false">(L128*13+J129)/14</f>
        <v>0.536931587958198</v>
      </c>
      <c r="M129" s="31" t="n">
        <f aca="false">IF(L129=0,100,100-100/(1+K129/MAX(L129,0.000001)))</f>
        <v>72.908151236694</v>
      </c>
      <c r="N129" s="30" t="n">
        <f aca="false">AVERAGE(E110:E129)</f>
        <v>227.4905</v>
      </c>
      <c r="O129" s="30" t="n">
        <f aca="false">AVERAGE(E80:E129)</f>
        <v>224.6582</v>
      </c>
      <c r="Q129" s="30" t="n">
        <f aca="false">Q128+(2/13)*(E129-Q128)</f>
        <v>232.473935866766</v>
      </c>
      <c r="R129" s="30" t="n">
        <f aca="false">R128+(2/27)*(E129-R128)</f>
        <v>228.549043263748</v>
      </c>
      <c r="S129" s="33" t="n">
        <f aca="false">Q129-R129</f>
        <v>3.92489260301849</v>
      </c>
      <c r="T129" s="33" t="n">
        <f aca="false">T128+(2/10)*(S129-T128)</f>
        <v>2.41555744697256</v>
      </c>
      <c r="U129" s="33" t="n">
        <f aca="false">S129-T129</f>
        <v>1.50933515604593</v>
      </c>
      <c r="V129" s="32" t="str">
        <f aca="false">IF(M129="","",IF(M129&lt;Assumptions!$B$5,"BUY",IF(M129&gt;Assumptions!$B$4,"SELL","HOLD")))</f>
        <v>SELL</v>
      </c>
      <c r="W129" s="32" t="str">
        <f aca="false">IF(O129="","",IF(E129&gt;O129,"BUY","SELL"))</f>
        <v>BUY</v>
      </c>
      <c r="X129" s="32" t="str">
        <f aca="false">IF(T129="","",IF(S129&gt;T129,"BUY","SELL"))</f>
        <v>BUY</v>
      </c>
      <c r="Y129" s="34" t="n">
        <f aca="false">IF(OR(V129="",W129="",X129=""),"",IFERROR(IF(V129="BUY",1,IF(V129="SELL",-1,0))+IF(W129="BUY",1,IF(W129="SELL",-1,0))+IF(X129="BUY",1,IF(X129="SELL",-1,0)),0))</f>
        <v>1</v>
      </c>
      <c r="Z129" s="32" t="str">
        <f aca="false">IF(Y129="","",IF(Y129&gt;=2,"STRONG BUY",IF(Y129=1,"BUY",IF(Y129=0,"HOLD",IF(Y129=-1,"SELL","STRONG SELL")))))</f>
        <v>BUY</v>
      </c>
    </row>
    <row r="130" customFormat="false" ht="15" hidden="false" customHeight="false" outlineLevel="0" collapsed="false">
      <c r="A130" s="24" t="n">
        <v>45950</v>
      </c>
      <c r="B130" s="25" t="n">
        <v>240.49</v>
      </c>
      <c r="C130" s="25" t="n">
        <v>240.6</v>
      </c>
      <c r="D130" s="25" t="n">
        <v>239.8</v>
      </c>
      <c r="E130" s="25" t="n">
        <v>240.2</v>
      </c>
      <c r="F130" s="26" t="n">
        <v>7197755</v>
      </c>
      <c r="G130" s="27" t="n">
        <f aca="false">E130-E129</f>
        <v>0.039999999999992</v>
      </c>
      <c r="H130" s="28" t="n">
        <f aca="false">G130/E129</f>
        <v>0.000166555629580247</v>
      </c>
      <c r="I130" s="29" t="n">
        <f aca="false">MAX(G130,0)</f>
        <v>0.039999999999992</v>
      </c>
      <c r="J130" s="29" t="n">
        <f aca="false">MAX(-G130,0)</f>
        <v>0</v>
      </c>
      <c r="K130" s="29" t="n">
        <f aca="false">(K129*13+I130)/14</f>
        <v>1.34460748388662</v>
      </c>
      <c r="L130" s="29" t="n">
        <f aca="false">(L129*13+J130)/14</f>
        <v>0.498579331675469</v>
      </c>
      <c r="M130" s="31" t="n">
        <f aca="false">IF(L130=0,100,100-100/(1+K130/MAX(L130,0.000001)))</f>
        <v>72.9501465903539</v>
      </c>
      <c r="N130" s="30" t="n">
        <f aca="false">AVERAGE(E111:E130)</f>
        <v>228.2575</v>
      </c>
      <c r="O130" s="30" t="n">
        <f aca="false">AVERAGE(E81:E130)</f>
        <v>225.0026</v>
      </c>
      <c r="Q130" s="30" t="n">
        <f aca="false">Q129+(2/13)*(E130-Q129)</f>
        <v>233.662561118033</v>
      </c>
      <c r="R130" s="30" t="n">
        <f aca="false">R129+(2/27)*(E130-R129)</f>
        <v>229.412077096063</v>
      </c>
      <c r="S130" s="33" t="n">
        <f aca="false">Q130-R130</f>
        <v>4.25048402197024</v>
      </c>
      <c r="T130" s="33" t="n">
        <f aca="false">T129+(2/10)*(S130-T129)</f>
        <v>2.7825427619721</v>
      </c>
      <c r="U130" s="33" t="n">
        <f aca="false">S130-T130</f>
        <v>1.46794125999814</v>
      </c>
      <c r="V130" s="32" t="str">
        <f aca="false">IF(M130="","",IF(M130&lt;Assumptions!$B$5,"BUY",IF(M130&gt;Assumptions!$B$4,"SELL","HOLD")))</f>
        <v>SELL</v>
      </c>
      <c r="W130" s="32" t="str">
        <f aca="false">IF(O130="","",IF(E130&gt;O130,"BUY","SELL"))</f>
        <v>BUY</v>
      </c>
      <c r="X130" s="32" t="str">
        <f aca="false">IF(T130="","",IF(S130&gt;T130,"BUY","SELL"))</f>
        <v>BUY</v>
      </c>
      <c r="Y130" s="34" t="n">
        <f aca="false">IF(OR(V130="",W130="",X130=""),"",IFERROR(IF(V130="BUY",1,IF(V130="SELL",-1,0))+IF(W130="BUY",1,IF(W130="SELL",-1,0))+IF(X130="BUY",1,IF(X130="SELL",-1,0)),0))</f>
        <v>1</v>
      </c>
      <c r="Z130" s="32" t="str">
        <f aca="false">IF(Y130="","",IF(Y130&gt;=2,"STRONG BUY",IF(Y130=1,"BUY",IF(Y130=0,"HOLD",IF(Y130=-1,"SELL","STRONG SELL")))))</f>
        <v>BUY</v>
      </c>
    </row>
    <row r="131" customFormat="false" ht="15" hidden="false" customHeight="false" outlineLevel="0" collapsed="false">
      <c r="A131" s="24" t="n">
        <v>45951</v>
      </c>
      <c r="B131" s="25" t="n">
        <v>241.19</v>
      </c>
      <c r="C131" s="25" t="n">
        <v>241.59</v>
      </c>
      <c r="D131" s="25" t="n">
        <v>241.19</v>
      </c>
      <c r="E131" s="25" t="n">
        <v>241.39</v>
      </c>
      <c r="F131" s="26" t="n">
        <v>8698886</v>
      </c>
      <c r="G131" s="27" t="n">
        <f aca="false">E131-E130</f>
        <v>1.19</v>
      </c>
      <c r="H131" s="28" t="n">
        <f aca="false">G131/E130</f>
        <v>0.0049542048293089</v>
      </c>
      <c r="I131" s="29" t="n">
        <f aca="false">MAX(G131,0)</f>
        <v>1.19</v>
      </c>
      <c r="J131" s="29" t="n">
        <f aca="false">MAX(-G131,0)</f>
        <v>0</v>
      </c>
      <c r="K131" s="29" t="n">
        <f aca="false">(K130*13+I131)/14</f>
        <v>1.33356409218043</v>
      </c>
      <c r="L131" s="29" t="n">
        <f aca="false">(L130*13+J131)/14</f>
        <v>0.462966522270079</v>
      </c>
      <c r="M131" s="31" t="n">
        <f aca="false">IF(L131=0,100,100-100/(1+K131/MAX(L131,0.000001)))</f>
        <v>74.229967552672</v>
      </c>
      <c r="N131" s="30" t="n">
        <f aca="false">AVERAGE(E112:E131)</f>
        <v>229.1165</v>
      </c>
      <c r="O131" s="30" t="n">
        <f aca="false">AVERAGE(E82:E131)</f>
        <v>225.4152</v>
      </c>
      <c r="Q131" s="30" t="n">
        <f aca="false">Q130+(2/13)*(E131-Q130)</f>
        <v>234.851397869105</v>
      </c>
      <c r="R131" s="30" t="n">
        <f aca="false">R130+(2/27)*(E131-R130)</f>
        <v>230.299330644502</v>
      </c>
      <c r="S131" s="33" t="n">
        <f aca="false">Q131-R131</f>
        <v>4.55206722460227</v>
      </c>
      <c r="T131" s="33" t="n">
        <f aca="false">T130+(2/10)*(S131-T130)</f>
        <v>3.13644765449813</v>
      </c>
      <c r="U131" s="33" t="n">
        <f aca="false">S131-T131</f>
        <v>1.41561957010414</v>
      </c>
      <c r="V131" s="32" t="str">
        <f aca="false">IF(M131="","",IF(M131&lt;Assumptions!$B$5,"BUY",IF(M131&gt;Assumptions!$B$4,"SELL","HOLD")))</f>
        <v>SELL</v>
      </c>
      <c r="W131" s="32" t="str">
        <f aca="false">IF(O131="","",IF(E131&gt;O131,"BUY","SELL"))</f>
        <v>BUY</v>
      </c>
      <c r="X131" s="32" t="str">
        <f aca="false">IF(T131="","",IF(S131&gt;T131,"BUY","SELL"))</f>
        <v>BUY</v>
      </c>
      <c r="Y131" s="34" t="n">
        <f aca="false">IF(OR(V131="",W131="",X131=""),"",IFERROR(IF(V131="BUY",1,IF(V131="SELL",-1,0))+IF(W131="BUY",1,IF(W131="SELL",-1,0))+IF(X131="BUY",1,IF(X131="SELL",-1,0)),0))</f>
        <v>1</v>
      </c>
      <c r="Z131" s="32" t="str">
        <f aca="false">IF(Y131="","",IF(Y131&gt;=2,"STRONG BUY",IF(Y131=1,"BUY",IF(Y131=0,"HOLD",IF(Y131=-1,"SELL","STRONG SELL")))))</f>
        <v>BUY</v>
      </c>
    </row>
    <row r="132" customFormat="false" ht="15" hidden="false" customHeight="false" outlineLevel="0" collapsed="false">
      <c r="A132" s="24" t="n">
        <v>45952</v>
      </c>
      <c r="B132" s="25" t="n">
        <v>239.13</v>
      </c>
      <c r="C132" s="25" t="n">
        <v>241.62</v>
      </c>
      <c r="D132" s="25" t="n">
        <v>236.68</v>
      </c>
      <c r="E132" s="25" t="n">
        <v>239.15</v>
      </c>
      <c r="F132" s="26" t="n">
        <v>9029158</v>
      </c>
      <c r="G132" s="27" t="n">
        <f aca="false">E132-E131</f>
        <v>-2.23999999999998</v>
      </c>
      <c r="H132" s="28" t="n">
        <f aca="false">G132/E131</f>
        <v>-0.00927958904677071</v>
      </c>
      <c r="I132" s="29" t="n">
        <f aca="false">MAX(G132,0)</f>
        <v>0</v>
      </c>
      <c r="J132" s="29" t="n">
        <f aca="false">MAX(-G132,0)</f>
        <v>2.23999999999998</v>
      </c>
      <c r="K132" s="29" t="n">
        <f aca="false">(K131*13+I132)/14</f>
        <v>1.23830951416755</v>
      </c>
      <c r="L132" s="29" t="n">
        <f aca="false">(L131*13+J132)/14</f>
        <v>0.589897484965072</v>
      </c>
      <c r="M132" s="31" t="n">
        <f aca="false">IF(L132=0,100,100-100/(1+K132/MAX(L132,0.000001)))</f>
        <v>67.7335506731489</v>
      </c>
      <c r="N132" s="30" t="n">
        <f aca="false">AVERAGE(E113:E132)</f>
        <v>229.8365</v>
      </c>
      <c r="O132" s="30" t="n">
        <f aca="false">AVERAGE(E83:E132)</f>
        <v>225.8332</v>
      </c>
      <c r="Q132" s="30" t="n">
        <f aca="false">Q131+(2/13)*(E132-Q131)</f>
        <v>235.512721273858</v>
      </c>
      <c r="R132" s="30" t="n">
        <f aca="false">R131+(2/27)*(E132-R131)</f>
        <v>230.954935781947</v>
      </c>
      <c r="S132" s="33" t="n">
        <f aca="false">Q132-R132</f>
        <v>4.55778549191112</v>
      </c>
      <c r="T132" s="33" t="n">
        <f aca="false">T131+(2/10)*(S132-T131)</f>
        <v>3.42071522198073</v>
      </c>
      <c r="U132" s="33" t="n">
        <f aca="false">S132-T132</f>
        <v>1.13707026993039</v>
      </c>
      <c r="V132" s="32" t="str">
        <f aca="false">IF(M132="","",IF(M132&lt;Assumptions!$B$5,"BUY",IF(M132&gt;Assumptions!$B$4,"SELL","HOLD")))</f>
        <v>HOLD</v>
      </c>
      <c r="W132" s="32" t="str">
        <f aca="false">IF(O132="","",IF(E132&gt;O132,"BUY","SELL"))</f>
        <v>BUY</v>
      </c>
      <c r="X132" s="32" t="str">
        <f aca="false">IF(T132="","",IF(S132&gt;T132,"BUY","SELL"))</f>
        <v>BUY</v>
      </c>
      <c r="Y132" s="34" t="n">
        <f aca="false">IF(OR(V132="",W132="",X132=""),"",IFERROR(IF(V132="BUY",1,IF(V132="SELL",-1,0))+IF(W132="BUY",1,IF(W132="SELL",-1,0))+IF(X132="BUY",1,IF(X132="SELL",-1,0)),0))</f>
        <v>2</v>
      </c>
      <c r="Z132" s="32" t="str">
        <f aca="false">IF(Y132="","",IF(Y132&gt;=2,"STRONG BUY",IF(Y132=1,"BUY",IF(Y132=0,"HOLD",IF(Y132=-1,"SELL","STRONG SELL")))))</f>
        <v>STRONG BUY</v>
      </c>
    </row>
    <row r="133" customFormat="false" ht="15" hidden="false" customHeight="false" outlineLevel="0" collapsed="false">
      <c r="A133" s="24" t="n">
        <v>45953</v>
      </c>
      <c r="B133" s="25" t="n">
        <v>234.33</v>
      </c>
      <c r="C133" s="25" t="n">
        <v>235.43</v>
      </c>
      <c r="D133" s="25" t="n">
        <v>234.33</v>
      </c>
      <c r="E133" s="25" t="n">
        <v>234.88</v>
      </c>
      <c r="F133" s="26" t="n">
        <v>6820901</v>
      </c>
      <c r="G133" s="27" t="n">
        <f aca="false">E133-E132</f>
        <v>-4.27000000000001</v>
      </c>
      <c r="H133" s="28" t="n">
        <f aca="false">G133/E132</f>
        <v>-0.0178549027806816</v>
      </c>
      <c r="I133" s="29" t="n">
        <f aca="false">MAX(G133,0)</f>
        <v>0</v>
      </c>
      <c r="J133" s="29" t="n">
        <f aca="false">MAX(-G133,0)</f>
        <v>4.27000000000001</v>
      </c>
      <c r="K133" s="29" t="n">
        <f aca="false">(K132*13+I133)/14</f>
        <v>1.14985883458415</v>
      </c>
      <c r="L133" s="29" t="n">
        <f aca="false">(L132*13+J133)/14</f>
        <v>0.85276195032471</v>
      </c>
      <c r="M133" s="31" t="n">
        <f aca="false">IF(L133=0,100,100-100/(1+K133/MAX(L133,0.000001)))</f>
        <v>57.4177020057484</v>
      </c>
      <c r="N133" s="30" t="n">
        <f aca="false">AVERAGE(E114:E133)</f>
        <v>230.5465</v>
      </c>
      <c r="O133" s="30" t="n">
        <f aca="false">AVERAGE(E84:E133)</f>
        <v>226.1262</v>
      </c>
      <c r="Q133" s="30" t="n">
        <f aca="false">Q132+(2/13)*(E133-Q132)</f>
        <v>235.415379539418</v>
      </c>
      <c r="R133" s="30" t="n">
        <f aca="false">R132+(2/27)*(E133-R132)</f>
        <v>231.24568127958</v>
      </c>
      <c r="S133" s="33" t="n">
        <f aca="false">Q133-R133</f>
        <v>4.16969825983787</v>
      </c>
      <c r="T133" s="33" t="n">
        <f aca="false">T132+(2/10)*(S133-T132)</f>
        <v>3.57051182955216</v>
      </c>
      <c r="U133" s="33" t="n">
        <f aca="false">S133-T133</f>
        <v>0.599186430285715</v>
      </c>
      <c r="V133" s="32" t="str">
        <f aca="false">IF(M133="","",IF(M133&lt;Assumptions!$B$5,"BUY",IF(M133&gt;Assumptions!$B$4,"SELL","HOLD")))</f>
        <v>HOLD</v>
      </c>
      <c r="W133" s="32" t="str">
        <f aca="false">IF(O133="","",IF(E133&gt;O133,"BUY","SELL"))</f>
        <v>BUY</v>
      </c>
      <c r="X133" s="32" t="str">
        <f aca="false">IF(T133="","",IF(S133&gt;T133,"BUY","SELL"))</f>
        <v>BUY</v>
      </c>
      <c r="Y133" s="34" t="n">
        <f aca="false">IF(OR(V133="",W133="",X133=""),"",IFERROR(IF(V133="BUY",1,IF(V133="SELL",-1,0))+IF(W133="BUY",1,IF(W133="SELL",-1,0))+IF(X133="BUY",1,IF(X133="SELL",-1,0)),0))</f>
        <v>2</v>
      </c>
      <c r="Z133" s="32" t="str">
        <f aca="false">IF(Y133="","",IF(Y133&gt;=2,"STRONG BUY",IF(Y133=1,"BUY",IF(Y133=0,"HOLD",IF(Y133=-1,"SELL","STRONG SELL")))))</f>
        <v>STRONG BUY</v>
      </c>
    </row>
    <row r="134" customFormat="false" ht="15" hidden="false" customHeight="false" outlineLevel="0" collapsed="false">
      <c r="A134" s="24" t="n">
        <v>45954</v>
      </c>
      <c r="B134" s="25" t="n">
        <v>239.76</v>
      </c>
      <c r="C134" s="25" t="n">
        <v>240.83</v>
      </c>
      <c r="D134" s="25" t="n">
        <v>239.73</v>
      </c>
      <c r="E134" s="25" t="n">
        <v>240.28</v>
      </c>
      <c r="F134" s="26" t="n">
        <v>4592776</v>
      </c>
      <c r="G134" s="27" t="n">
        <f aca="false">E134-E133</f>
        <v>5.40000000000001</v>
      </c>
      <c r="H134" s="28" t="n">
        <f aca="false">G134/E133</f>
        <v>0.0229904632152589</v>
      </c>
      <c r="I134" s="29" t="n">
        <f aca="false">MAX(G134,0)</f>
        <v>5.40000000000001</v>
      </c>
      <c r="J134" s="29" t="n">
        <f aca="false">MAX(-G134,0)</f>
        <v>0</v>
      </c>
      <c r="K134" s="29" t="n">
        <f aca="false">(K133*13+I134)/14</f>
        <v>1.45344034639957</v>
      </c>
      <c r="L134" s="29" t="n">
        <f aca="false">(L133*13+J134)/14</f>
        <v>0.791850382444374</v>
      </c>
      <c r="M134" s="31" t="n">
        <f aca="false">IF(L134=0,100,100-100/(1+K134/MAX(L134,0.000001)))</f>
        <v>64.7328351615257</v>
      </c>
      <c r="N134" s="30" t="n">
        <f aca="false">AVERAGE(E115:E134)</f>
        <v>231.394</v>
      </c>
      <c r="O134" s="30" t="n">
        <f aca="false">AVERAGE(E85:E134)</f>
        <v>226.6048</v>
      </c>
      <c r="Q134" s="30" t="n">
        <f aca="false">Q133+(2/13)*(E134-Q133)</f>
        <v>236.1637826872</v>
      </c>
      <c r="R134" s="30" t="n">
        <f aca="false">R133+(2/27)*(E134-R133)</f>
        <v>231.914890073685</v>
      </c>
      <c r="S134" s="33" t="n">
        <f aca="false">Q134-R134</f>
        <v>4.24889261351453</v>
      </c>
      <c r="T134" s="33" t="n">
        <f aca="false">T133+(2/10)*(S134-T133)</f>
        <v>3.70618798634463</v>
      </c>
      <c r="U134" s="33" t="n">
        <f aca="false">S134-T134</f>
        <v>0.542704627169896</v>
      </c>
      <c r="V134" s="32" t="str">
        <f aca="false">IF(M134="","",IF(M134&lt;Assumptions!$B$5,"BUY",IF(M134&gt;Assumptions!$B$4,"SELL","HOLD")))</f>
        <v>HOLD</v>
      </c>
      <c r="W134" s="32" t="str">
        <f aca="false">IF(O134="","",IF(E134&gt;O134,"BUY","SELL"))</f>
        <v>BUY</v>
      </c>
      <c r="X134" s="32" t="str">
        <f aca="false">IF(T134="","",IF(S134&gt;T134,"BUY","SELL"))</f>
        <v>BUY</v>
      </c>
      <c r="Y134" s="34" t="n">
        <f aca="false">IF(OR(V134="",W134="",X134=""),"",IFERROR(IF(V134="BUY",1,IF(V134="SELL",-1,0))+IF(W134="BUY",1,IF(W134="SELL",-1,0))+IF(X134="BUY",1,IF(X134="SELL",-1,0)),0))</f>
        <v>2</v>
      </c>
      <c r="Z134" s="32" t="str">
        <f aca="false">IF(Y134="","",IF(Y134&gt;=2,"STRONG BUY",IF(Y134=1,"BUY",IF(Y134=0,"HOLD",IF(Y134=-1,"SELL","STRONG SELL")))))</f>
        <v>STRONG BUY</v>
      </c>
    </row>
    <row r="135" customFormat="false" ht="15" hidden="false" customHeight="false" outlineLevel="0" collapsed="false">
      <c r="A135" s="24" t="n">
        <v>45957</v>
      </c>
      <c r="B135" s="25" t="n">
        <v>243.14</v>
      </c>
      <c r="C135" s="25" t="n">
        <v>244.71</v>
      </c>
      <c r="D135" s="25" t="n">
        <v>241.55</v>
      </c>
      <c r="E135" s="25" t="n">
        <v>243.13</v>
      </c>
      <c r="F135" s="26" t="n">
        <v>9079352</v>
      </c>
      <c r="G135" s="27" t="n">
        <f aca="false">E135-E134</f>
        <v>2.84999999999999</v>
      </c>
      <c r="H135" s="28" t="n">
        <f aca="false">G135/E134</f>
        <v>0.0118611619776927</v>
      </c>
      <c r="I135" s="29" t="n">
        <f aca="false">MAX(G135,0)</f>
        <v>2.84999999999999</v>
      </c>
      <c r="J135" s="29" t="n">
        <f aca="false">MAX(-G135,0)</f>
        <v>0</v>
      </c>
      <c r="K135" s="29" t="n">
        <f aca="false">(K134*13+I135)/14</f>
        <v>1.55319460737103</v>
      </c>
      <c r="L135" s="29" t="n">
        <f aca="false">(L134*13+J135)/14</f>
        <v>0.735289640841204</v>
      </c>
      <c r="M135" s="31" t="n">
        <f aca="false">IF(L135=0,100,100-100/(1+K135/MAX(L135,0.000001)))</f>
        <v>67.8700152113516</v>
      </c>
      <c r="N135" s="30" t="n">
        <f aca="false">AVERAGE(E116:E135)</f>
        <v>232.4155</v>
      </c>
      <c r="O135" s="30" t="n">
        <f aca="false">AVERAGE(E86:E135)</f>
        <v>227.1486</v>
      </c>
      <c r="Q135" s="30" t="n">
        <f aca="false">Q134+(2/13)*(E135-Q134)</f>
        <v>237.235508427631</v>
      </c>
      <c r="R135" s="30" t="n">
        <f aca="false">R134+(2/27)*(E135-R134)</f>
        <v>232.745638957116</v>
      </c>
      <c r="S135" s="33" t="n">
        <f aca="false">Q135-R135</f>
        <v>4.48986947051458</v>
      </c>
      <c r="T135" s="33" t="n">
        <f aca="false">T134+(2/10)*(S135-T134)</f>
        <v>3.86292428317862</v>
      </c>
      <c r="U135" s="33" t="n">
        <f aca="false">S135-T135</f>
        <v>0.626945187335957</v>
      </c>
      <c r="V135" s="32" t="str">
        <f aca="false">IF(M135="","",IF(M135&lt;Assumptions!$B$5,"BUY",IF(M135&gt;Assumptions!$B$4,"SELL","HOLD")))</f>
        <v>HOLD</v>
      </c>
      <c r="W135" s="32" t="str">
        <f aca="false">IF(O135="","",IF(E135&gt;O135,"BUY","SELL"))</f>
        <v>BUY</v>
      </c>
      <c r="X135" s="32" t="str">
        <f aca="false">IF(T135="","",IF(S135&gt;T135,"BUY","SELL"))</f>
        <v>BUY</v>
      </c>
      <c r="Y135" s="34" t="n">
        <f aca="false">IF(OR(V135="",W135="",X135=""),"",IFERROR(IF(V135="BUY",1,IF(V135="SELL",-1,0))+IF(W135="BUY",1,IF(W135="SELL",-1,0))+IF(X135="BUY",1,IF(X135="SELL",-1,0)),0))</f>
        <v>2</v>
      </c>
      <c r="Z135" s="32" t="str">
        <f aca="false">IF(Y135="","",IF(Y135&gt;=2,"STRONG BUY",IF(Y135=1,"BUY",IF(Y135=0,"HOLD",IF(Y135=-1,"SELL","STRONG SELL")))))</f>
        <v>STRONG BUY</v>
      </c>
    </row>
    <row r="136" customFormat="false" ht="15" hidden="false" customHeight="false" outlineLevel="0" collapsed="false">
      <c r="A136" s="24" t="n">
        <v>45958</v>
      </c>
      <c r="B136" s="25" t="n">
        <v>240.49</v>
      </c>
      <c r="C136" s="25" t="n">
        <v>240.91</v>
      </c>
      <c r="D136" s="25" t="n">
        <v>240.49</v>
      </c>
      <c r="E136" s="25" t="n">
        <v>240.7</v>
      </c>
      <c r="F136" s="26" t="n">
        <v>9077953</v>
      </c>
      <c r="G136" s="27" t="n">
        <f aca="false">E136-E135</f>
        <v>-2.43000000000001</v>
      </c>
      <c r="H136" s="28" t="n">
        <f aca="false">G136/E135</f>
        <v>-0.00999465306626088</v>
      </c>
      <c r="I136" s="29" t="n">
        <f aca="false">MAX(G136,0)</f>
        <v>0</v>
      </c>
      <c r="J136" s="29" t="n">
        <f aca="false">MAX(-G136,0)</f>
        <v>2.43000000000001</v>
      </c>
      <c r="K136" s="29" t="n">
        <f aca="false">(K135*13+I136)/14</f>
        <v>1.44225213541595</v>
      </c>
      <c r="L136" s="29" t="n">
        <f aca="false">(L135*13+J136)/14</f>
        <v>0.856340380781118</v>
      </c>
      <c r="M136" s="31" t="n">
        <f aca="false">IF(L136=0,100,100-100/(1+K136/MAX(L136,0.000001)))</f>
        <v>62.7450113603477</v>
      </c>
      <c r="N136" s="30" t="n">
        <f aca="false">AVERAGE(E117:E136)</f>
        <v>233.471</v>
      </c>
      <c r="O136" s="30" t="n">
        <f aca="false">AVERAGE(E87:E136)</f>
        <v>227.6246</v>
      </c>
      <c r="Q136" s="30" t="n">
        <f aca="false">Q135+(2/13)*(E136-Q135)</f>
        <v>237.768507131072</v>
      </c>
      <c r="R136" s="30" t="n">
        <f aca="false">R135+(2/27)*(E136-R135)</f>
        <v>233.334850886219</v>
      </c>
      <c r="S136" s="33" t="n">
        <f aca="false">Q136-R136</f>
        <v>4.4336562448535</v>
      </c>
      <c r="T136" s="33" t="n">
        <f aca="false">T135+(2/10)*(S136-T135)</f>
        <v>3.9770706755136</v>
      </c>
      <c r="U136" s="33" t="n">
        <f aca="false">S136-T136</f>
        <v>0.456585569339899</v>
      </c>
      <c r="V136" s="32" t="str">
        <f aca="false">IF(M136="","",IF(M136&lt;Assumptions!$B$5,"BUY",IF(M136&gt;Assumptions!$B$4,"SELL","HOLD")))</f>
        <v>HOLD</v>
      </c>
      <c r="W136" s="32" t="str">
        <f aca="false">IF(O136="","",IF(E136&gt;O136,"BUY","SELL"))</f>
        <v>BUY</v>
      </c>
      <c r="X136" s="32" t="str">
        <f aca="false">IF(T136="","",IF(S136&gt;T136,"BUY","SELL"))</f>
        <v>BUY</v>
      </c>
      <c r="Y136" s="34" t="n">
        <f aca="false">IF(OR(V136="",W136="",X136=""),"",IFERROR(IF(V136="BUY",1,IF(V136="SELL",-1,0))+IF(W136="BUY",1,IF(W136="SELL",-1,0))+IF(X136="BUY",1,IF(X136="SELL",-1,0)),0))</f>
        <v>2</v>
      </c>
      <c r="Z136" s="32" t="str">
        <f aca="false">IF(Y136="","",IF(Y136&gt;=2,"STRONG BUY",IF(Y136=1,"BUY",IF(Y136=0,"HOLD",IF(Y136=-1,"SELL","STRONG SELL")))))</f>
        <v>STRONG BUY</v>
      </c>
    </row>
    <row r="137" customFormat="false" ht="15" hidden="false" customHeight="false" outlineLevel="0" collapsed="false">
      <c r="A137" s="24" t="n">
        <v>45959</v>
      </c>
      <c r="B137" s="25" t="n">
        <v>240.8</v>
      </c>
      <c r="C137" s="25" t="n">
        <v>241.38</v>
      </c>
      <c r="D137" s="25" t="n">
        <v>240.8</v>
      </c>
      <c r="E137" s="25" t="n">
        <v>241.09</v>
      </c>
      <c r="F137" s="26" t="n">
        <v>5409201</v>
      </c>
      <c r="G137" s="27" t="n">
        <f aca="false">E137-E136</f>
        <v>0.390000000000015</v>
      </c>
      <c r="H137" s="28" t="n">
        <f aca="false">G137/E136</f>
        <v>0.00162027420024933</v>
      </c>
      <c r="I137" s="29" t="n">
        <f aca="false">MAX(G137,0)</f>
        <v>0.390000000000015</v>
      </c>
      <c r="J137" s="29" t="n">
        <f aca="false">MAX(-G137,0)</f>
        <v>0</v>
      </c>
      <c r="K137" s="29" t="n">
        <f aca="false">(K136*13+I137)/14</f>
        <v>1.36709126860053</v>
      </c>
      <c r="L137" s="29" t="n">
        <f aca="false">(L136*13+J137)/14</f>
        <v>0.795173210725324</v>
      </c>
      <c r="M137" s="31" t="n">
        <f aca="false">IF(L137=0,100,100-100/(1+K137/MAX(L137,0.000001)))</f>
        <v>63.224979260019</v>
      </c>
      <c r="N137" s="30" t="n">
        <f aca="false">AVERAGE(E118:E137)</f>
        <v>234.5055</v>
      </c>
      <c r="O137" s="30" t="n">
        <f aca="false">AVERAGE(E88:E137)</f>
        <v>228.0992</v>
      </c>
      <c r="Q137" s="30" t="n">
        <f aca="false">Q136+(2/13)*(E137-Q136)</f>
        <v>238.279506033984</v>
      </c>
      <c r="R137" s="30" t="n">
        <f aca="false">R136+(2/27)*(E137-R136)</f>
        <v>233.909306376128</v>
      </c>
      <c r="S137" s="33" t="n">
        <f aca="false">Q137-R137</f>
        <v>4.37019965785575</v>
      </c>
      <c r="T137" s="33" t="n">
        <f aca="false">T136+(2/10)*(S137-T136)</f>
        <v>4.05569647198203</v>
      </c>
      <c r="U137" s="33" t="n">
        <f aca="false">S137-T137</f>
        <v>0.314503185873724</v>
      </c>
      <c r="V137" s="32" t="str">
        <f aca="false">IF(M137="","",IF(M137&lt;Assumptions!$B$5,"BUY",IF(M137&gt;Assumptions!$B$4,"SELL","HOLD")))</f>
        <v>HOLD</v>
      </c>
      <c r="W137" s="32" t="str">
        <f aca="false">IF(O137="","",IF(E137&gt;O137,"BUY","SELL"))</f>
        <v>BUY</v>
      </c>
      <c r="X137" s="32" t="str">
        <f aca="false">IF(T137="","",IF(S137&gt;T137,"BUY","SELL"))</f>
        <v>BUY</v>
      </c>
      <c r="Y137" s="34" t="n">
        <f aca="false">IF(OR(V137="",W137="",X137=""),"",IFERROR(IF(V137="BUY",1,IF(V137="SELL",-1,0))+IF(W137="BUY",1,IF(W137="SELL",-1,0))+IF(X137="BUY",1,IF(X137="SELL",-1,0)),0))</f>
        <v>2</v>
      </c>
      <c r="Z137" s="32" t="str">
        <f aca="false">IF(Y137="","",IF(Y137&gt;=2,"STRONG BUY",IF(Y137=1,"BUY",IF(Y137=0,"HOLD",IF(Y137=-1,"SELL","STRONG SELL")))))</f>
        <v>STRONG BUY</v>
      </c>
    </row>
    <row r="138" customFormat="false" ht="15" hidden="false" customHeight="false" outlineLevel="0" collapsed="false">
      <c r="A138" s="24" t="n">
        <v>45960</v>
      </c>
      <c r="B138" s="25" t="n">
        <v>243.47</v>
      </c>
      <c r="C138" s="25" t="n">
        <v>243.51</v>
      </c>
      <c r="D138" s="25" t="n">
        <v>242.03</v>
      </c>
      <c r="E138" s="25" t="n">
        <v>242.77</v>
      </c>
      <c r="F138" s="26" t="n">
        <v>7484876</v>
      </c>
      <c r="G138" s="27" t="n">
        <f aca="false">E138-E137</f>
        <v>1.68000000000001</v>
      </c>
      <c r="H138" s="28" t="n">
        <f aca="false">G138/E137</f>
        <v>0.00696835206769259</v>
      </c>
      <c r="I138" s="29" t="n">
        <f aca="false">MAX(G138,0)</f>
        <v>1.68000000000001</v>
      </c>
      <c r="J138" s="29" t="n">
        <f aca="false">MAX(-G138,0)</f>
        <v>0</v>
      </c>
      <c r="K138" s="29" t="n">
        <f aca="false">(K137*13+I138)/14</f>
        <v>1.38944189227192</v>
      </c>
      <c r="L138" s="29" t="n">
        <f aca="false">(L137*13+J138)/14</f>
        <v>0.738375124244944</v>
      </c>
      <c r="M138" s="31" t="n">
        <f aca="false">IF(L138=0,100,100-100/(1+K138/MAX(L138,0.000001)))</f>
        <v>65.2989369615237</v>
      </c>
      <c r="N138" s="30" t="n">
        <f aca="false">AVERAGE(E119:E138)</f>
        <v>235.5635</v>
      </c>
      <c r="O138" s="30" t="n">
        <f aca="false">AVERAGE(E89:E138)</f>
        <v>228.6262</v>
      </c>
      <c r="Q138" s="30" t="n">
        <f aca="false">Q137+(2/13)*(E138-Q137)</f>
        <v>238.970351259525</v>
      </c>
      <c r="R138" s="30" t="n">
        <f aca="false">R137+(2/27)*(E138-R137)</f>
        <v>234.565654051971</v>
      </c>
      <c r="S138" s="33" t="n">
        <f aca="false">Q138-R138</f>
        <v>4.40469720755431</v>
      </c>
      <c r="T138" s="33" t="n">
        <f aca="false">T137+(2/10)*(S138-T137)</f>
        <v>4.12549661909648</v>
      </c>
      <c r="U138" s="33" t="n">
        <f aca="false">S138-T138</f>
        <v>0.279200588457824</v>
      </c>
      <c r="V138" s="32" t="str">
        <f aca="false">IF(M138="","",IF(M138&lt;Assumptions!$B$5,"BUY",IF(M138&gt;Assumptions!$B$4,"SELL","HOLD")))</f>
        <v>HOLD</v>
      </c>
      <c r="W138" s="32" t="str">
        <f aca="false">IF(O138="","",IF(E138&gt;O138,"BUY","SELL"))</f>
        <v>BUY</v>
      </c>
      <c r="X138" s="32" t="str">
        <f aca="false">IF(T138="","",IF(S138&gt;T138,"BUY","SELL"))</f>
        <v>BUY</v>
      </c>
      <c r="Y138" s="34" t="n">
        <f aca="false">IF(OR(V138="",W138="",X138=""),"",IFERROR(IF(V138="BUY",1,IF(V138="SELL",-1,0))+IF(W138="BUY",1,IF(W138="SELL",-1,0))+IF(X138="BUY",1,IF(X138="SELL",-1,0)),0))</f>
        <v>2</v>
      </c>
      <c r="Z138" s="32" t="str">
        <f aca="false">IF(Y138="","",IF(Y138&gt;=2,"STRONG BUY",IF(Y138=1,"BUY",IF(Y138=0,"HOLD",IF(Y138=-1,"SELL","STRONG SELL")))))</f>
        <v>STRONG BUY</v>
      </c>
    </row>
    <row r="139" customFormat="false" ht="15" hidden="false" customHeight="false" outlineLevel="0" collapsed="false">
      <c r="A139" s="24" t="n">
        <v>45961</v>
      </c>
      <c r="B139" s="25" t="n">
        <v>241.31</v>
      </c>
      <c r="C139" s="25" t="n">
        <v>241.67</v>
      </c>
      <c r="D139" s="25" t="n">
        <v>241.31</v>
      </c>
      <c r="E139" s="25" t="n">
        <v>241.49</v>
      </c>
      <c r="F139" s="26" t="n">
        <v>15813180</v>
      </c>
      <c r="G139" s="27" t="n">
        <f aca="false">E139-E138</f>
        <v>-1.28</v>
      </c>
      <c r="H139" s="28" t="n">
        <f aca="false">G139/E138</f>
        <v>-0.00527248012522141</v>
      </c>
      <c r="I139" s="29" t="n">
        <f aca="false">MAX(G139,0)</f>
        <v>0</v>
      </c>
      <c r="J139" s="29" t="n">
        <f aca="false">MAX(-G139,0)</f>
        <v>1.28</v>
      </c>
      <c r="K139" s="29" t="n">
        <f aca="false">(K138*13+I139)/14</f>
        <v>1.29019604282393</v>
      </c>
      <c r="L139" s="29" t="n">
        <f aca="false">(L138*13+J139)/14</f>
        <v>0.777062615370305</v>
      </c>
      <c r="M139" s="31" t="n">
        <f aca="false">IF(L139=0,100,100-100/(1+K139/MAX(L139,0.000001)))</f>
        <v>62.4109633165558</v>
      </c>
      <c r="N139" s="30" t="n">
        <f aca="false">AVERAGE(E120:E139)</f>
        <v>236.546</v>
      </c>
      <c r="O139" s="30" t="n">
        <f aca="false">AVERAGE(E90:E139)</f>
        <v>229.0388</v>
      </c>
      <c r="Q139" s="30" t="n">
        <f aca="false">Q138+(2/13)*(E139-Q138)</f>
        <v>239.35798952729</v>
      </c>
      <c r="R139" s="30" t="n">
        <f aca="false">R138+(2/27)*(E139-R138)</f>
        <v>235.07856856664</v>
      </c>
      <c r="S139" s="33" t="n">
        <f aca="false">Q139-R139</f>
        <v>4.27942096065084</v>
      </c>
      <c r="T139" s="33" t="n">
        <f aca="false">T138+(2/10)*(S139-T138)</f>
        <v>4.15628148740735</v>
      </c>
      <c r="U139" s="33" t="n">
        <f aca="false">S139-T139</f>
        <v>0.123139473243485</v>
      </c>
      <c r="V139" s="32" t="str">
        <f aca="false">IF(M139="","",IF(M139&lt;Assumptions!$B$5,"BUY",IF(M139&gt;Assumptions!$B$4,"SELL","HOLD")))</f>
        <v>HOLD</v>
      </c>
      <c r="W139" s="32" t="str">
        <f aca="false">IF(O139="","",IF(E139&gt;O139,"BUY","SELL"))</f>
        <v>BUY</v>
      </c>
      <c r="X139" s="32" t="str">
        <f aca="false">IF(T139="","",IF(S139&gt;T139,"BUY","SELL"))</f>
        <v>BUY</v>
      </c>
      <c r="Y139" s="34" t="n">
        <f aca="false">IF(OR(V139="",W139="",X139=""),"",IFERROR(IF(V139="BUY",1,IF(V139="SELL",-1,0))+IF(W139="BUY",1,IF(W139="SELL",-1,0))+IF(X139="BUY",1,IF(X139="SELL",-1,0)),0))</f>
        <v>2</v>
      </c>
      <c r="Z139" s="32" t="str">
        <f aca="false">IF(Y139="","",IF(Y139&gt;=2,"STRONG BUY",IF(Y139=1,"BUY",IF(Y139=0,"HOLD",IF(Y139=-1,"SELL","STRONG SELL")))))</f>
        <v>STRONG BUY</v>
      </c>
    </row>
    <row r="140" customFormat="false" ht="15" hidden="false" customHeight="false" outlineLevel="0" collapsed="false">
      <c r="A140" s="24" t="n">
        <v>45964</v>
      </c>
      <c r="B140" s="25" t="n">
        <v>243.37</v>
      </c>
      <c r="C140" s="25" t="n">
        <v>248.68</v>
      </c>
      <c r="D140" s="25" t="n">
        <v>242.02</v>
      </c>
      <c r="E140" s="25" t="n">
        <v>245.35</v>
      </c>
      <c r="F140" s="26" t="n">
        <v>6530447</v>
      </c>
      <c r="G140" s="27" t="n">
        <f aca="false">E140-E139</f>
        <v>3.85999999999999</v>
      </c>
      <c r="H140" s="28" t="n">
        <f aca="false">G140/E139</f>
        <v>0.0159840987204439</v>
      </c>
      <c r="I140" s="29" t="n">
        <f aca="false">MAX(G140,0)</f>
        <v>3.85999999999999</v>
      </c>
      <c r="J140" s="29" t="n">
        <f aca="false">MAX(-G140,0)</f>
        <v>0</v>
      </c>
      <c r="K140" s="29" t="n">
        <f aca="false">(K139*13+I140)/14</f>
        <v>1.4737534683365</v>
      </c>
      <c r="L140" s="29" t="n">
        <f aca="false">(L139*13+J140)/14</f>
        <v>0.721558142843855</v>
      </c>
      <c r="M140" s="31" t="n">
        <f aca="false">IF(L140=0,100,100-100/(1+K140/MAX(L140,0.000001)))</f>
        <v>67.1318577659281</v>
      </c>
      <c r="N140" s="30" t="n">
        <f aca="false">AVERAGE(E121:E140)</f>
        <v>237.5615</v>
      </c>
      <c r="O140" s="30" t="n">
        <f aca="false">AVERAGE(E91:E140)</f>
        <v>229.4892</v>
      </c>
      <c r="Q140" s="30" t="n">
        <f aca="false">Q139+(2/13)*(E140-Q139)</f>
        <v>240.279837292323</v>
      </c>
      <c r="R140" s="30" t="n">
        <f aca="false">R139+(2/27)*(E140-R139)</f>
        <v>235.839415339481</v>
      </c>
      <c r="S140" s="33" t="n">
        <f aca="false">Q140-R140</f>
        <v>4.44042195284155</v>
      </c>
      <c r="T140" s="33" t="n">
        <f aca="false">T139+(2/10)*(S140-T139)</f>
        <v>4.21310958049419</v>
      </c>
      <c r="U140" s="33" t="n">
        <f aca="false">S140-T140</f>
        <v>0.227312372347354</v>
      </c>
      <c r="V140" s="32" t="str">
        <f aca="false">IF(M140="","",IF(M140&lt;Assumptions!$B$5,"BUY",IF(M140&gt;Assumptions!$B$4,"SELL","HOLD")))</f>
        <v>HOLD</v>
      </c>
      <c r="W140" s="32" t="str">
        <f aca="false">IF(O140="","",IF(E140&gt;O140,"BUY","SELL"))</f>
        <v>BUY</v>
      </c>
      <c r="X140" s="32" t="str">
        <f aca="false">IF(T140="","",IF(S140&gt;T140,"BUY","SELL"))</f>
        <v>BUY</v>
      </c>
      <c r="Y140" s="34" t="n">
        <f aca="false">IF(OR(V140="",W140="",X140=""),"",IFERROR(IF(V140="BUY",1,IF(V140="SELL",-1,0))+IF(W140="BUY",1,IF(W140="SELL",-1,0))+IF(X140="BUY",1,IF(X140="SELL",-1,0)),0))</f>
        <v>2</v>
      </c>
      <c r="Z140" s="32" t="str">
        <f aca="false">IF(Y140="","",IF(Y140&gt;=2,"STRONG BUY",IF(Y140=1,"BUY",IF(Y140=0,"HOLD",IF(Y140=-1,"SELL","STRONG SELL")))))</f>
        <v>STRONG BUY</v>
      </c>
    </row>
    <row r="141" customFormat="false" ht="15" hidden="false" customHeight="false" outlineLevel="0" collapsed="false">
      <c r="A141" s="24" t="n">
        <v>45965</v>
      </c>
      <c r="B141" s="25" t="n">
        <v>244.33</v>
      </c>
      <c r="C141" s="25" t="n">
        <v>244.33</v>
      </c>
      <c r="D141" s="25" t="n">
        <v>243.75</v>
      </c>
      <c r="E141" s="25" t="n">
        <v>244.04</v>
      </c>
      <c r="F141" s="26" t="n">
        <v>9438582</v>
      </c>
      <c r="G141" s="27" t="n">
        <f aca="false">E141-E140</f>
        <v>-1.31</v>
      </c>
      <c r="H141" s="28" t="n">
        <f aca="false">G141/E140</f>
        <v>-0.00533931118809864</v>
      </c>
      <c r="I141" s="29" t="n">
        <f aca="false">MAX(G141,0)</f>
        <v>0</v>
      </c>
      <c r="J141" s="29" t="n">
        <f aca="false">MAX(-G141,0)</f>
        <v>1.31</v>
      </c>
      <c r="K141" s="29" t="n">
        <f aca="false">(K140*13+I141)/14</f>
        <v>1.36848536345532</v>
      </c>
      <c r="L141" s="29" t="n">
        <f aca="false">(L140*13+J141)/14</f>
        <v>0.763589704069294</v>
      </c>
      <c r="M141" s="31" t="n">
        <f aca="false">IF(L141=0,100,100-100/(1+K141/MAX(L141,0.000001)))</f>
        <v>64.1856088605812</v>
      </c>
      <c r="N141" s="30" t="n">
        <f aca="false">AVERAGE(E122:E141)</f>
        <v>238.438</v>
      </c>
      <c r="O141" s="30" t="n">
        <f aca="false">AVERAGE(E92:E141)</f>
        <v>229.936</v>
      </c>
      <c r="Q141" s="30" t="n">
        <f aca="false">Q140+(2/13)*(E141-Q140)</f>
        <v>240.858323862735</v>
      </c>
      <c r="R141" s="30" t="n">
        <f aca="false">R140+(2/27)*(E141-R140)</f>
        <v>236.446866055075</v>
      </c>
      <c r="S141" s="33" t="n">
        <f aca="false">Q141-R141</f>
        <v>4.41145780765945</v>
      </c>
      <c r="T141" s="33" t="n">
        <f aca="false">T140+(2/10)*(S141-T140)</f>
        <v>4.25277922592724</v>
      </c>
      <c r="U141" s="33" t="n">
        <f aca="false">S141-T141</f>
        <v>0.158678581732202</v>
      </c>
      <c r="V141" s="32" t="str">
        <f aca="false">IF(M141="","",IF(M141&lt;Assumptions!$B$5,"BUY",IF(M141&gt;Assumptions!$B$4,"SELL","HOLD")))</f>
        <v>HOLD</v>
      </c>
      <c r="W141" s="32" t="str">
        <f aca="false">IF(O141="","",IF(E141&gt;O141,"BUY","SELL"))</f>
        <v>BUY</v>
      </c>
      <c r="X141" s="32" t="str">
        <f aca="false">IF(T141="","",IF(S141&gt;T141,"BUY","SELL"))</f>
        <v>BUY</v>
      </c>
      <c r="Y141" s="34" t="n">
        <f aca="false">IF(OR(V141="",W141="",X141=""),"",IFERROR(IF(V141="BUY",1,IF(V141="SELL",-1,0))+IF(W141="BUY",1,IF(W141="SELL",-1,0))+IF(X141="BUY",1,IF(X141="SELL",-1,0)),0))</f>
        <v>2</v>
      </c>
      <c r="Z141" s="32" t="str">
        <f aca="false">IF(Y141="","",IF(Y141&gt;=2,"STRONG BUY",IF(Y141=1,"BUY",IF(Y141=0,"HOLD",IF(Y141=-1,"SELL","STRONG SELL")))))</f>
        <v>STRONG BUY</v>
      </c>
    </row>
    <row r="142" customFormat="false" ht="15" hidden="false" customHeight="false" outlineLevel="0" collapsed="false">
      <c r="A142" s="24" t="n">
        <v>45966</v>
      </c>
      <c r="B142" s="25" t="n">
        <v>247.19</v>
      </c>
      <c r="C142" s="25" t="n">
        <v>247.19</v>
      </c>
      <c r="D142" s="25" t="n">
        <v>246.29</v>
      </c>
      <c r="E142" s="25" t="n">
        <v>246.74</v>
      </c>
      <c r="F142" s="26" t="n">
        <v>8266219</v>
      </c>
      <c r="G142" s="27" t="n">
        <f aca="false">E142-E141</f>
        <v>2.70000000000002</v>
      </c>
      <c r="H142" s="28" t="n">
        <f aca="false">G142/E141</f>
        <v>0.0110637600393379</v>
      </c>
      <c r="I142" s="29" t="n">
        <f aca="false">MAX(G142,0)</f>
        <v>2.70000000000002</v>
      </c>
      <c r="J142" s="29" t="n">
        <f aca="false">MAX(-G142,0)</f>
        <v>0</v>
      </c>
      <c r="K142" s="29" t="n">
        <f aca="false">(K141*13+I142)/14</f>
        <v>1.46359355177994</v>
      </c>
      <c r="L142" s="29" t="n">
        <f aca="false">(L141*13+J142)/14</f>
        <v>0.709047582350059</v>
      </c>
      <c r="M142" s="31" t="n">
        <f aca="false">IF(L142=0,100,100-100/(1+K142/MAX(L142,0.000001)))</f>
        <v>67.3647170160025</v>
      </c>
      <c r="N142" s="30" t="n">
        <f aca="false">AVERAGE(E123:E142)</f>
        <v>239.2595</v>
      </c>
      <c r="O142" s="30" t="n">
        <f aca="false">AVERAGE(E93:E142)</f>
        <v>230.398</v>
      </c>
      <c r="Q142" s="30" t="n">
        <f aca="false">Q141+(2/13)*(E142-Q141)</f>
        <v>241.763197114622</v>
      </c>
      <c r="R142" s="30" t="n">
        <f aca="false">R141+(2/27)*(E142-R141)</f>
        <v>237.209320421366</v>
      </c>
      <c r="S142" s="33" t="n">
        <f aca="false">Q142-R142</f>
        <v>4.55387669325569</v>
      </c>
      <c r="T142" s="33" t="n">
        <f aca="false">T141+(2/10)*(S142-T141)</f>
        <v>4.31299871939293</v>
      </c>
      <c r="U142" s="33" t="n">
        <f aca="false">S142-T142</f>
        <v>0.240877973862756</v>
      </c>
      <c r="V142" s="32" t="str">
        <f aca="false">IF(M142="","",IF(M142&lt;Assumptions!$B$5,"BUY",IF(M142&gt;Assumptions!$B$4,"SELL","HOLD")))</f>
        <v>HOLD</v>
      </c>
      <c r="W142" s="32" t="str">
        <f aca="false">IF(O142="","",IF(E142&gt;O142,"BUY","SELL"))</f>
        <v>BUY</v>
      </c>
      <c r="X142" s="32" t="str">
        <f aca="false">IF(T142="","",IF(S142&gt;T142,"BUY","SELL"))</f>
        <v>BUY</v>
      </c>
      <c r="Y142" s="34" t="n">
        <f aca="false">IF(OR(V142="",W142="",X142=""),"",IFERROR(IF(V142="BUY",1,IF(V142="SELL",-1,0))+IF(W142="BUY",1,IF(W142="SELL",-1,0))+IF(X142="BUY",1,IF(X142="SELL",-1,0)),0))</f>
        <v>2</v>
      </c>
      <c r="Z142" s="32" t="str">
        <f aca="false">IF(Y142="","",IF(Y142&gt;=2,"STRONG BUY",IF(Y142=1,"BUY",IF(Y142=0,"HOLD",IF(Y142=-1,"SELL","STRONG SELL")))))</f>
        <v>STRONG BUY</v>
      </c>
    </row>
    <row r="143" customFormat="false" ht="15" hidden="false" customHeight="false" outlineLevel="0" collapsed="false">
      <c r="A143" s="24" t="n">
        <v>45967</v>
      </c>
      <c r="B143" s="25" t="n">
        <v>245.31</v>
      </c>
      <c r="C143" s="25" t="n">
        <v>247.93</v>
      </c>
      <c r="D143" s="25" t="n">
        <v>242.19</v>
      </c>
      <c r="E143" s="25" t="n">
        <v>245.06</v>
      </c>
      <c r="F143" s="26" t="n">
        <v>8608439</v>
      </c>
      <c r="G143" s="27" t="n">
        <f aca="false">E143-E142</f>
        <v>-1.68000000000001</v>
      </c>
      <c r="H143" s="28" t="n">
        <f aca="false">G143/E142</f>
        <v>-0.00680878657696363</v>
      </c>
      <c r="I143" s="29" t="n">
        <f aca="false">MAX(G143,0)</f>
        <v>0</v>
      </c>
      <c r="J143" s="29" t="n">
        <f aca="false">MAX(-G143,0)</f>
        <v>1.68000000000001</v>
      </c>
      <c r="K143" s="29" t="n">
        <f aca="false">(K142*13+I143)/14</f>
        <v>1.35905115522423</v>
      </c>
      <c r="L143" s="29" t="n">
        <f aca="false">(L142*13+J143)/14</f>
        <v>0.778401326467912</v>
      </c>
      <c r="M143" s="31" t="n">
        <f aca="false">IF(L143=0,100,100-100/(1+K143/MAX(L143,0.000001)))</f>
        <v>63.5827540899679</v>
      </c>
      <c r="N143" s="30" t="n">
        <f aca="false">AVERAGE(E124:E143)</f>
        <v>240.003</v>
      </c>
      <c r="O143" s="30" t="n">
        <f aca="false">AVERAGE(E94:E143)</f>
        <v>230.835</v>
      </c>
      <c r="Q143" s="30" t="n">
        <f aca="false">Q142+(2/13)*(E143-Q142)</f>
        <v>242.270397558526</v>
      </c>
      <c r="R143" s="30" t="n">
        <f aca="false">R142+(2/27)*(E143-R142)</f>
        <v>237.790852242005</v>
      </c>
      <c r="S143" s="33" t="n">
        <f aca="false">Q143-R143</f>
        <v>4.4795453165205</v>
      </c>
      <c r="T143" s="33" t="n">
        <f aca="false">T142+(2/10)*(S143-T142)</f>
        <v>4.34630803881845</v>
      </c>
      <c r="U143" s="33" t="n">
        <f aca="false">S143-T143</f>
        <v>0.133237277702055</v>
      </c>
      <c r="V143" s="32" t="str">
        <f aca="false">IF(M143="","",IF(M143&lt;Assumptions!$B$5,"BUY",IF(M143&gt;Assumptions!$B$4,"SELL","HOLD")))</f>
        <v>HOLD</v>
      </c>
      <c r="W143" s="32" t="str">
        <f aca="false">IF(O143="","",IF(E143&gt;O143,"BUY","SELL"))</f>
        <v>BUY</v>
      </c>
      <c r="X143" s="32" t="str">
        <f aca="false">IF(T143="","",IF(S143&gt;T143,"BUY","SELL"))</f>
        <v>BUY</v>
      </c>
      <c r="Y143" s="34" t="n">
        <f aca="false">IF(OR(V143="",W143="",X143=""),"",IFERROR(IF(V143="BUY",1,IF(V143="SELL",-1,0))+IF(W143="BUY",1,IF(W143="SELL",-1,0))+IF(X143="BUY",1,IF(X143="SELL",-1,0)),0))</f>
        <v>2</v>
      </c>
      <c r="Z143" s="32" t="str">
        <f aca="false">IF(Y143="","",IF(Y143&gt;=2,"STRONG BUY",IF(Y143=1,"BUY",IF(Y143=0,"HOLD",IF(Y143=-1,"SELL","STRONG SELL")))))</f>
        <v>STRONG BUY</v>
      </c>
    </row>
    <row r="144" customFormat="false" ht="15" hidden="false" customHeight="false" outlineLevel="0" collapsed="false">
      <c r="A144" s="24" t="n">
        <v>45968</v>
      </c>
      <c r="B144" s="25" t="n">
        <v>245.75</v>
      </c>
      <c r="C144" s="25" t="n">
        <v>249.67</v>
      </c>
      <c r="D144" s="25" t="n">
        <v>243.25</v>
      </c>
      <c r="E144" s="25" t="n">
        <v>246.46</v>
      </c>
      <c r="F144" s="26" t="n">
        <v>11520651</v>
      </c>
      <c r="G144" s="27" t="n">
        <f aca="false">E144-E143</f>
        <v>1.40000000000001</v>
      </c>
      <c r="H144" s="28" t="n">
        <f aca="false">G144/E143</f>
        <v>0.00571288664000655</v>
      </c>
      <c r="I144" s="29" t="n">
        <f aca="false">MAX(G144,0)</f>
        <v>1.40000000000001</v>
      </c>
      <c r="J144" s="29" t="n">
        <f aca="false">MAX(-G144,0)</f>
        <v>0</v>
      </c>
      <c r="K144" s="29" t="n">
        <f aca="false">(K143*13+I144)/14</f>
        <v>1.36197607270822</v>
      </c>
      <c r="L144" s="29" t="n">
        <f aca="false">(L143*13+J144)/14</f>
        <v>0.722801231720204</v>
      </c>
      <c r="M144" s="31" t="n">
        <f aca="false">IF(L144=0,100,100-100/(1+K144/MAX(L144,0.000001)))</f>
        <v>65.3295711640351</v>
      </c>
      <c r="N144" s="30" t="n">
        <f aca="false">AVERAGE(E125:E144)</f>
        <v>240.8015</v>
      </c>
      <c r="O144" s="30" t="n">
        <f aca="false">AVERAGE(E95:E144)</f>
        <v>231.3248</v>
      </c>
      <c r="Q144" s="30" t="n">
        <f aca="false">Q143+(2/13)*(E144-Q143)</f>
        <v>242.914951780291</v>
      </c>
      <c r="R144" s="30" t="n">
        <f aca="false">R143+(2/27)*(E144-R143)</f>
        <v>238.43301133519</v>
      </c>
      <c r="S144" s="33" t="n">
        <f aca="false">Q144-R144</f>
        <v>4.48194044510098</v>
      </c>
      <c r="T144" s="33" t="n">
        <f aca="false">T143+(2/10)*(S144-T143)</f>
        <v>4.37343452007495</v>
      </c>
      <c r="U144" s="33" t="n">
        <f aca="false">S144-T144</f>
        <v>0.108505925026023</v>
      </c>
      <c r="V144" s="32" t="str">
        <f aca="false">IF(M144="","",IF(M144&lt;Assumptions!$B$5,"BUY",IF(M144&gt;Assumptions!$B$4,"SELL","HOLD")))</f>
        <v>HOLD</v>
      </c>
      <c r="W144" s="32" t="str">
        <f aca="false">IF(O144="","",IF(E144&gt;O144,"BUY","SELL"))</f>
        <v>BUY</v>
      </c>
      <c r="X144" s="32" t="str">
        <f aca="false">IF(T144="","",IF(S144&gt;T144,"BUY","SELL"))</f>
        <v>BUY</v>
      </c>
      <c r="Y144" s="34" t="n">
        <f aca="false">IF(OR(V144="",W144="",X144=""),"",IFERROR(IF(V144="BUY",1,IF(V144="SELL",-1,0))+IF(W144="BUY",1,IF(W144="SELL",-1,0))+IF(X144="BUY",1,IF(X144="SELL",-1,0)),0))</f>
        <v>2</v>
      </c>
      <c r="Z144" s="32" t="str">
        <f aca="false">IF(Y144="","",IF(Y144&gt;=2,"STRONG BUY",IF(Y144=1,"BUY",IF(Y144=0,"HOLD",IF(Y144=-1,"SELL","STRONG SELL")))))</f>
        <v>STRONG BUY</v>
      </c>
    </row>
    <row r="145" customFormat="false" ht="15" hidden="false" customHeight="false" outlineLevel="0" collapsed="false">
      <c r="A145" s="24" t="n">
        <v>45971</v>
      </c>
      <c r="B145" s="25" t="n">
        <v>252.26</v>
      </c>
      <c r="C145" s="25" t="n">
        <v>252.77</v>
      </c>
      <c r="D145" s="25" t="n">
        <v>248.67</v>
      </c>
      <c r="E145" s="25" t="n">
        <v>250.72</v>
      </c>
      <c r="F145" s="26" t="n">
        <v>8371255</v>
      </c>
      <c r="G145" s="27" t="n">
        <f aca="false">E145-E144</f>
        <v>4.25999999999999</v>
      </c>
      <c r="H145" s="28" t="n">
        <f aca="false">G145/E144</f>
        <v>0.0172847520895885</v>
      </c>
      <c r="I145" s="29" t="n">
        <f aca="false">MAX(G145,0)</f>
        <v>4.25999999999999</v>
      </c>
      <c r="J145" s="29" t="n">
        <f aca="false">MAX(-G145,0)</f>
        <v>0</v>
      </c>
      <c r="K145" s="29" t="n">
        <f aca="false">(K144*13+I145)/14</f>
        <v>1.56897778180049</v>
      </c>
      <c r="L145" s="29" t="n">
        <f aca="false">(L144*13+J145)/14</f>
        <v>0.671172572311618</v>
      </c>
      <c r="M145" s="31" t="n">
        <f aca="false">IF(L145=0,100,100-100/(1+K145/MAX(L145,0.000001)))</f>
        <v>70.0389497928303</v>
      </c>
      <c r="N145" s="30" t="n">
        <f aca="false">AVERAGE(E126:E145)</f>
        <v>241.702</v>
      </c>
      <c r="O145" s="30" t="n">
        <f aca="false">AVERAGE(E96:E145)</f>
        <v>231.9192</v>
      </c>
      <c r="Q145" s="30" t="n">
        <f aca="false">Q144+(2/13)*(E145-Q144)</f>
        <v>244.115728429477</v>
      </c>
      <c r="R145" s="30" t="n">
        <f aca="false">R144+(2/27)*(E145-R144)</f>
        <v>239.343158643695</v>
      </c>
      <c r="S145" s="33" t="n">
        <f aca="false">Q145-R145</f>
        <v>4.77256978578251</v>
      </c>
      <c r="T145" s="33" t="n">
        <f aca="false">T144+(2/10)*(S145-T144)</f>
        <v>4.45326157321646</v>
      </c>
      <c r="U145" s="33" t="n">
        <f aca="false">S145-T145</f>
        <v>0.319308212566045</v>
      </c>
      <c r="V145" s="32" t="str">
        <f aca="false">IF(M145="","",IF(M145&lt;Assumptions!$B$5,"BUY",IF(M145&gt;Assumptions!$B$4,"SELL","HOLD")))</f>
        <v>SELL</v>
      </c>
      <c r="W145" s="32" t="str">
        <f aca="false">IF(O145="","",IF(E145&gt;O145,"BUY","SELL"))</f>
        <v>BUY</v>
      </c>
      <c r="X145" s="32" t="str">
        <f aca="false">IF(T145="","",IF(S145&gt;T145,"BUY","SELL"))</f>
        <v>BUY</v>
      </c>
      <c r="Y145" s="34" t="n">
        <f aca="false">IF(OR(V145="",W145="",X145=""),"",IFERROR(IF(V145="BUY",1,IF(V145="SELL",-1,0))+IF(W145="BUY",1,IF(W145="SELL",-1,0))+IF(X145="BUY",1,IF(X145="SELL",-1,0)),0))</f>
        <v>1</v>
      </c>
      <c r="Z145" s="32" t="str">
        <f aca="false">IF(Y145="","",IF(Y145&gt;=2,"STRONG BUY",IF(Y145=1,"BUY",IF(Y145=0,"HOLD",IF(Y145=-1,"SELL","STRONG SELL")))))</f>
        <v>BUY</v>
      </c>
    </row>
    <row r="146" customFormat="false" ht="15" hidden="false" customHeight="false" outlineLevel="0" collapsed="false">
      <c r="A146" s="24" t="n">
        <v>45972</v>
      </c>
      <c r="B146" s="25" t="n">
        <v>252.77</v>
      </c>
      <c r="C146" s="25" t="n">
        <v>253.33</v>
      </c>
      <c r="D146" s="25" t="n">
        <v>250.79</v>
      </c>
      <c r="E146" s="25" t="n">
        <v>252.06</v>
      </c>
      <c r="F146" s="26" t="n">
        <v>9897862</v>
      </c>
      <c r="G146" s="27" t="n">
        <f aca="false">E146-E145</f>
        <v>1.34</v>
      </c>
      <c r="H146" s="28" t="n">
        <f aca="false">G146/E145</f>
        <v>0.00534460753031271</v>
      </c>
      <c r="I146" s="29" t="n">
        <f aca="false">MAX(G146,0)</f>
        <v>1.34</v>
      </c>
      <c r="J146" s="29" t="n">
        <f aca="false">MAX(-G146,0)</f>
        <v>0</v>
      </c>
      <c r="K146" s="29" t="n">
        <f aca="false">(K145*13+I146)/14</f>
        <v>1.5526222259576</v>
      </c>
      <c r="L146" s="29" t="n">
        <f aca="false">(L145*13+J146)/14</f>
        <v>0.62323167428936</v>
      </c>
      <c r="M146" s="31" t="n">
        <f aca="false">IF(L146=0,100,100-100/(1+K146/MAX(L146,0.000001)))</f>
        <v>71.3569153600513</v>
      </c>
      <c r="N146" s="30" t="n">
        <f aca="false">AVERAGE(E127:E146)</f>
        <v>242.519</v>
      </c>
      <c r="O146" s="30" t="n">
        <f aca="false">AVERAGE(E97:E146)</f>
        <v>232.482</v>
      </c>
      <c r="Q146" s="30" t="n">
        <f aca="false">Q145+(2/13)*(E146-Q145)</f>
        <v>245.337924055711</v>
      </c>
      <c r="R146" s="30" t="n">
        <f aca="false">R145+(2/27)*(E146-R145)</f>
        <v>240.28514689231</v>
      </c>
      <c r="S146" s="33" t="n">
        <f aca="false">Q146-R146</f>
        <v>5.05277716340157</v>
      </c>
      <c r="T146" s="33" t="n">
        <f aca="false">T145+(2/10)*(S146-T145)</f>
        <v>4.57316469125349</v>
      </c>
      <c r="U146" s="33" t="n">
        <f aca="false">S146-T146</f>
        <v>0.479612472148087</v>
      </c>
      <c r="V146" s="32" t="str">
        <f aca="false">IF(M146="","",IF(M146&lt;Assumptions!$B$5,"BUY",IF(M146&gt;Assumptions!$B$4,"SELL","HOLD")))</f>
        <v>SELL</v>
      </c>
      <c r="W146" s="32" t="str">
        <f aca="false">IF(O146="","",IF(E146&gt;O146,"BUY","SELL"))</f>
        <v>BUY</v>
      </c>
      <c r="X146" s="32" t="str">
        <f aca="false">IF(T146="","",IF(S146&gt;T146,"BUY","SELL"))</f>
        <v>BUY</v>
      </c>
      <c r="Y146" s="34" t="n">
        <f aca="false">IF(OR(V146="",W146="",X146=""),"",IFERROR(IF(V146="BUY",1,IF(V146="SELL",-1,0))+IF(W146="BUY",1,IF(W146="SELL",-1,0))+IF(X146="BUY",1,IF(X146="SELL",-1,0)),0))</f>
        <v>1</v>
      </c>
      <c r="Z146" s="32" t="str">
        <f aca="false">IF(Y146="","",IF(Y146&gt;=2,"STRONG BUY",IF(Y146=1,"BUY",IF(Y146=0,"HOLD",IF(Y146=-1,"SELL","STRONG SELL")))))</f>
        <v>BUY</v>
      </c>
    </row>
    <row r="147" customFormat="false" ht="15" hidden="false" customHeight="false" outlineLevel="0" collapsed="false">
      <c r="A147" s="24" t="n">
        <v>45973</v>
      </c>
      <c r="B147" s="25" t="n">
        <v>250.59</v>
      </c>
      <c r="C147" s="25" t="n">
        <v>250.89</v>
      </c>
      <c r="D147" s="25" t="n">
        <v>250.59</v>
      </c>
      <c r="E147" s="25" t="n">
        <v>250.74</v>
      </c>
      <c r="F147" s="26" t="n">
        <v>7552861</v>
      </c>
      <c r="G147" s="27" t="n">
        <f aca="false">E147-E146</f>
        <v>-1.31999999999999</v>
      </c>
      <c r="H147" s="28" t="n">
        <f aca="false">G147/E146</f>
        <v>-0.00523684836943582</v>
      </c>
      <c r="I147" s="29" t="n">
        <f aca="false">MAX(G147,0)</f>
        <v>0</v>
      </c>
      <c r="J147" s="29" t="n">
        <f aca="false">MAX(-G147,0)</f>
        <v>1.31999999999999</v>
      </c>
      <c r="K147" s="29" t="n">
        <f aca="false">(K146*13+I147)/14</f>
        <v>1.4417206383892</v>
      </c>
      <c r="L147" s="29" t="n">
        <f aca="false">(L146*13+J147)/14</f>
        <v>0.673000840411548</v>
      </c>
      <c r="M147" s="31" t="n">
        <f aca="false">IF(L147=0,100,100-100/(1+K147/MAX(L147,0.000001)))</f>
        <v>68.1754383658502</v>
      </c>
      <c r="N147" s="30" t="n">
        <f aca="false">AVERAGE(E128:E147)</f>
        <v>243.312</v>
      </c>
      <c r="O147" s="30" t="n">
        <f aca="false">AVERAGE(E98:E147)</f>
        <v>233.0454</v>
      </c>
      <c r="Q147" s="30" t="n">
        <f aca="false">Q146+(2/13)*(E147-Q146)</f>
        <v>246.169012662525</v>
      </c>
      <c r="R147" s="30" t="n">
        <f aca="false">R146+(2/27)*(E147-R146)</f>
        <v>241.059580455842</v>
      </c>
      <c r="S147" s="33" t="n">
        <f aca="false">Q147-R147</f>
        <v>5.10943220668261</v>
      </c>
      <c r="T147" s="33" t="n">
        <f aca="false">T146+(2/10)*(S147-T146)</f>
        <v>4.68041819433931</v>
      </c>
      <c r="U147" s="33" t="n">
        <f aca="false">S147-T147</f>
        <v>0.429014012343302</v>
      </c>
      <c r="V147" s="32" t="str">
        <f aca="false">IF(M147="","",IF(M147&lt;Assumptions!$B$5,"BUY",IF(M147&gt;Assumptions!$B$4,"SELL","HOLD")))</f>
        <v>HOLD</v>
      </c>
      <c r="W147" s="32" t="str">
        <f aca="false">IF(O147="","",IF(E147&gt;O147,"BUY","SELL"))</f>
        <v>BUY</v>
      </c>
      <c r="X147" s="32" t="str">
        <f aca="false">IF(T147="","",IF(S147&gt;T147,"BUY","SELL"))</f>
        <v>BUY</v>
      </c>
      <c r="Y147" s="34" t="n">
        <f aca="false">IF(OR(V147="",W147="",X147=""),"",IFERROR(IF(V147="BUY",1,IF(V147="SELL",-1,0))+IF(W147="BUY",1,IF(W147="SELL",-1,0))+IF(X147="BUY",1,IF(X147="SELL",-1,0)),0))</f>
        <v>2</v>
      </c>
      <c r="Z147" s="32" t="str">
        <f aca="false">IF(Y147="","",IF(Y147&gt;=2,"STRONG BUY",IF(Y147=1,"BUY",IF(Y147=0,"HOLD",IF(Y147=-1,"SELL","STRONG SELL")))))</f>
        <v>STRONG BUY</v>
      </c>
    </row>
    <row r="148" customFormat="false" ht="15" hidden="false" customHeight="false" outlineLevel="0" collapsed="false">
      <c r="A148" s="24" t="n">
        <v>45974</v>
      </c>
      <c r="B148" s="25" t="n">
        <v>251.27</v>
      </c>
      <c r="C148" s="25" t="n">
        <v>252.53</v>
      </c>
      <c r="D148" s="25" t="n">
        <v>250.23</v>
      </c>
      <c r="E148" s="25" t="n">
        <v>251.38</v>
      </c>
      <c r="F148" s="26" t="n">
        <v>3495187</v>
      </c>
      <c r="G148" s="27" t="n">
        <f aca="false">E148-E147</f>
        <v>0.639999999999986</v>
      </c>
      <c r="H148" s="28" t="n">
        <f aca="false">G148/E147</f>
        <v>0.00255244476349999</v>
      </c>
      <c r="I148" s="29" t="n">
        <f aca="false">MAX(G148,0)</f>
        <v>0.639999999999986</v>
      </c>
      <c r="J148" s="29" t="n">
        <f aca="false">MAX(-G148,0)</f>
        <v>0</v>
      </c>
      <c r="K148" s="29" t="n">
        <f aca="false">(K147*13+I148)/14</f>
        <v>1.38445487850425</v>
      </c>
      <c r="L148" s="29" t="n">
        <f aca="false">(L147*13+J148)/14</f>
        <v>0.624929351810723</v>
      </c>
      <c r="M148" s="31" t="n">
        <f aca="false">IF(L148=0,100,100-100/(1+K148/MAX(L148,0.000001)))</f>
        <v>68.8994597258901</v>
      </c>
      <c r="N148" s="30" t="n">
        <f aca="false">AVERAGE(E129:E148)</f>
        <v>243.8895</v>
      </c>
      <c r="O148" s="30" t="n">
        <f aca="false">AVERAGE(E99:E148)</f>
        <v>233.6246</v>
      </c>
      <c r="Q148" s="30" t="n">
        <f aca="false">Q147+(2/13)*(E148-Q147)</f>
        <v>246.970703022137</v>
      </c>
      <c r="R148" s="30" t="n">
        <f aca="false">R147+(2/27)*(E148-R147)</f>
        <v>241.824055977632</v>
      </c>
      <c r="S148" s="33" t="n">
        <f aca="false">Q148-R148</f>
        <v>5.1466470445047</v>
      </c>
      <c r="T148" s="33" t="n">
        <f aca="false">T147+(2/10)*(S148-T147)</f>
        <v>4.77366396437239</v>
      </c>
      <c r="U148" s="33" t="n">
        <f aca="false">S148-T148</f>
        <v>0.372983080132315</v>
      </c>
      <c r="V148" s="32" t="str">
        <f aca="false">IF(M148="","",IF(M148&lt;Assumptions!$B$5,"BUY",IF(M148&gt;Assumptions!$B$4,"SELL","HOLD")))</f>
        <v>HOLD</v>
      </c>
      <c r="W148" s="32" t="str">
        <f aca="false">IF(O148="","",IF(E148&gt;O148,"BUY","SELL"))</f>
        <v>BUY</v>
      </c>
      <c r="X148" s="32" t="str">
        <f aca="false">IF(T148="","",IF(S148&gt;T148,"BUY","SELL"))</f>
        <v>BUY</v>
      </c>
      <c r="Y148" s="34" t="n">
        <f aca="false">IF(OR(V148="",W148="",X148=""),"",IFERROR(IF(V148="BUY",1,IF(V148="SELL",-1,0))+IF(W148="BUY",1,IF(W148="SELL",-1,0))+IF(X148="BUY",1,IF(X148="SELL",-1,0)),0))</f>
        <v>2</v>
      </c>
      <c r="Z148" s="32" t="str">
        <f aca="false">IF(Y148="","",IF(Y148&gt;=2,"STRONG BUY",IF(Y148=1,"BUY",IF(Y148=0,"HOLD",IF(Y148=-1,"SELL","STRONG SELL")))))</f>
        <v>STRONG BUY</v>
      </c>
    </row>
    <row r="149" customFormat="false" ht="15" hidden="false" customHeight="false" outlineLevel="0" collapsed="false">
      <c r="A149" s="24" t="n">
        <v>45975</v>
      </c>
      <c r="B149" s="25" t="n">
        <v>253.68</v>
      </c>
      <c r="C149" s="25" t="n">
        <v>253.68</v>
      </c>
      <c r="D149" s="25" t="n">
        <v>253.16</v>
      </c>
      <c r="E149" s="25" t="n">
        <v>253.42</v>
      </c>
      <c r="F149" s="26" t="n">
        <v>11365340</v>
      </c>
      <c r="G149" s="27" t="n">
        <f aca="false">E149-E148</f>
        <v>2.03999999999999</v>
      </c>
      <c r="H149" s="28" t="n">
        <f aca="false">G149/E148</f>
        <v>0.00811520407351417</v>
      </c>
      <c r="I149" s="29" t="n">
        <f aca="false">MAX(G149,0)</f>
        <v>2.03999999999999</v>
      </c>
      <c r="J149" s="29" t="n">
        <f aca="false">MAX(-G149,0)</f>
        <v>0</v>
      </c>
      <c r="K149" s="29" t="n">
        <f aca="false">(K148*13+I149)/14</f>
        <v>1.43127953003966</v>
      </c>
      <c r="L149" s="29" t="n">
        <f aca="false">(L148*13+J149)/14</f>
        <v>0.5802915409671</v>
      </c>
      <c r="M149" s="31" t="n">
        <f aca="false">IF(L149=0,100,100-100/(1+K149/MAX(L149,0.000001)))</f>
        <v>71.1523222156564</v>
      </c>
      <c r="N149" s="30" t="n">
        <f aca="false">AVERAGE(E130:E149)</f>
        <v>244.5525</v>
      </c>
      <c r="O149" s="30" t="n">
        <f aca="false">AVERAGE(E100:E149)</f>
        <v>234.194</v>
      </c>
      <c r="Q149" s="30" t="n">
        <f aca="false">Q148+(2/13)*(E149-Q148)</f>
        <v>247.962902557192</v>
      </c>
      <c r="R149" s="30" t="n">
        <f aca="false">R148+(2/27)*(E149-R148)</f>
        <v>242.683014794104</v>
      </c>
      <c r="S149" s="33" t="n">
        <f aca="false">Q149-R149</f>
        <v>5.27988776308891</v>
      </c>
      <c r="T149" s="33" t="n">
        <f aca="false">T148+(2/10)*(S149-T148)</f>
        <v>4.87490872411569</v>
      </c>
      <c r="U149" s="33" t="n">
        <f aca="false">S149-T149</f>
        <v>0.404979038973215</v>
      </c>
      <c r="V149" s="32" t="str">
        <f aca="false">IF(M149="","",IF(M149&lt;Assumptions!$B$5,"BUY",IF(M149&gt;Assumptions!$B$4,"SELL","HOLD")))</f>
        <v>SELL</v>
      </c>
      <c r="W149" s="32" t="str">
        <f aca="false">IF(O149="","",IF(E149&gt;O149,"BUY","SELL"))</f>
        <v>BUY</v>
      </c>
      <c r="X149" s="32" t="str">
        <f aca="false">IF(T149="","",IF(S149&gt;T149,"BUY","SELL"))</f>
        <v>BUY</v>
      </c>
      <c r="Y149" s="34" t="n">
        <f aca="false">IF(OR(V149="",W149="",X149=""),"",IFERROR(IF(V149="BUY",1,IF(V149="SELL",-1,0))+IF(W149="BUY",1,IF(W149="SELL",-1,0))+IF(X149="BUY",1,IF(X149="SELL",-1,0)),0))</f>
        <v>1</v>
      </c>
      <c r="Z149" s="32" t="str">
        <f aca="false">IF(Y149="","",IF(Y149&gt;=2,"STRONG BUY",IF(Y149=1,"BUY",IF(Y149=0,"HOLD",IF(Y149=-1,"SELL","STRONG SELL")))))</f>
        <v>BUY</v>
      </c>
    </row>
    <row r="150" customFormat="false" ht="15" hidden="false" customHeight="false" outlineLevel="0" collapsed="false">
      <c r="A150" s="24" t="n">
        <v>45978</v>
      </c>
      <c r="B150" s="25" t="n">
        <v>252.4</v>
      </c>
      <c r="C150" s="25" t="n">
        <v>254.24</v>
      </c>
      <c r="D150" s="25" t="n">
        <v>250.26</v>
      </c>
      <c r="E150" s="25" t="n">
        <v>252.25</v>
      </c>
      <c r="F150" s="26" t="n">
        <v>7568372</v>
      </c>
      <c r="G150" s="27" t="n">
        <f aca="false">E150-E149</f>
        <v>-1.16999999999999</v>
      </c>
      <c r="H150" s="28" t="n">
        <f aca="false">G150/E149</f>
        <v>-0.00461684160681867</v>
      </c>
      <c r="I150" s="29" t="n">
        <f aca="false">MAX(G150,0)</f>
        <v>0</v>
      </c>
      <c r="J150" s="29" t="n">
        <f aca="false">MAX(-G150,0)</f>
        <v>1.16999999999999</v>
      </c>
      <c r="K150" s="29" t="n">
        <f aca="false">(K149*13+I150)/14</f>
        <v>1.32904527789397</v>
      </c>
      <c r="L150" s="29" t="n">
        <f aca="false">(L149*13+J150)/14</f>
        <v>0.622413573755163</v>
      </c>
      <c r="M150" s="31" t="n">
        <f aca="false">IF(L150=0,100,100-100/(1+K150/MAX(L150,0.000001)))</f>
        <v>68.1052166060701</v>
      </c>
      <c r="N150" s="30" t="n">
        <f aca="false">AVERAGE(E131:E150)</f>
        <v>245.155</v>
      </c>
      <c r="O150" s="30" t="n">
        <f aca="false">AVERAGE(E101:E150)</f>
        <v>234.7244</v>
      </c>
      <c r="Q150" s="30" t="n">
        <f aca="false">Q149+(2/13)*(E150-Q149)</f>
        <v>248.622456009932</v>
      </c>
      <c r="R150" s="30" t="n">
        <f aca="false">R149+(2/27)*(E150-R149)</f>
        <v>243.391680364911</v>
      </c>
      <c r="S150" s="33" t="n">
        <f aca="false">Q150-R150</f>
        <v>5.2307756450214</v>
      </c>
      <c r="T150" s="33" t="n">
        <f aca="false">T149+(2/10)*(S150-T149)</f>
        <v>4.94608210829683</v>
      </c>
      <c r="U150" s="33" t="n">
        <f aca="false">S150-T150</f>
        <v>0.284693536724562</v>
      </c>
      <c r="V150" s="32" t="str">
        <f aca="false">IF(M150="","",IF(M150&lt;Assumptions!$B$5,"BUY",IF(M150&gt;Assumptions!$B$4,"SELL","HOLD")))</f>
        <v>HOLD</v>
      </c>
      <c r="W150" s="32" t="str">
        <f aca="false">IF(O150="","",IF(E150&gt;O150,"BUY","SELL"))</f>
        <v>BUY</v>
      </c>
      <c r="X150" s="32" t="str">
        <f aca="false">IF(T150="","",IF(S150&gt;T150,"BUY","SELL"))</f>
        <v>BUY</v>
      </c>
      <c r="Y150" s="34" t="n">
        <f aca="false">IF(OR(V150="",W150="",X150=""),"",IFERROR(IF(V150="BUY",1,IF(V150="SELL",-1,0))+IF(W150="BUY",1,IF(W150="SELL",-1,0))+IF(X150="BUY",1,IF(X150="SELL",-1,0)),0))</f>
        <v>2</v>
      </c>
      <c r="Z150" s="32" t="str">
        <f aca="false">IF(Y150="","",IF(Y150&gt;=2,"STRONG BUY",IF(Y150=1,"BUY",IF(Y150=0,"HOLD",IF(Y150=-1,"SELL","STRONG SELL")))))</f>
        <v>STRONG BUY</v>
      </c>
    </row>
    <row r="151" customFormat="false" ht="15" hidden="false" customHeight="false" outlineLevel="0" collapsed="false">
      <c r="A151" s="24" t="n">
        <v>45979</v>
      </c>
      <c r="B151" s="25" t="n">
        <v>251.56</v>
      </c>
      <c r="C151" s="25" t="n">
        <v>251.56</v>
      </c>
      <c r="D151" s="25" t="n">
        <v>250.8</v>
      </c>
      <c r="E151" s="25" t="n">
        <v>251.18</v>
      </c>
      <c r="F151" s="26" t="n">
        <v>10007899</v>
      </c>
      <c r="G151" s="27" t="n">
        <f aca="false">E151-E150</f>
        <v>-1.06999999999999</v>
      </c>
      <c r="H151" s="28" t="n">
        <f aca="false">G151/E150</f>
        <v>-0.00424182358771058</v>
      </c>
      <c r="I151" s="29" t="n">
        <f aca="false">MAX(G151,0)</f>
        <v>0</v>
      </c>
      <c r="J151" s="29" t="n">
        <f aca="false">MAX(-G151,0)</f>
        <v>1.06999999999999</v>
      </c>
      <c r="K151" s="29" t="n">
        <f aca="false">(K150*13+I151)/14</f>
        <v>1.23411347233012</v>
      </c>
      <c r="L151" s="29" t="n">
        <f aca="false">(L150*13+J151)/14</f>
        <v>0.654384032772651</v>
      </c>
      <c r="M151" s="31" t="n">
        <f aca="false">IF(L151=0,100,100-100/(1+K151/MAX(L151,0.000001)))</f>
        <v>65.3489596356633</v>
      </c>
      <c r="N151" s="30" t="n">
        <f aca="false">AVERAGE(E132:E151)</f>
        <v>245.6445</v>
      </c>
      <c r="O151" s="30" t="n">
        <f aca="false">AVERAGE(E102:E151)</f>
        <v>235.221</v>
      </c>
      <c r="Q151" s="30" t="n">
        <f aca="false">Q150+(2/13)*(E151-Q150)</f>
        <v>249.015924316096</v>
      </c>
      <c r="R151" s="30" t="n">
        <f aca="false">R150+(2/27)*(E151-R150)</f>
        <v>243.968592930473</v>
      </c>
      <c r="S151" s="33" t="n">
        <f aca="false">Q151-R151</f>
        <v>5.04733138562352</v>
      </c>
      <c r="T151" s="33" t="n">
        <f aca="false">T150+(2/10)*(S151-T150)</f>
        <v>4.96633196376217</v>
      </c>
      <c r="U151" s="33" t="n">
        <f aca="false">S151-T151</f>
        <v>0.0809994218613515</v>
      </c>
      <c r="V151" s="32" t="str">
        <f aca="false">IF(M151="","",IF(M151&lt;Assumptions!$B$5,"BUY",IF(M151&gt;Assumptions!$B$4,"SELL","HOLD")))</f>
        <v>HOLD</v>
      </c>
      <c r="W151" s="32" t="str">
        <f aca="false">IF(O151="","",IF(E151&gt;O151,"BUY","SELL"))</f>
        <v>BUY</v>
      </c>
      <c r="X151" s="32" t="str">
        <f aca="false">IF(T151="","",IF(S151&gt;T151,"BUY","SELL"))</f>
        <v>BUY</v>
      </c>
      <c r="Y151" s="34" t="n">
        <f aca="false">IF(OR(V151="",W151="",X151=""),"",IFERROR(IF(V151="BUY",1,IF(V151="SELL",-1,0))+IF(W151="BUY",1,IF(W151="SELL",-1,0))+IF(X151="BUY",1,IF(X151="SELL",-1,0)),0))</f>
        <v>2</v>
      </c>
      <c r="Z151" s="32" t="str">
        <f aca="false">IF(Y151="","",IF(Y151&gt;=2,"STRONG BUY",IF(Y151=1,"BUY",IF(Y151=0,"HOLD",IF(Y151=-1,"SELL","STRONG SELL")))))</f>
        <v>STRONG BUY</v>
      </c>
    </row>
    <row r="152" customFormat="false" ht="15" hidden="false" customHeight="false" outlineLevel="0" collapsed="false">
      <c r="A152" s="24" t="n">
        <v>45980</v>
      </c>
      <c r="B152" s="25" t="n">
        <v>255.6</v>
      </c>
      <c r="C152" s="25" t="n">
        <v>256.64</v>
      </c>
      <c r="D152" s="25" t="n">
        <v>255.6</v>
      </c>
      <c r="E152" s="25" t="n">
        <v>256.12</v>
      </c>
      <c r="F152" s="26" t="n">
        <v>11858548</v>
      </c>
      <c r="G152" s="27" t="n">
        <f aca="false">E152-E151</f>
        <v>4.94</v>
      </c>
      <c r="H152" s="28" t="n">
        <f aca="false">G152/E151</f>
        <v>0.0196671709531014</v>
      </c>
      <c r="I152" s="29" t="n">
        <f aca="false">MAX(G152,0)</f>
        <v>4.94</v>
      </c>
      <c r="J152" s="29" t="n">
        <f aca="false">MAX(-G152,0)</f>
        <v>0</v>
      </c>
      <c r="K152" s="29" t="n">
        <f aca="false">(K151*13+I152)/14</f>
        <v>1.49881965287797</v>
      </c>
      <c r="L152" s="29" t="n">
        <f aca="false">(L151*13+J152)/14</f>
        <v>0.607642316146033</v>
      </c>
      <c r="M152" s="31" t="n">
        <f aca="false">IF(L152=0,100,100-100/(1+K152/MAX(L152,0.000001)))</f>
        <v>71.1534162457452</v>
      </c>
      <c r="N152" s="30" t="n">
        <f aca="false">AVERAGE(E133:E152)</f>
        <v>246.493</v>
      </c>
      <c r="O152" s="30" t="n">
        <f aca="false">AVERAGE(E103:E152)</f>
        <v>235.849</v>
      </c>
      <c r="Q152" s="30" t="n">
        <f aca="false">Q151+(2/13)*(E152-Q151)</f>
        <v>250.108859036697</v>
      </c>
      <c r="R152" s="30" t="n">
        <f aca="false">R151+(2/27)*(E152-R151)</f>
        <v>244.868697157845</v>
      </c>
      <c r="S152" s="33" t="n">
        <f aca="false">Q152-R152</f>
        <v>5.24016187885172</v>
      </c>
      <c r="T152" s="33" t="n">
        <f aca="false">T151+(2/10)*(S152-T151)</f>
        <v>5.02109794678008</v>
      </c>
      <c r="U152" s="33" t="n">
        <f aca="false">S152-T152</f>
        <v>0.219063932071641</v>
      </c>
      <c r="V152" s="32" t="str">
        <f aca="false">IF(M152="","",IF(M152&lt;Assumptions!$B$5,"BUY",IF(M152&gt;Assumptions!$B$4,"SELL","HOLD")))</f>
        <v>SELL</v>
      </c>
      <c r="W152" s="32" t="str">
        <f aca="false">IF(O152="","",IF(E152&gt;O152,"BUY","SELL"))</f>
        <v>BUY</v>
      </c>
      <c r="X152" s="32" t="str">
        <f aca="false">IF(T152="","",IF(S152&gt;T152,"BUY","SELL"))</f>
        <v>BUY</v>
      </c>
      <c r="Y152" s="34" t="n">
        <f aca="false">IF(OR(V152="",W152="",X152=""),"",IFERROR(IF(V152="BUY",1,IF(V152="SELL",-1,0))+IF(W152="BUY",1,IF(W152="SELL",-1,0))+IF(X152="BUY",1,IF(X152="SELL",-1,0)),0))</f>
        <v>1</v>
      </c>
      <c r="Z152" s="32" t="str">
        <f aca="false">IF(Y152="","",IF(Y152&gt;=2,"STRONG BUY",IF(Y152=1,"BUY",IF(Y152=0,"HOLD",IF(Y152=-1,"SELL","STRONG SELL")))))</f>
        <v>BUY</v>
      </c>
    </row>
    <row r="153" customFormat="false" ht="15" hidden="false" customHeight="false" outlineLevel="0" collapsed="false">
      <c r="A153" s="24" t="n">
        <v>45981</v>
      </c>
      <c r="B153" s="25" t="n">
        <v>260.86</v>
      </c>
      <c r="C153" s="25" t="n">
        <v>260.86</v>
      </c>
      <c r="D153" s="25" t="n">
        <v>259.36</v>
      </c>
      <c r="E153" s="25" t="n">
        <v>260.11</v>
      </c>
      <c r="F153" s="26" t="n">
        <v>8145389</v>
      </c>
      <c r="G153" s="27" t="n">
        <f aca="false">E153-E152</f>
        <v>3.99000000000001</v>
      </c>
      <c r="H153" s="28" t="n">
        <f aca="false">G153/E152</f>
        <v>0.0155786350148368</v>
      </c>
      <c r="I153" s="29" t="n">
        <f aca="false">MAX(G153,0)</f>
        <v>3.99000000000001</v>
      </c>
      <c r="J153" s="29" t="n">
        <f aca="false">MAX(-G153,0)</f>
        <v>0</v>
      </c>
      <c r="K153" s="29" t="n">
        <f aca="false">(K152*13+I153)/14</f>
        <v>1.67676110624383</v>
      </c>
      <c r="L153" s="29" t="n">
        <f aca="false">(L152*13+J153)/14</f>
        <v>0.564239293564174</v>
      </c>
      <c r="M153" s="31" t="n">
        <f aca="false">IF(L153=0,100,100-100/(1+K153/MAX(L153,0.000001)))</f>
        <v>74.8219904997556</v>
      </c>
      <c r="N153" s="30" t="n">
        <f aca="false">AVERAGE(E134:E153)</f>
        <v>247.7545</v>
      </c>
      <c r="O153" s="30" t="n">
        <f aca="false">AVERAGE(E104:E153)</f>
        <v>236.4396</v>
      </c>
      <c r="Q153" s="30" t="n">
        <f aca="false">Q152+(2/13)*(E153-Q152)</f>
        <v>251.647496107974</v>
      </c>
      <c r="R153" s="30" t="n">
        <f aca="false">R152+(2/27)*(E153-R152)</f>
        <v>245.99768255356</v>
      </c>
      <c r="S153" s="33" t="n">
        <f aca="false">Q153-R153</f>
        <v>5.64981355441392</v>
      </c>
      <c r="T153" s="33" t="n">
        <f aca="false">T152+(2/10)*(S153-T152)</f>
        <v>5.14684106830685</v>
      </c>
      <c r="U153" s="33" t="n">
        <f aca="false">S153-T153</f>
        <v>0.502972486107074</v>
      </c>
      <c r="V153" s="32" t="str">
        <f aca="false">IF(M153="","",IF(M153&lt;Assumptions!$B$5,"BUY",IF(M153&gt;Assumptions!$B$4,"SELL","HOLD")))</f>
        <v>SELL</v>
      </c>
      <c r="W153" s="32" t="str">
        <f aca="false">IF(O153="","",IF(E153&gt;O153,"BUY","SELL"))</f>
        <v>BUY</v>
      </c>
      <c r="X153" s="32" t="str">
        <f aca="false">IF(T153="","",IF(S153&gt;T153,"BUY","SELL"))</f>
        <v>BUY</v>
      </c>
      <c r="Y153" s="34" t="n">
        <f aca="false">IF(OR(V153="",W153="",X153=""),"",IFERROR(IF(V153="BUY",1,IF(V153="SELL",-1,0))+IF(W153="BUY",1,IF(W153="SELL",-1,0))+IF(X153="BUY",1,IF(X153="SELL",-1,0)),0))</f>
        <v>1</v>
      </c>
      <c r="Z153" s="32" t="str">
        <f aca="false">IF(Y153="","",IF(Y153&gt;=2,"STRONG BUY",IF(Y153=1,"BUY",IF(Y153=0,"HOLD",IF(Y153=-1,"SELL","STRONG SELL")))))</f>
        <v>BUY</v>
      </c>
    </row>
    <row r="154" customFormat="false" ht="15" hidden="false" customHeight="false" outlineLevel="0" collapsed="false">
      <c r="A154" s="24" t="n">
        <v>45982</v>
      </c>
      <c r="B154" s="25" t="n">
        <v>258.64</v>
      </c>
      <c r="C154" s="25" t="n">
        <v>258.64</v>
      </c>
      <c r="D154" s="25" t="n">
        <v>257.84</v>
      </c>
      <c r="E154" s="25" t="n">
        <v>258.24</v>
      </c>
      <c r="F154" s="26" t="n">
        <v>5004467</v>
      </c>
      <c r="G154" s="27" t="n">
        <f aca="false">E154-E153</f>
        <v>-1.87</v>
      </c>
      <c r="H154" s="28" t="n">
        <f aca="false">G154/E153</f>
        <v>-0.00718926607973551</v>
      </c>
      <c r="I154" s="29" t="n">
        <f aca="false">MAX(G154,0)</f>
        <v>0</v>
      </c>
      <c r="J154" s="29" t="n">
        <f aca="false">MAX(-G154,0)</f>
        <v>1.87</v>
      </c>
      <c r="K154" s="29" t="n">
        <f aca="false">(K153*13+I154)/14</f>
        <v>1.55699245579784</v>
      </c>
      <c r="L154" s="29" t="n">
        <f aca="false">(L153*13+J154)/14</f>
        <v>0.657507915452447</v>
      </c>
      <c r="M154" s="31" t="n">
        <f aca="false">IF(L154=0,100,100-100/(1+K154/MAX(L154,0.000001)))</f>
        <v>70.3089724441444</v>
      </c>
      <c r="N154" s="30" t="n">
        <f aca="false">AVERAGE(E135:E154)</f>
        <v>248.6525</v>
      </c>
      <c r="O154" s="30" t="n">
        <f aca="false">AVERAGE(E105:E154)</f>
        <v>236.9506</v>
      </c>
      <c r="Q154" s="30" t="n">
        <f aca="false">Q153+(2/13)*(E154-Q153)</f>
        <v>252.661727475978</v>
      </c>
      <c r="R154" s="30" t="n">
        <f aca="false">R153+(2/27)*(E154-R153)</f>
        <v>246.904520882926</v>
      </c>
      <c r="S154" s="33" t="n">
        <f aca="false">Q154-R154</f>
        <v>5.75720659305199</v>
      </c>
      <c r="T154" s="33" t="n">
        <f aca="false">T153+(2/10)*(S154-T153)</f>
        <v>5.26891417325588</v>
      </c>
      <c r="U154" s="33" t="n">
        <f aca="false">S154-T154</f>
        <v>0.488292419796112</v>
      </c>
      <c r="V154" s="32" t="str">
        <f aca="false">IF(M154="","",IF(M154&lt;Assumptions!$B$5,"BUY",IF(M154&gt;Assumptions!$B$4,"SELL","HOLD")))</f>
        <v>SELL</v>
      </c>
      <c r="W154" s="32" t="str">
        <f aca="false">IF(O154="","",IF(E154&gt;O154,"BUY","SELL"))</f>
        <v>BUY</v>
      </c>
      <c r="X154" s="32" t="str">
        <f aca="false">IF(T154="","",IF(S154&gt;T154,"BUY","SELL"))</f>
        <v>BUY</v>
      </c>
      <c r="Y154" s="34" t="n">
        <f aca="false">IF(OR(V154="",W154="",X154=""),"",IFERROR(IF(V154="BUY",1,IF(V154="SELL",-1,0))+IF(W154="BUY",1,IF(W154="SELL",-1,0))+IF(X154="BUY",1,IF(X154="SELL",-1,0)),0))</f>
        <v>1</v>
      </c>
      <c r="Z154" s="32" t="str">
        <f aca="false">IF(Y154="","",IF(Y154&gt;=2,"STRONG BUY",IF(Y154=1,"BUY",IF(Y154=0,"HOLD",IF(Y154=-1,"SELL","STRONG SELL")))))</f>
        <v>BUY</v>
      </c>
    </row>
    <row r="155" customFormat="false" ht="15" hidden="false" customHeight="false" outlineLevel="0" collapsed="false">
      <c r="A155" s="24" t="n">
        <v>45985</v>
      </c>
      <c r="B155" s="25" t="n">
        <v>256.59</v>
      </c>
      <c r="C155" s="25" t="n">
        <v>257.13</v>
      </c>
      <c r="D155" s="25" t="n">
        <v>251.97</v>
      </c>
      <c r="E155" s="25" t="n">
        <v>254.55</v>
      </c>
      <c r="F155" s="26" t="n">
        <v>8673103</v>
      </c>
      <c r="G155" s="27" t="n">
        <f aca="false">E155-E154</f>
        <v>-3.69</v>
      </c>
      <c r="H155" s="28" t="n">
        <f aca="false">G155/E154</f>
        <v>-0.0142890334572491</v>
      </c>
      <c r="I155" s="29" t="n">
        <f aca="false">MAX(G155,0)</f>
        <v>0</v>
      </c>
      <c r="J155" s="29" t="n">
        <f aca="false">MAX(-G155,0)</f>
        <v>3.69</v>
      </c>
      <c r="K155" s="29" t="n">
        <f aca="false">(K154*13+I155)/14</f>
        <v>1.44577870895514</v>
      </c>
      <c r="L155" s="29" t="n">
        <f aca="false">(L154*13+J155)/14</f>
        <v>0.874114492920129</v>
      </c>
      <c r="M155" s="31" t="n">
        <f aca="false">IF(L155=0,100,100-100/(1+K155/MAX(L155,0.000001)))</f>
        <v>62.3209166605796</v>
      </c>
      <c r="N155" s="30" t="n">
        <f aca="false">AVERAGE(E136:E155)</f>
        <v>249.2235</v>
      </c>
      <c r="O155" s="30" t="n">
        <f aca="false">AVERAGE(E106:E155)</f>
        <v>237.507</v>
      </c>
      <c r="Q155" s="30" t="n">
        <f aca="false">Q154+(2/13)*(E155-Q154)</f>
        <v>252.952230941212</v>
      </c>
      <c r="R155" s="30" t="n">
        <f aca="false">R154+(2/27)*(E155-R154)</f>
        <v>247.470852669376</v>
      </c>
      <c r="S155" s="33" t="n">
        <f aca="false">Q155-R155</f>
        <v>5.48137827183621</v>
      </c>
      <c r="T155" s="33" t="n">
        <f aca="false">T154+(2/10)*(S155-T154)</f>
        <v>5.31140699297194</v>
      </c>
      <c r="U155" s="33" t="n">
        <f aca="false">S155-T155</f>
        <v>0.169971278864263</v>
      </c>
      <c r="V155" s="32" t="str">
        <f aca="false">IF(M155="","",IF(M155&lt;Assumptions!$B$5,"BUY",IF(M155&gt;Assumptions!$B$4,"SELL","HOLD")))</f>
        <v>HOLD</v>
      </c>
      <c r="W155" s="32" t="str">
        <f aca="false">IF(O155="","",IF(E155&gt;O155,"BUY","SELL"))</f>
        <v>BUY</v>
      </c>
      <c r="X155" s="32" t="str">
        <f aca="false">IF(T155="","",IF(S155&gt;T155,"BUY","SELL"))</f>
        <v>BUY</v>
      </c>
      <c r="Y155" s="34" t="n">
        <f aca="false">IF(OR(V155="",W155="",X155=""),"",IFERROR(IF(V155="BUY",1,IF(V155="SELL",-1,0))+IF(W155="BUY",1,IF(W155="SELL",-1,0))+IF(X155="BUY",1,IF(X155="SELL",-1,0)),0))</f>
        <v>2</v>
      </c>
      <c r="Z155" s="32" t="str">
        <f aca="false">IF(Y155="","",IF(Y155&gt;=2,"STRONG BUY",IF(Y155=1,"BUY",IF(Y155=0,"HOLD",IF(Y155=-1,"SELL","STRONG SELL")))))</f>
        <v>STRONG BUY</v>
      </c>
    </row>
    <row r="156" customFormat="false" ht="15" hidden="false" customHeight="false" outlineLevel="0" collapsed="false">
      <c r="A156" s="24" t="n">
        <v>45986</v>
      </c>
      <c r="B156" s="25" t="n">
        <v>250.42</v>
      </c>
      <c r="C156" s="25" t="n">
        <v>251.66</v>
      </c>
      <c r="D156" s="25" t="n">
        <v>250.36</v>
      </c>
      <c r="E156" s="25" t="n">
        <v>251.01</v>
      </c>
      <c r="F156" s="26" t="n">
        <v>2382974</v>
      </c>
      <c r="G156" s="27" t="n">
        <f aca="false">E156-E155</f>
        <v>-3.54000000000002</v>
      </c>
      <c r="H156" s="28" t="n">
        <f aca="false">G156/E155</f>
        <v>-0.0139068945197408</v>
      </c>
      <c r="I156" s="29" t="n">
        <f aca="false">MAX(G156,0)</f>
        <v>0</v>
      </c>
      <c r="J156" s="29" t="n">
        <f aca="false">MAX(-G156,0)</f>
        <v>3.54000000000002</v>
      </c>
      <c r="K156" s="29" t="n">
        <f aca="false">(K155*13+I156)/14</f>
        <v>1.34250880117263</v>
      </c>
      <c r="L156" s="29" t="n">
        <f aca="false">(L155*13+J156)/14</f>
        <v>1.06453488628298</v>
      </c>
      <c r="M156" s="31" t="n">
        <f aca="false">IF(L156=0,100,100-100/(1+K156/MAX(L156,0.000001)))</f>
        <v>55.7741767700004</v>
      </c>
      <c r="N156" s="30" t="n">
        <f aca="false">AVERAGE(E137:E156)</f>
        <v>249.739</v>
      </c>
      <c r="O156" s="30" t="n">
        <f aca="false">AVERAGE(E107:E156)</f>
        <v>237.9266</v>
      </c>
      <c r="Q156" s="30" t="n">
        <f aca="false">Q155+(2/13)*(E156-Q155)</f>
        <v>252.653426181026</v>
      </c>
      <c r="R156" s="30" t="n">
        <f aca="false">R155+(2/27)*(E156-R155)</f>
        <v>247.733011730904</v>
      </c>
      <c r="S156" s="33" t="n">
        <f aca="false">Q156-R156</f>
        <v>4.920414450122</v>
      </c>
      <c r="T156" s="33" t="n">
        <f aca="false">T155+(2/10)*(S156-T155)</f>
        <v>5.23320848440195</v>
      </c>
      <c r="U156" s="33" t="n">
        <f aca="false">S156-T156</f>
        <v>-0.312794034279959</v>
      </c>
      <c r="V156" s="32" t="str">
        <f aca="false">IF(M156="","",IF(M156&lt;Assumptions!$B$5,"BUY",IF(M156&gt;Assumptions!$B$4,"SELL","HOLD")))</f>
        <v>HOLD</v>
      </c>
      <c r="W156" s="32" t="str">
        <f aca="false">IF(O156="","",IF(E156&gt;O156,"BUY","SELL"))</f>
        <v>BUY</v>
      </c>
      <c r="X156" s="32" t="str">
        <f aca="false">IF(T156="","",IF(S156&gt;T156,"BUY","SELL"))</f>
        <v>SELL</v>
      </c>
      <c r="Y156" s="34" t="n">
        <f aca="false">IF(OR(V156="",W156="",X156=""),"",IFERROR(IF(V156="BUY",1,IF(V156="SELL",-1,0))+IF(W156="BUY",1,IF(W156="SELL",-1,0))+IF(X156="BUY",1,IF(X156="SELL",-1,0)),0))</f>
        <v>0</v>
      </c>
      <c r="Z156" s="32" t="str">
        <f aca="false">IF(Y156="","",IF(Y156&gt;=2,"STRONG BUY",IF(Y156=1,"BUY",IF(Y156=0,"HOLD",IF(Y156=-1,"SELL","STRONG SELL")))))</f>
        <v>HOLD</v>
      </c>
    </row>
    <row r="157" customFormat="false" ht="15" hidden="false" customHeight="false" outlineLevel="0" collapsed="false">
      <c r="A157" s="24" t="n">
        <v>45987</v>
      </c>
      <c r="B157" s="25" t="n">
        <v>248.68</v>
      </c>
      <c r="C157" s="25" t="n">
        <v>250.76</v>
      </c>
      <c r="D157" s="25" t="n">
        <v>245.2</v>
      </c>
      <c r="E157" s="25" t="n">
        <v>247.98</v>
      </c>
      <c r="F157" s="26" t="n">
        <v>9427974</v>
      </c>
      <c r="G157" s="27" t="n">
        <f aca="false">E157-E156</f>
        <v>-3.03</v>
      </c>
      <c r="H157" s="28" t="n">
        <f aca="false">G157/E156</f>
        <v>-0.0120712322218238</v>
      </c>
      <c r="I157" s="29" t="n">
        <f aca="false">MAX(G157,0)</f>
        <v>0</v>
      </c>
      <c r="J157" s="29" t="n">
        <f aca="false">MAX(-G157,0)</f>
        <v>3.03</v>
      </c>
      <c r="K157" s="29" t="n">
        <f aca="false">(K156*13+I157)/14</f>
        <v>1.24661531537458</v>
      </c>
      <c r="L157" s="29" t="n">
        <f aca="false">(L156*13+J157)/14</f>
        <v>1.20492525154848</v>
      </c>
      <c r="M157" s="31" t="n">
        <f aca="false">IF(L157=0,100,100-100/(1+K157/MAX(L157,0.000001)))</f>
        <v>50.8502829687707</v>
      </c>
      <c r="N157" s="30" t="n">
        <f aca="false">AVERAGE(E138:E157)</f>
        <v>250.0835</v>
      </c>
      <c r="O157" s="30" t="n">
        <f aca="false">AVERAGE(E108:E157)</f>
        <v>238.3498</v>
      </c>
      <c r="Q157" s="30" t="n">
        <f aca="false">Q156+(2/13)*(E157-Q156)</f>
        <v>251.934437537791</v>
      </c>
      <c r="R157" s="30" t="n">
        <f aca="false">R156+(2/27)*(E157-R156)</f>
        <v>247.751307158244</v>
      </c>
      <c r="S157" s="33" t="n">
        <f aca="false">Q157-R157</f>
        <v>4.18313037954678</v>
      </c>
      <c r="T157" s="33" t="n">
        <f aca="false">T156+(2/10)*(S157-T156)</f>
        <v>5.02319286343092</v>
      </c>
      <c r="U157" s="33" t="n">
        <f aca="false">S157-T157</f>
        <v>-0.840062483884138</v>
      </c>
      <c r="V157" s="32" t="str">
        <f aca="false">IF(M157="","",IF(M157&lt;Assumptions!$B$5,"BUY",IF(M157&gt;Assumptions!$B$4,"SELL","HOLD")))</f>
        <v>HOLD</v>
      </c>
      <c r="W157" s="32" t="str">
        <f aca="false">IF(O157="","",IF(E157&gt;O157,"BUY","SELL"))</f>
        <v>BUY</v>
      </c>
      <c r="X157" s="32" t="str">
        <f aca="false">IF(T157="","",IF(S157&gt;T157,"BUY","SELL"))</f>
        <v>SELL</v>
      </c>
      <c r="Y157" s="34" t="n">
        <f aca="false">IF(OR(V157="",W157="",X157=""),"",IFERROR(IF(V157="BUY",1,IF(V157="SELL",-1,0))+IF(W157="BUY",1,IF(W157="SELL",-1,0))+IF(X157="BUY",1,IF(X157="SELL",-1,0)),0))</f>
        <v>0</v>
      </c>
      <c r="Z157" s="32" t="str">
        <f aca="false">IF(Y157="","",IF(Y157&gt;=2,"STRONG BUY",IF(Y157=1,"BUY",IF(Y157=0,"HOLD",IF(Y157=-1,"SELL","STRONG SELL")))))</f>
        <v>HOLD</v>
      </c>
    </row>
    <row r="158" customFormat="false" ht="15" hidden="false" customHeight="false" outlineLevel="0" collapsed="false">
      <c r="A158" s="24" t="n">
        <v>45988</v>
      </c>
      <c r="B158" s="25" t="n">
        <v>246.33</v>
      </c>
      <c r="C158" s="25" t="n">
        <v>248.45</v>
      </c>
      <c r="D158" s="25" t="n">
        <v>246.01</v>
      </c>
      <c r="E158" s="25" t="n">
        <v>247.23</v>
      </c>
      <c r="F158" s="26" t="n">
        <v>9283504</v>
      </c>
      <c r="G158" s="27" t="n">
        <f aca="false">E158-E157</f>
        <v>-0.75</v>
      </c>
      <c r="H158" s="28" t="n">
        <f aca="false">G158/E157</f>
        <v>-0.00302443745463344</v>
      </c>
      <c r="I158" s="29" t="n">
        <f aca="false">MAX(G158,0)</f>
        <v>0</v>
      </c>
      <c r="J158" s="29" t="n">
        <f aca="false">MAX(-G158,0)</f>
        <v>0.75</v>
      </c>
      <c r="K158" s="29" t="n">
        <f aca="false">(K157*13+I158)/14</f>
        <v>1.1575713642764</v>
      </c>
      <c r="L158" s="29" t="n">
        <f aca="false">(L157*13+J158)/14</f>
        <v>1.17243059072359</v>
      </c>
      <c r="M158" s="31" t="n">
        <f aca="false">IF(L158=0,100,100-100/(1+K158/MAX(L158,0.000001)))</f>
        <v>49.6811327472214</v>
      </c>
      <c r="N158" s="30" t="n">
        <f aca="false">AVERAGE(E139:E158)</f>
        <v>250.3065</v>
      </c>
      <c r="O158" s="30" t="n">
        <f aca="false">AVERAGE(E109:E158)</f>
        <v>238.8256</v>
      </c>
      <c r="Q158" s="30" t="n">
        <f aca="false">Q157+(2/13)*(E158-Q157)</f>
        <v>251.210677916593</v>
      </c>
      <c r="R158" s="30" t="n">
        <f aca="false">R157+(2/27)*(E158-R157)</f>
        <v>247.712691813189</v>
      </c>
      <c r="S158" s="33" t="n">
        <f aca="false">Q158-R158</f>
        <v>3.49798610340329</v>
      </c>
      <c r="T158" s="33" t="n">
        <f aca="false">T157+(2/10)*(S158-T157)</f>
        <v>4.71815151142539</v>
      </c>
      <c r="U158" s="33" t="n">
        <f aca="false">S158-T158</f>
        <v>-1.2201654080221</v>
      </c>
      <c r="V158" s="32" t="str">
        <f aca="false">IF(M158="","",IF(M158&lt;Assumptions!$B$5,"BUY",IF(M158&gt;Assumptions!$B$4,"SELL","HOLD")))</f>
        <v>HOLD</v>
      </c>
      <c r="W158" s="32" t="str">
        <f aca="false">IF(O158="","",IF(E158&gt;O158,"BUY","SELL"))</f>
        <v>BUY</v>
      </c>
      <c r="X158" s="32" t="str">
        <f aca="false">IF(T158="","",IF(S158&gt;T158,"BUY","SELL"))</f>
        <v>SELL</v>
      </c>
      <c r="Y158" s="34" t="n">
        <f aca="false">IF(OR(V158="",W158="",X158=""),"",IFERROR(IF(V158="BUY",1,IF(V158="SELL",-1,0))+IF(W158="BUY",1,IF(W158="SELL",-1,0))+IF(X158="BUY",1,IF(X158="SELL",-1,0)),0))</f>
        <v>0</v>
      </c>
      <c r="Z158" s="32" t="str">
        <f aca="false">IF(Y158="","",IF(Y158&gt;=2,"STRONG BUY",IF(Y158=1,"BUY",IF(Y158=0,"HOLD",IF(Y158=-1,"SELL","STRONG SELL")))))</f>
        <v>HOLD</v>
      </c>
    </row>
    <row r="159" customFormat="false" ht="15" hidden="false" customHeight="false" outlineLevel="0" collapsed="false">
      <c r="A159" s="24" t="n">
        <v>45989</v>
      </c>
      <c r="B159" s="25" t="n">
        <v>245.44</v>
      </c>
      <c r="C159" s="25" t="n">
        <v>248.66</v>
      </c>
      <c r="D159" s="25" t="n">
        <v>245.44</v>
      </c>
      <c r="E159" s="25" t="n">
        <v>247.05</v>
      </c>
      <c r="F159" s="26" t="n">
        <v>9668699</v>
      </c>
      <c r="G159" s="27" t="n">
        <f aca="false">E159-E158</f>
        <v>-0.179999999999978</v>
      </c>
      <c r="H159" s="28" t="n">
        <f aca="false">G159/E158</f>
        <v>-0.000728066982162272</v>
      </c>
      <c r="I159" s="29" t="n">
        <f aca="false">MAX(G159,0)</f>
        <v>0</v>
      </c>
      <c r="J159" s="29" t="n">
        <f aca="false">MAX(-G159,0)</f>
        <v>0.179999999999978</v>
      </c>
      <c r="K159" s="29" t="n">
        <f aca="false">(K158*13+I159)/14</f>
        <v>1.07488769539951</v>
      </c>
      <c r="L159" s="29" t="n">
        <f aca="false">(L158*13+J159)/14</f>
        <v>1.10154269138619</v>
      </c>
      <c r="M159" s="31" t="n">
        <f aca="false">IF(L159=0,100,100-100/(1+K159/MAX(L159,0.000001)))</f>
        <v>49.3876441868182</v>
      </c>
      <c r="N159" s="30" t="n">
        <f aca="false">AVERAGE(E140:E159)</f>
        <v>250.5845</v>
      </c>
      <c r="O159" s="30" t="n">
        <f aca="false">AVERAGE(E110:E159)</f>
        <v>239.3316</v>
      </c>
      <c r="Q159" s="30" t="n">
        <f aca="false">Q158+(2/13)*(E159-Q158)</f>
        <v>250.570573621732</v>
      </c>
      <c r="R159" s="30" t="n">
        <f aca="false">R158+(2/27)*(E159-R158)</f>
        <v>247.663603530731</v>
      </c>
      <c r="S159" s="33" t="n">
        <f aca="false">Q159-R159</f>
        <v>2.90697009100137</v>
      </c>
      <c r="T159" s="33" t="n">
        <f aca="false">T158+(2/10)*(S159-T158)</f>
        <v>4.35591522734059</v>
      </c>
      <c r="U159" s="33" t="n">
        <f aca="false">S159-T159</f>
        <v>-1.44894513633922</v>
      </c>
      <c r="V159" s="32" t="str">
        <f aca="false">IF(M159="","",IF(M159&lt;Assumptions!$B$5,"BUY",IF(M159&gt;Assumptions!$B$4,"SELL","HOLD")))</f>
        <v>HOLD</v>
      </c>
      <c r="W159" s="32" t="str">
        <f aca="false">IF(O159="","",IF(E159&gt;O159,"BUY","SELL"))</f>
        <v>BUY</v>
      </c>
      <c r="X159" s="32" t="str">
        <f aca="false">IF(T159="","",IF(S159&gt;T159,"BUY","SELL"))</f>
        <v>SELL</v>
      </c>
      <c r="Y159" s="34" t="n">
        <f aca="false">IF(OR(V159="",W159="",X159=""),"",IFERROR(IF(V159="BUY",1,IF(V159="SELL",-1,0))+IF(W159="BUY",1,IF(W159="SELL",-1,0))+IF(X159="BUY",1,IF(X159="SELL",-1,0)),0))</f>
        <v>0</v>
      </c>
      <c r="Z159" s="32" t="str">
        <f aca="false">IF(Y159="","",IF(Y159&gt;=2,"STRONG BUY",IF(Y159=1,"BUY",IF(Y159=0,"HOLD",IF(Y159=-1,"SELL","STRONG SELL")))))</f>
        <v>HOLD</v>
      </c>
    </row>
    <row r="160" customFormat="false" ht="15" hidden="false" customHeight="false" outlineLevel="0" collapsed="false">
      <c r="A160" s="24" t="n">
        <v>45992</v>
      </c>
      <c r="B160" s="25" t="n">
        <v>243.44</v>
      </c>
      <c r="C160" s="25" t="n">
        <v>244.43</v>
      </c>
      <c r="D160" s="25" t="n">
        <v>242.25</v>
      </c>
      <c r="E160" s="25" t="n">
        <v>243.34</v>
      </c>
      <c r="F160" s="26" t="n">
        <v>5520413</v>
      </c>
      <c r="G160" s="27" t="n">
        <f aca="false">E160-E159</f>
        <v>-3.71000000000001</v>
      </c>
      <c r="H160" s="28" t="n">
        <f aca="false">G160/E159</f>
        <v>-0.0150172029953451</v>
      </c>
      <c r="I160" s="29" t="n">
        <f aca="false">MAX(G160,0)</f>
        <v>0</v>
      </c>
      <c r="J160" s="29" t="n">
        <f aca="false">MAX(-G160,0)</f>
        <v>3.71000000000001</v>
      </c>
      <c r="K160" s="29" t="n">
        <f aca="false">(K159*13+I160)/14</f>
        <v>0.998110002870975</v>
      </c>
      <c r="L160" s="29" t="n">
        <f aca="false">(L159*13+J160)/14</f>
        <v>1.28786107057289</v>
      </c>
      <c r="M160" s="31" t="n">
        <f aca="false">IF(L160=0,100,100-100/(1+K160/MAX(L160,0.000001)))</f>
        <v>43.6624073885284</v>
      </c>
      <c r="N160" s="30" t="n">
        <f aca="false">AVERAGE(E141:E160)</f>
        <v>250.484</v>
      </c>
      <c r="O160" s="30" t="n">
        <f aca="false">AVERAGE(E111:E160)</f>
        <v>239.7012</v>
      </c>
      <c r="Q160" s="30" t="n">
        <f aca="false">Q159+(2/13)*(E160-Q159)</f>
        <v>249.458177679927</v>
      </c>
      <c r="R160" s="30" t="n">
        <f aca="false">R159+(2/27)*(E160-R159)</f>
        <v>247.343336602528</v>
      </c>
      <c r="S160" s="33" t="n">
        <f aca="false">Q160-R160</f>
        <v>2.11484107739869</v>
      </c>
      <c r="T160" s="33" t="n">
        <f aca="false">T159+(2/10)*(S160-T159)</f>
        <v>3.90770039735221</v>
      </c>
      <c r="U160" s="33" t="n">
        <f aca="false">S160-T160</f>
        <v>-1.79285931995352</v>
      </c>
      <c r="V160" s="32" t="str">
        <f aca="false">IF(M160="","",IF(M160&lt;Assumptions!$B$5,"BUY",IF(M160&gt;Assumptions!$B$4,"SELL","HOLD")))</f>
        <v>HOLD</v>
      </c>
      <c r="W160" s="32" t="str">
        <f aca="false">IF(O160="","",IF(E160&gt;O160,"BUY","SELL"))</f>
        <v>BUY</v>
      </c>
      <c r="X160" s="32" t="str">
        <f aca="false">IF(T160="","",IF(S160&gt;T160,"BUY","SELL"))</f>
        <v>SELL</v>
      </c>
      <c r="Y160" s="34" t="n">
        <f aca="false">IF(OR(V160="",W160="",X160=""),"",IFERROR(IF(V160="BUY",1,IF(V160="SELL",-1,0))+IF(W160="BUY",1,IF(W160="SELL",-1,0))+IF(X160="BUY",1,IF(X160="SELL",-1,0)),0))</f>
        <v>0</v>
      </c>
      <c r="Z160" s="32" t="str">
        <f aca="false">IF(Y160="","",IF(Y160&gt;=2,"STRONG BUY",IF(Y160=1,"BUY",IF(Y160=0,"HOLD",IF(Y160=-1,"SELL","STRONG SELL")))))</f>
        <v>HOLD</v>
      </c>
    </row>
    <row r="161" customFormat="false" ht="15" hidden="false" customHeight="false" outlineLevel="0" collapsed="false">
      <c r="A161" s="24" t="n">
        <v>45993</v>
      </c>
      <c r="B161" s="25" t="n">
        <v>243.54</v>
      </c>
      <c r="C161" s="25" t="n">
        <v>244.02</v>
      </c>
      <c r="D161" s="25" t="n">
        <v>243.54</v>
      </c>
      <c r="E161" s="25" t="n">
        <v>243.78</v>
      </c>
      <c r="F161" s="26" t="n">
        <v>9015958</v>
      </c>
      <c r="G161" s="27" t="n">
        <f aca="false">E161-E160</f>
        <v>0.439999999999998</v>
      </c>
      <c r="H161" s="28" t="n">
        <f aca="false">G161/E160</f>
        <v>0.00180816963918796</v>
      </c>
      <c r="I161" s="29" t="n">
        <f aca="false">MAX(G161,0)</f>
        <v>0.439999999999998</v>
      </c>
      <c r="J161" s="29" t="n">
        <f aca="false">MAX(-G161,0)</f>
        <v>0</v>
      </c>
      <c r="K161" s="29" t="n">
        <f aca="false">(K160*13+I161)/14</f>
        <v>0.958245002665905</v>
      </c>
      <c r="L161" s="29" t="n">
        <f aca="false">(L160*13+J161)/14</f>
        <v>1.1958709941034</v>
      </c>
      <c r="M161" s="31" t="n">
        <f aca="false">IF(L161=0,100,100-100/(1+K161/MAX(L161,0.000001)))</f>
        <v>44.4843733625794</v>
      </c>
      <c r="N161" s="30" t="n">
        <f aca="false">AVERAGE(E142:E161)</f>
        <v>250.471</v>
      </c>
      <c r="O161" s="30" t="n">
        <f aca="false">AVERAGE(E112:E161)</f>
        <v>240.0926</v>
      </c>
      <c r="Q161" s="30" t="n">
        <f aca="false">Q160+(2/13)*(E161-Q160)</f>
        <v>248.584611883015</v>
      </c>
      <c r="R161" s="30" t="n">
        <f aca="false">R160+(2/27)*(E161-R160)</f>
        <v>247.079385743082</v>
      </c>
      <c r="S161" s="33" t="n">
        <f aca="false">Q161-R161</f>
        <v>1.5052261399334</v>
      </c>
      <c r="T161" s="33" t="n">
        <f aca="false">T160+(2/10)*(S161-T160)</f>
        <v>3.42720554586845</v>
      </c>
      <c r="U161" s="33" t="n">
        <f aca="false">S161-T161</f>
        <v>-1.92197940593505</v>
      </c>
      <c r="V161" s="32" t="str">
        <f aca="false">IF(M161="","",IF(M161&lt;Assumptions!$B$5,"BUY",IF(M161&gt;Assumptions!$B$4,"SELL","HOLD")))</f>
        <v>HOLD</v>
      </c>
      <c r="W161" s="32" t="str">
        <f aca="false">IF(O161="","",IF(E161&gt;O161,"BUY","SELL"))</f>
        <v>BUY</v>
      </c>
      <c r="X161" s="32" t="str">
        <f aca="false">IF(T161="","",IF(S161&gt;T161,"BUY","SELL"))</f>
        <v>SELL</v>
      </c>
      <c r="Y161" s="34" t="n">
        <f aca="false">IF(OR(V161="",W161="",X161=""),"",IFERROR(IF(V161="BUY",1,IF(V161="SELL",-1,0))+IF(W161="BUY",1,IF(W161="SELL",-1,0))+IF(X161="BUY",1,IF(X161="SELL",-1,0)),0))</f>
        <v>0</v>
      </c>
      <c r="Z161" s="32" t="str">
        <f aca="false">IF(Y161="","",IF(Y161&gt;=2,"STRONG BUY",IF(Y161=1,"BUY",IF(Y161=0,"HOLD",IF(Y161=-1,"SELL","STRONG SELL")))))</f>
        <v>HOLD</v>
      </c>
    </row>
    <row r="162" customFormat="false" ht="15" hidden="false" customHeight="false" outlineLevel="0" collapsed="false">
      <c r="A162" s="24" t="n">
        <v>45994</v>
      </c>
      <c r="B162" s="25" t="n">
        <v>236.86</v>
      </c>
      <c r="C162" s="25" t="n">
        <v>236.89</v>
      </c>
      <c r="D162" s="25" t="n">
        <v>235.39</v>
      </c>
      <c r="E162" s="25" t="n">
        <v>236.14</v>
      </c>
      <c r="F162" s="26" t="n">
        <v>6548655</v>
      </c>
      <c r="G162" s="27" t="n">
        <f aca="false">E162-E161</f>
        <v>-7.64000000000002</v>
      </c>
      <c r="H162" s="28" t="n">
        <f aca="false">G162/E161</f>
        <v>-0.031339732545738</v>
      </c>
      <c r="I162" s="29" t="n">
        <f aca="false">MAX(G162,0)</f>
        <v>0</v>
      </c>
      <c r="J162" s="29" t="n">
        <f aca="false">MAX(-G162,0)</f>
        <v>7.64000000000002</v>
      </c>
      <c r="K162" s="29" t="n">
        <f aca="false">(K161*13+I162)/14</f>
        <v>0.889798931046912</v>
      </c>
      <c r="L162" s="29" t="n">
        <f aca="false">(L161*13+J162)/14</f>
        <v>1.65616592309601</v>
      </c>
      <c r="M162" s="31" t="n">
        <f aca="false">IF(L162=0,100,100-100/(1+K162/MAX(L162,0.000001)))</f>
        <v>34.9493799805989</v>
      </c>
      <c r="N162" s="30" t="n">
        <f aca="false">AVERAGE(E143:E162)</f>
        <v>249.941</v>
      </c>
      <c r="O162" s="30" t="n">
        <f aca="false">AVERAGE(E113:E162)</f>
        <v>240.3204</v>
      </c>
      <c r="Q162" s="30" t="n">
        <f aca="false">Q161+(2/13)*(E162-Q161)</f>
        <v>246.670056208705</v>
      </c>
      <c r="R162" s="30" t="n">
        <f aca="false">R161+(2/27)*(E162-R161)</f>
        <v>246.269060873224</v>
      </c>
      <c r="S162" s="33" t="n">
        <f aca="false">Q162-R162</f>
        <v>0.400995335481269</v>
      </c>
      <c r="T162" s="33" t="n">
        <f aca="false">T161+(2/10)*(S162-T161)</f>
        <v>2.82196350379101</v>
      </c>
      <c r="U162" s="33" t="n">
        <f aca="false">S162-T162</f>
        <v>-2.42096816830974</v>
      </c>
      <c r="V162" s="32" t="str">
        <f aca="false">IF(M162="","",IF(M162&lt;Assumptions!$B$5,"BUY",IF(M162&gt;Assumptions!$B$4,"SELL","HOLD")))</f>
        <v>HOLD</v>
      </c>
      <c r="W162" s="32" t="str">
        <f aca="false">IF(O162="","",IF(E162&gt;O162,"BUY","SELL"))</f>
        <v>SELL</v>
      </c>
      <c r="X162" s="32" t="str">
        <f aca="false">IF(T162="","",IF(S162&gt;T162,"BUY","SELL"))</f>
        <v>SELL</v>
      </c>
      <c r="Y162" s="34" t="n">
        <f aca="false">IF(OR(V162="",W162="",X162=""),"",IFERROR(IF(V162="BUY",1,IF(V162="SELL",-1,0))+IF(W162="BUY",1,IF(W162="SELL",-1,0))+IF(X162="BUY",1,IF(X162="SELL",-1,0)),0))</f>
        <v>-2</v>
      </c>
      <c r="Z162" s="32" t="str">
        <f aca="false">IF(Y162="","",IF(Y162&gt;=2,"STRONG BUY",IF(Y162=1,"BUY",IF(Y162=0,"HOLD",IF(Y162=-1,"SELL","STRONG SELL")))))</f>
        <v>STRONG SELL</v>
      </c>
    </row>
    <row r="163" customFormat="false" ht="15" hidden="false" customHeight="false" outlineLevel="0" collapsed="false">
      <c r="A163" s="24" t="n">
        <v>45995</v>
      </c>
      <c r="B163" s="25" t="n">
        <v>237.27</v>
      </c>
      <c r="C163" s="25" t="n">
        <v>237.27</v>
      </c>
      <c r="D163" s="25" t="n">
        <v>235.79</v>
      </c>
      <c r="E163" s="25" t="n">
        <v>236.53</v>
      </c>
      <c r="F163" s="26" t="n">
        <v>7549940</v>
      </c>
      <c r="G163" s="27" t="n">
        <f aca="false">E163-E162</f>
        <v>0.390000000000015</v>
      </c>
      <c r="H163" s="28" t="n">
        <f aca="false">G163/E162</f>
        <v>0.00165156263233681</v>
      </c>
      <c r="I163" s="29" t="n">
        <f aca="false">MAX(G163,0)</f>
        <v>0.390000000000015</v>
      </c>
      <c r="J163" s="29" t="n">
        <f aca="false">MAX(-G163,0)</f>
        <v>0</v>
      </c>
      <c r="K163" s="29" t="n">
        <f aca="false">(K162*13+I163)/14</f>
        <v>0.854099007400705</v>
      </c>
      <c r="L163" s="29" t="n">
        <f aca="false">(L162*13+J163)/14</f>
        <v>1.53786835716058</v>
      </c>
      <c r="M163" s="31" t="n">
        <f aca="false">IF(L163=0,100,100-100/(1+K163/MAX(L163,0.000001)))</f>
        <v>35.7069674133015</v>
      </c>
      <c r="N163" s="30" t="n">
        <f aca="false">AVERAGE(E144:E163)</f>
        <v>249.5145</v>
      </c>
      <c r="O163" s="30" t="n">
        <f aca="false">AVERAGE(E114:E163)</f>
        <v>240.6374</v>
      </c>
      <c r="Q163" s="30" t="n">
        <f aca="false">Q162+(2/13)*(E163-Q162)</f>
        <v>245.110047561212</v>
      </c>
      <c r="R163" s="30" t="n">
        <f aca="false">R162+(2/27)*(E163-R162)</f>
        <v>245.547648956689</v>
      </c>
      <c r="S163" s="33" t="n">
        <f aca="false">Q163-R163</f>
        <v>-0.437601395476719</v>
      </c>
      <c r="T163" s="33" t="n">
        <f aca="false">T162+(2/10)*(S163-T162)</f>
        <v>2.17005052393747</v>
      </c>
      <c r="U163" s="33" t="n">
        <f aca="false">S163-T163</f>
        <v>-2.60765191941419</v>
      </c>
      <c r="V163" s="32" t="str">
        <f aca="false">IF(M163="","",IF(M163&lt;Assumptions!$B$5,"BUY",IF(M163&gt;Assumptions!$B$4,"SELL","HOLD")))</f>
        <v>HOLD</v>
      </c>
      <c r="W163" s="32" t="str">
        <f aca="false">IF(O163="","",IF(E163&gt;O163,"BUY","SELL"))</f>
        <v>SELL</v>
      </c>
      <c r="X163" s="32" t="str">
        <f aca="false">IF(T163="","",IF(S163&gt;T163,"BUY","SELL"))</f>
        <v>SELL</v>
      </c>
      <c r="Y163" s="34" t="n">
        <f aca="false">IF(OR(V163="",W163="",X163=""),"",IFERROR(IF(V163="BUY",1,IF(V163="SELL",-1,0))+IF(W163="BUY",1,IF(W163="SELL",-1,0))+IF(X163="BUY",1,IF(X163="SELL",-1,0)),0))</f>
        <v>-2</v>
      </c>
      <c r="Z163" s="32" t="str">
        <f aca="false">IF(Y163="","",IF(Y163&gt;=2,"STRONG BUY",IF(Y163=1,"BUY",IF(Y163=0,"HOLD",IF(Y163=-1,"SELL","STRONG SELL")))))</f>
        <v>STRONG SELL</v>
      </c>
    </row>
    <row r="164" customFormat="false" ht="15" hidden="false" customHeight="false" outlineLevel="0" collapsed="false">
      <c r="A164" s="24" t="n">
        <v>45996</v>
      </c>
      <c r="B164" s="25" t="n">
        <v>240</v>
      </c>
      <c r="C164" s="25" t="n">
        <v>241.54</v>
      </c>
      <c r="D164" s="25" t="n">
        <v>240</v>
      </c>
      <c r="E164" s="25" t="n">
        <v>240.77</v>
      </c>
      <c r="F164" s="26" t="n">
        <v>12258456</v>
      </c>
      <c r="G164" s="27" t="n">
        <f aca="false">E164-E163</f>
        <v>4.24000000000001</v>
      </c>
      <c r="H164" s="28" t="n">
        <f aca="false">G164/E163</f>
        <v>0.0179258445017546</v>
      </c>
      <c r="I164" s="29" t="n">
        <f aca="false">MAX(G164,0)</f>
        <v>4.24000000000001</v>
      </c>
      <c r="J164" s="29" t="n">
        <f aca="false">MAX(-G164,0)</f>
        <v>0</v>
      </c>
      <c r="K164" s="29" t="n">
        <f aca="false">(K163*13+I164)/14</f>
        <v>1.09594907830066</v>
      </c>
      <c r="L164" s="29" t="n">
        <f aca="false">(L163*13+J164)/14</f>
        <v>1.4280206173634</v>
      </c>
      <c r="M164" s="31" t="n">
        <f aca="false">IF(L164=0,100,100-100/(1+K164/MAX(L164,0.000001)))</f>
        <v>43.4216417171488</v>
      </c>
      <c r="N164" s="30" t="n">
        <f aca="false">AVERAGE(E145:E164)</f>
        <v>249.23</v>
      </c>
      <c r="O164" s="30" t="n">
        <f aca="false">AVERAGE(E115:E164)</f>
        <v>240.9862</v>
      </c>
      <c r="Q164" s="30" t="n">
        <f aca="false">Q163+(2/13)*(E164-Q163)</f>
        <v>244.44234793641</v>
      </c>
      <c r="R164" s="30" t="n">
        <f aca="false">R163+(2/27)*(E164-R163)</f>
        <v>245.193749033971</v>
      </c>
      <c r="S164" s="33" t="n">
        <f aca="false">Q164-R164</f>
        <v>-0.751401097560887</v>
      </c>
      <c r="T164" s="33" t="n">
        <f aca="false">T163+(2/10)*(S164-T163)</f>
        <v>1.5857601996378</v>
      </c>
      <c r="U164" s="33" t="n">
        <f aca="false">S164-T164</f>
        <v>-2.33716129719868</v>
      </c>
      <c r="V164" s="32" t="str">
        <f aca="false">IF(M164="","",IF(M164&lt;Assumptions!$B$5,"BUY",IF(M164&gt;Assumptions!$B$4,"SELL","HOLD")))</f>
        <v>HOLD</v>
      </c>
      <c r="W164" s="32" t="str">
        <f aca="false">IF(O164="","",IF(E164&gt;O164,"BUY","SELL"))</f>
        <v>SELL</v>
      </c>
      <c r="X164" s="32" t="str">
        <f aca="false">IF(T164="","",IF(S164&gt;T164,"BUY","SELL"))</f>
        <v>SELL</v>
      </c>
      <c r="Y164" s="34" t="n">
        <f aca="false">IF(OR(V164="",W164="",X164=""),"",IFERROR(IF(V164="BUY",1,IF(V164="SELL",-1,0))+IF(W164="BUY",1,IF(W164="SELL",-1,0))+IF(X164="BUY",1,IF(X164="SELL",-1,0)),0))</f>
        <v>-2</v>
      </c>
      <c r="Z164" s="32" t="str">
        <f aca="false">IF(Y164="","",IF(Y164&gt;=2,"STRONG BUY",IF(Y164=1,"BUY",IF(Y164=0,"HOLD",IF(Y164=-1,"SELL","STRONG SELL")))))</f>
        <v>STRONG SELL</v>
      </c>
    </row>
    <row r="165" customFormat="false" ht="15" hidden="false" customHeight="false" outlineLevel="0" collapsed="false">
      <c r="A165" s="24" t="n">
        <v>45999</v>
      </c>
      <c r="B165" s="25" t="n">
        <v>237.69</v>
      </c>
      <c r="C165" s="25" t="n">
        <v>239.67</v>
      </c>
      <c r="D165" s="25" t="n">
        <v>235.53</v>
      </c>
      <c r="E165" s="25" t="n">
        <v>237.6</v>
      </c>
      <c r="F165" s="26" t="n">
        <v>7371268</v>
      </c>
      <c r="G165" s="27" t="n">
        <f aca="false">E165-E164</f>
        <v>-3.17000000000002</v>
      </c>
      <c r="H165" s="28" t="n">
        <f aca="false">G165/E164</f>
        <v>-0.0131660921211115</v>
      </c>
      <c r="I165" s="29" t="n">
        <f aca="false">MAX(G165,0)</f>
        <v>0</v>
      </c>
      <c r="J165" s="29" t="n">
        <f aca="false">MAX(-G165,0)</f>
        <v>3.17000000000002</v>
      </c>
      <c r="K165" s="29" t="n">
        <f aca="false">(K164*13+I165)/14</f>
        <v>1.01766700127918</v>
      </c>
      <c r="L165" s="29" t="n">
        <f aca="false">(L164*13+J165)/14</f>
        <v>1.55244771612316</v>
      </c>
      <c r="M165" s="31" t="n">
        <f aca="false">IF(L165=0,100,100-100/(1+K165/MAX(L165,0.000001)))</f>
        <v>39.5961703338968</v>
      </c>
      <c r="N165" s="30" t="n">
        <f aca="false">AVERAGE(E146:E165)</f>
        <v>248.574</v>
      </c>
      <c r="O165" s="30" t="n">
        <f aca="false">AVERAGE(E116:E165)</f>
        <v>241.2842</v>
      </c>
      <c r="Q165" s="30" t="n">
        <f aca="false">Q164+(2/13)*(E165-Q164)</f>
        <v>243.389679023116</v>
      </c>
      <c r="R165" s="30" t="n">
        <f aca="false">R164+(2/27)*(E165-R164)</f>
        <v>244.631249105529</v>
      </c>
      <c r="S165" s="33" t="n">
        <f aca="false">Q165-R165</f>
        <v>-1.24157008241247</v>
      </c>
      <c r="T165" s="33" t="n">
        <f aca="false">T164+(2/10)*(S165-T164)</f>
        <v>1.02029414322774</v>
      </c>
      <c r="U165" s="33" t="n">
        <f aca="false">S165-T165</f>
        <v>-2.26186422564021</v>
      </c>
      <c r="V165" s="32" t="str">
        <f aca="false">IF(M165="","",IF(M165&lt;Assumptions!$B$5,"BUY",IF(M165&gt;Assumptions!$B$4,"SELL","HOLD")))</f>
        <v>HOLD</v>
      </c>
      <c r="W165" s="32" t="str">
        <f aca="false">IF(O165="","",IF(E165&gt;O165,"BUY","SELL"))</f>
        <v>SELL</v>
      </c>
      <c r="X165" s="32" t="str">
        <f aca="false">IF(T165="","",IF(S165&gt;T165,"BUY","SELL"))</f>
        <v>SELL</v>
      </c>
      <c r="Y165" s="34" t="n">
        <f aca="false">IF(OR(V165="",W165="",X165=""),"",IFERROR(IF(V165="BUY",1,IF(V165="SELL",-1,0))+IF(W165="BUY",1,IF(W165="SELL",-1,0))+IF(X165="BUY",1,IF(X165="SELL",-1,0)),0))</f>
        <v>-2</v>
      </c>
      <c r="Z165" s="32" t="str">
        <f aca="false">IF(Y165="","",IF(Y165&gt;=2,"STRONG BUY",IF(Y165=1,"BUY",IF(Y165=0,"HOLD",IF(Y165=-1,"SELL","STRONG SELL")))))</f>
        <v>STRONG SELL</v>
      </c>
    </row>
    <row r="166" customFormat="false" ht="15" hidden="false" customHeight="false" outlineLevel="0" collapsed="false">
      <c r="A166" s="24" t="n">
        <v>46000</v>
      </c>
      <c r="B166" s="25" t="n">
        <v>229.96</v>
      </c>
      <c r="C166" s="25" t="n">
        <v>231.26</v>
      </c>
      <c r="D166" s="25" t="n">
        <v>229.16</v>
      </c>
      <c r="E166" s="25" t="n">
        <v>230.21</v>
      </c>
      <c r="F166" s="26" t="n">
        <v>11458341</v>
      </c>
      <c r="G166" s="27" t="n">
        <f aca="false">E166-E165</f>
        <v>-7.38999999999999</v>
      </c>
      <c r="H166" s="28" t="n">
        <f aca="false">G166/E165</f>
        <v>-0.0311026936026935</v>
      </c>
      <c r="I166" s="29" t="n">
        <f aca="false">MAX(G166,0)</f>
        <v>0</v>
      </c>
      <c r="J166" s="29" t="n">
        <f aca="false">MAX(-G166,0)</f>
        <v>7.38999999999999</v>
      </c>
      <c r="K166" s="29" t="n">
        <f aca="false">(K165*13+I166)/14</f>
        <v>0.94497650118781</v>
      </c>
      <c r="L166" s="29" t="n">
        <f aca="false">(L165*13+J166)/14</f>
        <v>1.96941573640007</v>
      </c>
      <c r="M166" s="31" t="n">
        <f aca="false">IF(L166=0,100,100-100/(1+K166/MAX(L166,0.000001)))</f>
        <v>32.4244790732055</v>
      </c>
      <c r="N166" s="30" t="n">
        <f aca="false">AVERAGE(E147:E166)</f>
        <v>247.4815</v>
      </c>
      <c r="O166" s="30" t="n">
        <f aca="false">AVERAGE(E117:E166)</f>
        <v>241.4966</v>
      </c>
      <c r="Q166" s="30" t="n">
        <f aca="false">Q165+(2/13)*(E166-Q165)</f>
        <v>241.362036096483</v>
      </c>
      <c r="R166" s="30" t="n">
        <f aca="false">R165+(2/27)*(E166-R165)</f>
        <v>243.563008431045</v>
      </c>
      <c r="S166" s="33" t="n">
        <f aca="false">Q166-R166</f>
        <v>-2.20097233456212</v>
      </c>
      <c r="T166" s="33" t="n">
        <f aca="false">T165+(2/10)*(S166-T165)</f>
        <v>0.37604084766977</v>
      </c>
      <c r="U166" s="33" t="n">
        <f aca="false">S166-T166</f>
        <v>-2.57701318223189</v>
      </c>
      <c r="V166" s="32" t="str">
        <f aca="false">IF(M166="","",IF(M166&lt;Assumptions!$B$5,"BUY",IF(M166&gt;Assumptions!$B$4,"SELL","HOLD")))</f>
        <v>HOLD</v>
      </c>
      <c r="W166" s="32" t="str">
        <f aca="false">IF(O166="","",IF(E166&gt;O166,"BUY","SELL"))</f>
        <v>SELL</v>
      </c>
      <c r="X166" s="32" t="str">
        <f aca="false">IF(T166="","",IF(S166&gt;T166,"BUY","SELL"))</f>
        <v>SELL</v>
      </c>
      <c r="Y166" s="34" t="n">
        <f aca="false">IF(OR(V166="",W166="",X166=""),"",IFERROR(IF(V166="BUY",1,IF(V166="SELL",-1,0))+IF(W166="BUY",1,IF(W166="SELL",-1,0))+IF(X166="BUY",1,IF(X166="SELL",-1,0)),0))</f>
        <v>-2</v>
      </c>
      <c r="Z166" s="32" t="str">
        <f aca="false">IF(Y166="","",IF(Y166&gt;=2,"STRONG BUY",IF(Y166=1,"BUY",IF(Y166=0,"HOLD",IF(Y166=-1,"SELL","STRONG SELL")))))</f>
        <v>STRONG SELL</v>
      </c>
    </row>
    <row r="167" customFormat="false" ht="15" hidden="false" customHeight="false" outlineLevel="0" collapsed="false">
      <c r="A167" s="24" t="n">
        <v>46001</v>
      </c>
      <c r="B167" s="25" t="n">
        <v>230.44</v>
      </c>
      <c r="C167" s="25" t="n">
        <v>233.07</v>
      </c>
      <c r="D167" s="25" t="n">
        <v>228.25</v>
      </c>
      <c r="E167" s="25" t="n">
        <v>230.66</v>
      </c>
      <c r="F167" s="26" t="n">
        <v>6999096</v>
      </c>
      <c r="G167" s="27" t="n">
        <f aca="false">E167-E166</f>
        <v>0.449999999999989</v>
      </c>
      <c r="H167" s="28" t="n">
        <f aca="false">G167/E166</f>
        <v>0.00195473697927974</v>
      </c>
      <c r="I167" s="29" t="n">
        <f aca="false">MAX(G167,0)</f>
        <v>0.449999999999989</v>
      </c>
      <c r="J167" s="29" t="n">
        <f aca="false">MAX(-G167,0)</f>
        <v>0</v>
      </c>
      <c r="K167" s="29" t="n">
        <f aca="false">(K166*13+I167)/14</f>
        <v>0.909621036817251</v>
      </c>
      <c r="L167" s="29" t="n">
        <f aca="false">(L166*13+J167)/14</f>
        <v>1.82874318380007</v>
      </c>
      <c r="M167" s="31" t="n">
        <f aca="false">IF(L167=0,100,100-100/(1+K167/MAX(L167,0.000001)))</f>
        <v>33.2176790059064</v>
      </c>
      <c r="N167" s="30" t="n">
        <f aca="false">AVERAGE(E148:E167)</f>
        <v>246.4775</v>
      </c>
      <c r="O167" s="30" t="n">
        <f aca="false">AVERAGE(E118:E167)</f>
        <v>241.7018</v>
      </c>
      <c r="Q167" s="30" t="n">
        <f aca="false">Q166+(2/13)*(E167-Q166)</f>
        <v>239.715569004716</v>
      </c>
      <c r="R167" s="30" t="n">
        <f aca="false">R166+(2/27)*(E167-R166)</f>
        <v>242.607230028746</v>
      </c>
      <c r="S167" s="33" t="n">
        <f aca="false">Q167-R167</f>
        <v>-2.89166102402911</v>
      </c>
      <c r="T167" s="33" t="n">
        <f aca="false">T166+(2/10)*(S167-T166)</f>
        <v>-0.277499526670005</v>
      </c>
      <c r="U167" s="33" t="n">
        <f aca="false">S167-T167</f>
        <v>-2.6141614973591</v>
      </c>
      <c r="V167" s="32" t="str">
        <f aca="false">IF(M167="","",IF(M167&lt;Assumptions!$B$5,"BUY",IF(M167&gt;Assumptions!$B$4,"SELL","HOLD")))</f>
        <v>HOLD</v>
      </c>
      <c r="W167" s="32" t="str">
        <f aca="false">IF(O167="","",IF(E167&gt;O167,"BUY","SELL"))</f>
        <v>SELL</v>
      </c>
      <c r="X167" s="32" t="str">
        <f aca="false">IF(T167="","",IF(S167&gt;T167,"BUY","SELL"))</f>
        <v>SELL</v>
      </c>
      <c r="Y167" s="34" t="n">
        <f aca="false">IF(OR(V167="",W167="",X167=""),"",IFERROR(IF(V167="BUY",1,IF(V167="SELL",-1,0))+IF(W167="BUY",1,IF(W167="SELL",-1,0))+IF(X167="BUY",1,IF(X167="SELL",-1,0)),0))</f>
        <v>-2</v>
      </c>
      <c r="Z167" s="32" t="str">
        <f aca="false">IF(Y167="","",IF(Y167&gt;=2,"STRONG BUY",IF(Y167=1,"BUY",IF(Y167=0,"HOLD",IF(Y167=-1,"SELL","STRONG SELL")))))</f>
        <v>STRONG SELL</v>
      </c>
    </row>
    <row r="168" customFormat="false" ht="15" hidden="false" customHeight="false" outlineLevel="0" collapsed="false">
      <c r="A168" s="24" t="n">
        <v>46002</v>
      </c>
      <c r="B168" s="25" t="n">
        <v>234.07</v>
      </c>
      <c r="C168" s="25" t="n">
        <v>235.09</v>
      </c>
      <c r="D168" s="25" t="n">
        <v>229.85</v>
      </c>
      <c r="E168" s="25" t="n">
        <v>232.47</v>
      </c>
      <c r="F168" s="26" t="n">
        <v>5014994</v>
      </c>
      <c r="G168" s="27" t="n">
        <f aca="false">E168-E167</f>
        <v>1.81</v>
      </c>
      <c r="H168" s="28" t="n">
        <f aca="false">G168/E167</f>
        <v>0.00784704760253187</v>
      </c>
      <c r="I168" s="29" t="n">
        <f aca="false">MAX(G168,0)</f>
        <v>1.81</v>
      </c>
      <c r="J168" s="29" t="n">
        <f aca="false">MAX(-G168,0)</f>
        <v>0</v>
      </c>
      <c r="K168" s="29" t="n">
        <f aca="false">(K167*13+I168)/14</f>
        <v>0.973933819901733</v>
      </c>
      <c r="L168" s="29" t="n">
        <f aca="false">(L167*13+J168)/14</f>
        <v>1.69811867067149</v>
      </c>
      <c r="M168" s="31" t="n">
        <f aca="false">IF(L168=0,100,100-100/(1+K168/MAX(L168,0.000001)))</f>
        <v>36.4489029814231</v>
      </c>
      <c r="N168" s="30" t="n">
        <f aca="false">AVERAGE(E149:E168)</f>
        <v>245.532</v>
      </c>
      <c r="O168" s="30" t="n">
        <f aca="false">AVERAGE(E119:E168)</f>
        <v>241.919</v>
      </c>
      <c r="Q168" s="30" t="n">
        <f aca="false">Q167+(2/13)*(E168-Q167)</f>
        <v>238.600866080914</v>
      </c>
      <c r="R168" s="30" t="n">
        <f aca="false">R167+(2/27)*(E168-R167)</f>
        <v>241.85632410069</v>
      </c>
      <c r="S168" s="33" t="n">
        <f aca="false">Q168-R168</f>
        <v>-3.2554580197764</v>
      </c>
      <c r="T168" s="33" t="n">
        <f aca="false">T167+(2/10)*(S168-T167)</f>
        <v>-0.873091225291284</v>
      </c>
      <c r="U168" s="33" t="n">
        <f aca="false">S168-T168</f>
        <v>-2.38236679448511</v>
      </c>
      <c r="V168" s="32" t="str">
        <f aca="false">IF(M168="","",IF(M168&lt;Assumptions!$B$5,"BUY",IF(M168&gt;Assumptions!$B$4,"SELL","HOLD")))</f>
        <v>HOLD</v>
      </c>
      <c r="W168" s="32" t="str">
        <f aca="false">IF(O168="","",IF(E168&gt;O168,"BUY","SELL"))</f>
        <v>SELL</v>
      </c>
      <c r="X168" s="32" t="str">
        <f aca="false">IF(T168="","",IF(S168&gt;T168,"BUY","SELL"))</f>
        <v>SELL</v>
      </c>
      <c r="Y168" s="34" t="n">
        <f aca="false">IF(OR(V168="",W168="",X168=""),"",IFERROR(IF(V168="BUY",1,IF(V168="SELL",-1,0))+IF(W168="BUY",1,IF(W168="SELL",-1,0))+IF(X168="BUY",1,IF(X168="SELL",-1,0)),0))</f>
        <v>-2</v>
      </c>
      <c r="Z168" s="32" t="str">
        <f aca="false">IF(Y168="","",IF(Y168&gt;=2,"STRONG BUY",IF(Y168=1,"BUY",IF(Y168=0,"HOLD",IF(Y168=-1,"SELL","STRONG SELL")))))</f>
        <v>STRONG SELL</v>
      </c>
    </row>
    <row r="169" customFormat="false" ht="15" hidden="false" customHeight="false" outlineLevel="0" collapsed="false">
      <c r="A169" s="24" t="n">
        <v>46003</v>
      </c>
      <c r="B169" s="25" t="n">
        <v>231.55</v>
      </c>
      <c r="C169" s="25" t="n">
        <v>232.71</v>
      </c>
      <c r="D169" s="25" t="n">
        <v>230.19</v>
      </c>
      <c r="E169" s="25" t="n">
        <v>231.45</v>
      </c>
      <c r="F169" s="26" t="n">
        <v>10055356</v>
      </c>
      <c r="G169" s="27" t="n">
        <f aca="false">E169-E168</f>
        <v>-1.02000000000001</v>
      </c>
      <c r="H169" s="28" t="n">
        <f aca="false">G169/E168</f>
        <v>-0.00438766292424833</v>
      </c>
      <c r="I169" s="29" t="n">
        <f aca="false">MAX(G169,0)</f>
        <v>0</v>
      </c>
      <c r="J169" s="29" t="n">
        <f aca="false">MAX(-G169,0)</f>
        <v>1.02000000000001</v>
      </c>
      <c r="K169" s="29" t="n">
        <f aca="false">(K168*13+I169)/14</f>
        <v>0.904367118480181</v>
      </c>
      <c r="L169" s="29" t="n">
        <f aca="false">(L168*13+J169)/14</f>
        <v>1.64968162276639</v>
      </c>
      <c r="M169" s="31" t="n">
        <f aca="false">IF(L169=0,100,100-100/(1+K169/MAX(L169,0.000001)))</f>
        <v>35.4091566020303</v>
      </c>
      <c r="N169" s="30" t="n">
        <f aca="false">AVERAGE(E150:E169)</f>
        <v>244.4335</v>
      </c>
      <c r="O169" s="30" t="n">
        <f aca="false">AVERAGE(E120:E169)</f>
        <v>242.1112</v>
      </c>
      <c r="Q169" s="30" t="n">
        <f aca="false">Q168+(2/13)*(E169-Q168)</f>
        <v>237.500732837696</v>
      </c>
      <c r="R169" s="30" t="n">
        <f aca="false">R168+(2/27)*(E169-R168)</f>
        <v>241.085485278417</v>
      </c>
      <c r="S169" s="33" t="n">
        <f aca="false">Q169-R169</f>
        <v>-3.58475244072056</v>
      </c>
      <c r="T169" s="33" t="n">
        <f aca="false">T168+(2/10)*(S169-T168)</f>
        <v>-1.41542346837714</v>
      </c>
      <c r="U169" s="33" t="n">
        <f aca="false">S169-T169</f>
        <v>-2.16932897234342</v>
      </c>
      <c r="V169" s="32" t="str">
        <f aca="false">IF(M169="","",IF(M169&lt;Assumptions!$B$5,"BUY",IF(M169&gt;Assumptions!$B$4,"SELL","HOLD")))</f>
        <v>HOLD</v>
      </c>
      <c r="W169" s="32" t="str">
        <f aca="false">IF(O169="","",IF(E169&gt;O169,"BUY","SELL"))</f>
        <v>SELL</v>
      </c>
      <c r="X169" s="32" t="str">
        <f aca="false">IF(T169="","",IF(S169&gt;T169,"BUY","SELL"))</f>
        <v>SELL</v>
      </c>
      <c r="Y169" s="34" t="n">
        <f aca="false">IF(OR(V169="",W169="",X169=""),"",IFERROR(IF(V169="BUY",1,IF(V169="SELL",-1,0))+IF(W169="BUY",1,IF(W169="SELL",-1,0))+IF(X169="BUY",1,IF(X169="SELL",-1,0)),0))</f>
        <v>-2</v>
      </c>
      <c r="Z169" s="32" t="str">
        <f aca="false">IF(Y169="","",IF(Y169&gt;=2,"STRONG BUY",IF(Y169=1,"BUY",IF(Y169=0,"HOLD",IF(Y169=-1,"SELL","STRONG SELL")))))</f>
        <v>STRONG SELL</v>
      </c>
    </row>
    <row r="170" customFormat="false" ht="15" hidden="false" customHeight="false" outlineLevel="0" collapsed="false">
      <c r="A170" s="24" t="n">
        <v>46006</v>
      </c>
      <c r="B170" s="25" t="n">
        <v>234.09</v>
      </c>
      <c r="C170" s="25" t="n">
        <v>234.18</v>
      </c>
      <c r="D170" s="25" t="n">
        <v>229.94</v>
      </c>
      <c r="E170" s="25" t="n">
        <v>232.06</v>
      </c>
      <c r="F170" s="26" t="n">
        <v>10110740</v>
      </c>
      <c r="G170" s="27" t="n">
        <f aca="false">E170-E169</f>
        <v>0.610000000000014</v>
      </c>
      <c r="H170" s="28" t="n">
        <f aca="false">G170/E169</f>
        <v>0.00263555843594735</v>
      </c>
      <c r="I170" s="29" t="n">
        <f aca="false">MAX(G170,0)</f>
        <v>0.610000000000014</v>
      </c>
      <c r="J170" s="29" t="n">
        <f aca="false">MAX(-G170,0)</f>
        <v>0</v>
      </c>
      <c r="K170" s="29" t="n">
        <f aca="false">(K169*13+I170)/14</f>
        <v>0.883340895731598</v>
      </c>
      <c r="L170" s="29" t="n">
        <f aca="false">(L169*13+J170)/14</f>
        <v>1.53184722114022</v>
      </c>
      <c r="M170" s="31" t="n">
        <f aca="false">IF(L170=0,100,100-100/(1+K170/MAX(L170,0.000001)))</f>
        <v>36.574413792484</v>
      </c>
      <c r="N170" s="30" t="n">
        <f aca="false">AVERAGE(E151:E170)</f>
        <v>243.424</v>
      </c>
      <c r="O170" s="30" t="n">
        <f aca="false">AVERAGE(E121:E170)</f>
        <v>242.2516</v>
      </c>
      <c r="Q170" s="30" t="n">
        <f aca="false">Q169+(2/13)*(E170-Q169)</f>
        <v>236.663697016512</v>
      </c>
      <c r="R170" s="30" t="n">
        <f aca="false">R169+(2/27)*(E170-R169)</f>
        <v>240.416930813349</v>
      </c>
      <c r="S170" s="33" t="n">
        <f aca="false">Q170-R170</f>
        <v>-3.7532337968367</v>
      </c>
      <c r="T170" s="33" t="n">
        <f aca="false">T169+(2/10)*(S170-T169)</f>
        <v>-1.88298553406905</v>
      </c>
      <c r="U170" s="33" t="n">
        <f aca="false">S170-T170</f>
        <v>-1.87024826276764</v>
      </c>
      <c r="V170" s="32" t="str">
        <f aca="false">IF(M170="","",IF(M170&lt;Assumptions!$B$5,"BUY",IF(M170&gt;Assumptions!$B$4,"SELL","HOLD")))</f>
        <v>HOLD</v>
      </c>
      <c r="W170" s="32" t="str">
        <f aca="false">IF(O170="","",IF(E170&gt;O170,"BUY","SELL"))</f>
        <v>SELL</v>
      </c>
      <c r="X170" s="32" t="str">
        <f aca="false">IF(T170="","",IF(S170&gt;T170,"BUY","SELL"))</f>
        <v>SELL</v>
      </c>
      <c r="Y170" s="34" t="n">
        <f aca="false">IF(OR(V170="",W170="",X170=""),"",IFERROR(IF(V170="BUY",1,IF(V170="SELL",-1,0))+IF(W170="BUY",1,IF(W170="SELL",-1,0))+IF(X170="BUY",1,IF(X170="SELL",-1,0)),0))</f>
        <v>-2</v>
      </c>
      <c r="Z170" s="32" t="str">
        <f aca="false">IF(Y170="","",IF(Y170&gt;=2,"STRONG BUY",IF(Y170=1,"BUY",IF(Y170=0,"HOLD",IF(Y170=-1,"SELL","STRONG SELL")))))</f>
        <v>STRONG SELL</v>
      </c>
    </row>
    <row r="171" customFormat="false" ht="15" hidden="false" customHeight="false" outlineLevel="0" collapsed="false">
      <c r="A171" s="24" t="n">
        <v>46007</v>
      </c>
      <c r="B171" s="25" t="n">
        <v>234.78</v>
      </c>
      <c r="C171" s="25" t="n">
        <v>236.08</v>
      </c>
      <c r="D171" s="25" t="n">
        <v>234.72</v>
      </c>
      <c r="E171" s="25" t="n">
        <v>235.4</v>
      </c>
      <c r="F171" s="26" t="n">
        <v>7500198</v>
      </c>
      <c r="G171" s="27" t="n">
        <f aca="false">E171-E170</f>
        <v>3.34</v>
      </c>
      <c r="H171" s="28" t="n">
        <f aca="false">G171/E170</f>
        <v>0.0143928294406619</v>
      </c>
      <c r="I171" s="29" t="n">
        <f aca="false">MAX(G171,0)</f>
        <v>3.34</v>
      </c>
      <c r="J171" s="29" t="n">
        <f aca="false">MAX(-G171,0)</f>
        <v>0</v>
      </c>
      <c r="K171" s="29" t="n">
        <f aca="false">(K170*13+I171)/14</f>
        <v>1.05881654603648</v>
      </c>
      <c r="L171" s="29" t="n">
        <f aca="false">(L170*13+J171)/14</f>
        <v>1.42242956248734</v>
      </c>
      <c r="M171" s="31" t="n">
        <f aca="false">IF(L171=0,100,100-100/(1+K171/MAX(L171,0.000001)))</f>
        <v>42.6727740710255</v>
      </c>
      <c r="N171" s="30" t="n">
        <f aca="false">AVERAGE(E152:E171)</f>
        <v>242.635</v>
      </c>
      <c r="O171" s="30" t="n">
        <f aca="false">AVERAGE(E122:E171)</f>
        <v>242.4294</v>
      </c>
      <c r="Q171" s="30" t="n">
        <f aca="false">Q170+(2/13)*(E171-Q170)</f>
        <v>236.469282090895</v>
      </c>
      <c r="R171" s="30" t="n">
        <f aca="false">R170+(2/27)*(E171-R170)</f>
        <v>240.045306308657</v>
      </c>
      <c r="S171" s="33" t="n">
        <f aca="false">Q171-R171</f>
        <v>-3.57602421776144</v>
      </c>
      <c r="T171" s="33" t="n">
        <f aca="false">T170+(2/10)*(S171-T170)</f>
        <v>-2.22159327080753</v>
      </c>
      <c r="U171" s="33" t="n">
        <f aca="false">S171-T171</f>
        <v>-1.35443094695391</v>
      </c>
      <c r="V171" s="32" t="str">
        <f aca="false">IF(M171="","",IF(M171&lt;Assumptions!$B$5,"BUY",IF(M171&gt;Assumptions!$B$4,"SELL","HOLD")))</f>
        <v>HOLD</v>
      </c>
      <c r="W171" s="32" t="str">
        <f aca="false">IF(O171="","",IF(E171&gt;O171,"BUY","SELL"))</f>
        <v>SELL</v>
      </c>
      <c r="X171" s="32" t="str">
        <f aca="false">IF(T171="","",IF(S171&gt;T171,"BUY","SELL"))</f>
        <v>SELL</v>
      </c>
      <c r="Y171" s="34" t="n">
        <f aca="false">IF(OR(V171="",W171="",X171=""),"",IFERROR(IF(V171="BUY",1,IF(V171="SELL",-1,0))+IF(W171="BUY",1,IF(W171="SELL",-1,0))+IF(X171="BUY",1,IF(X171="SELL",-1,0)),0))</f>
        <v>-2</v>
      </c>
      <c r="Z171" s="32" t="str">
        <f aca="false">IF(Y171="","",IF(Y171&gt;=2,"STRONG BUY",IF(Y171=1,"BUY",IF(Y171=0,"HOLD",IF(Y171=-1,"SELL","STRONG SELL")))))</f>
        <v>STRONG SELL</v>
      </c>
    </row>
    <row r="172" customFormat="false" ht="15" hidden="false" customHeight="false" outlineLevel="0" collapsed="false">
      <c r="A172" s="24" t="n">
        <v>46008</v>
      </c>
      <c r="B172" s="25" t="n">
        <v>240.76</v>
      </c>
      <c r="C172" s="25" t="n">
        <v>241</v>
      </c>
      <c r="D172" s="25" t="n">
        <v>238.68</v>
      </c>
      <c r="E172" s="25" t="n">
        <v>239.84</v>
      </c>
      <c r="F172" s="26" t="n">
        <v>9727395</v>
      </c>
      <c r="G172" s="27" t="n">
        <f aca="false">E172-E171</f>
        <v>4.44</v>
      </c>
      <c r="H172" s="28" t="n">
        <f aca="false">G172/E171</f>
        <v>0.0188615123194562</v>
      </c>
      <c r="I172" s="29" t="n">
        <f aca="false">MAX(G172,0)</f>
        <v>4.44</v>
      </c>
      <c r="J172" s="29" t="n">
        <f aca="false">MAX(-G172,0)</f>
        <v>0</v>
      </c>
      <c r="K172" s="29" t="n">
        <f aca="false">(K171*13+I172)/14</f>
        <v>1.30032964989102</v>
      </c>
      <c r="L172" s="29" t="n">
        <f aca="false">(L171*13+J172)/14</f>
        <v>1.3208274508811</v>
      </c>
      <c r="M172" s="31" t="n">
        <f aca="false">IF(L172=0,100,100-100/(1+K172/MAX(L172,0.000001)))</f>
        <v>49.6089932765944</v>
      </c>
      <c r="N172" s="30" t="n">
        <f aca="false">AVERAGE(E153:E172)</f>
        <v>241.821</v>
      </c>
      <c r="O172" s="30" t="n">
        <f aca="false">AVERAGE(E123:E172)</f>
        <v>242.62</v>
      </c>
      <c r="Q172" s="30" t="n">
        <f aca="false">Q171+(2/13)*(E172-Q171)</f>
        <v>236.987854076911</v>
      </c>
      <c r="R172" s="30" t="n">
        <f aca="false">R171+(2/27)*(E172-R171)</f>
        <v>240.030098433941</v>
      </c>
      <c r="S172" s="33" t="n">
        <f aca="false">Q172-R172</f>
        <v>-3.04224435703003</v>
      </c>
      <c r="T172" s="33" t="n">
        <f aca="false">T171+(2/10)*(S172-T171)</f>
        <v>-2.38572348805203</v>
      </c>
      <c r="U172" s="33" t="n">
        <f aca="false">S172-T172</f>
        <v>-0.656520868977999</v>
      </c>
      <c r="V172" s="32" t="str">
        <f aca="false">IF(M172="","",IF(M172&lt;Assumptions!$B$5,"BUY",IF(M172&gt;Assumptions!$B$4,"SELL","HOLD")))</f>
        <v>HOLD</v>
      </c>
      <c r="W172" s="32" t="str">
        <f aca="false">IF(O172="","",IF(E172&gt;O172,"BUY","SELL"))</f>
        <v>SELL</v>
      </c>
      <c r="X172" s="32" t="str">
        <f aca="false">IF(T172="","",IF(S172&gt;T172,"BUY","SELL"))</f>
        <v>SELL</v>
      </c>
      <c r="Y172" s="34" t="n">
        <f aca="false">IF(OR(V172="",W172="",X172=""),"",IFERROR(IF(V172="BUY",1,IF(V172="SELL",-1,0))+IF(W172="BUY",1,IF(W172="SELL",-1,0))+IF(X172="BUY",1,IF(X172="SELL",-1,0)),0))</f>
        <v>-2</v>
      </c>
      <c r="Z172" s="32" t="str">
        <f aca="false">IF(Y172="","",IF(Y172&gt;=2,"STRONG BUY",IF(Y172=1,"BUY",IF(Y172=0,"HOLD",IF(Y172=-1,"SELL","STRONG SELL")))))</f>
        <v>STRONG SELL</v>
      </c>
    </row>
    <row r="173" customFormat="false" ht="15" hidden="false" customHeight="false" outlineLevel="0" collapsed="false">
      <c r="A173" s="24" t="n">
        <v>46009</v>
      </c>
      <c r="B173" s="25" t="n">
        <v>240.9</v>
      </c>
      <c r="C173" s="25" t="n">
        <v>244.19</v>
      </c>
      <c r="D173" s="25" t="n">
        <v>238.71</v>
      </c>
      <c r="E173" s="25" t="n">
        <v>241.45</v>
      </c>
      <c r="F173" s="26" t="n">
        <v>12078727</v>
      </c>
      <c r="G173" s="27" t="n">
        <f aca="false">E173-E172</f>
        <v>1.60999999999999</v>
      </c>
      <c r="H173" s="28" t="n">
        <f aca="false">G173/E172</f>
        <v>0.00671280853902596</v>
      </c>
      <c r="I173" s="29" t="n">
        <f aca="false">MAX(G173,0)</f>
        <v>1.60999999999999</v>
      </c>
      <c r="J173" s="29" t="n">
        <f aca="false">MAX(-G173,0)</f>
        <v>0</v>
      </c>
      <c r="K173" s="29" t="n">
        <f aca="false">(K172*13+I173)/14</f>
        <v>1.32244896061309</v>
      </c>
      <c r="L173" s="29" t="n">
        <f aca="false">(L172*13+J173)/14</f>
        <v>1.22648263296103</v>
      </c>
      <c r="M173" s="31" t="n">
        <f aca="false">IF(L173=0,100,100-100/(1+K173/MAX(L173,0.000001)))</f>
        <v>51.8824814266102</v>
      </c>
      <c r="N173" s="30" t="n">
        <f aca="false">AVERAGE(E154:E173)</f>
        <v>240.888</v>
      </c>
      <c r="O173" s="30" t="n">
        <f aca="false">AVERAGE(E124:E173)</f>
        <v>242.8452</v>
      </c>
      <c r="Q173" s="30" t="n">
        <f aca="false">Q172+(2/13)*(E173-Q172)</f>
        <v>237.674338065079</v>
      </c>
      <c r="R173" s="30" t="n">
        <f aca="false">R172+(2/27)*(E173-R172)</f>
        <v>240.135276327723</v>
      </c>
      <c r="S173" s="33" t="n">
        <f aca="false">Q173-R173</f>
        <v>-2.46093826264465</v>
      </c>
      <c r="T173" s="33" t="n">
        <f aca="false">T172+(2/10)*(S173-T172)</f>
        <v>-2.40076644297055</v>
      </c>
      <c r="U173" s="33" t="n">
        <f aca="false">S173-T173</f>
        <v>-0.0601718196740935</v>
      </c>
      <c r="V173" s="32" t="str">
        <f aca="false">IF(M173="","",IF(M173&lt;Assumptions!$B$5,"BUY",IF(M173&gt;Assumptions!$B$4,"SELL","HOLD")))</f>
        <v>HOLD</v>
      </c>
      <c r="W173" s="32" t="str">
        <f aca="false">IF(O173="","",IF(E173&gt;O173,"BUY","SELL"))</f>
        <v>SELL</v>
      </c>
      <c r="X173" s="32" t="str">
        <f aca="false">IF(T173="","",IF(S173&gt;T173,"BUY","SELL"))</f>
        <v>SELL</v>
      </c>
      <c r="Y173" s="34" t="n">
        <f aca="false">IF(OR(V173="",W173="",X173=""),"",IFERROR(IF(V173="BUY",1,IF(V173="SELL",-1,0))+IF(W173="BUY",1,IF(W173="SELL",-1,0))+IF(X173="BUY",1,IF(X173="SELL",-1,0)),0))</f>
        <v>-2</v>
      </c>
      <c r="Z173" s="32" t="str">
        <f aca="false">IF(Y173="","",IF(Y173&gt;=2,"STRONG BUY",IF(Y173=1,"BUY",IF(Y173=0,"HOLD",IF(Y173=-1,"SELL","STRONG SELL")))))</f>
        <v>STRONG SELL</v>
      </c>
    </row>
    <row r="174" customFormat="false" ht="15" hidden="false" customHeight="false" outlineLevel="0" collapsed="false">
      <c r="A174" s="24" t="n">
        <v>46010</v>
      </c>
      <c r="B174" s="25" t="n">
        <v>238.13</v>
      </c>
      <c r="C174" s="25" t="n">
        <v>238.97</v>
      </c>
      <c r="D174" s="25" t="n">
        <v>237.45</v>
      </c>
      <c r="E174" s="25" t="n">
        <v>238.21</v>
      </c>
      <c r="F174" s="26" t="n">
        <v>15635036</v>
      </c>
      <c r="G174" s="27" t="n">
        <f aca="false">E174-E173</f>
        <v>-3.23999999999998</v>
      </c>
      <c r="H174" s="28" t="n">
        <f aca="false">G174/E173</f>
        <v>-0.0134189273141436</v>
      </c>
      <c r="I174" s="29" t="n">
        <f aca="false">MAX(G174,0)</f>
        <v>0</v>
      </c>
      <c r="J174" s="29" t="n">
        <f aca="false">MAX(-G174,0)</f>
        <v>3.23999999999998</v>
      </c>
      <c r="K174" s="29" t="n">
        <f aca="false">(K173*13+I174)/14</f>
        <v>1.2279883205693</v>
      </c>
      <c r="L174" s="29" t="n">
        <f aca="false">(L173*13+J174)/14</f>
        <v>1.37030530203524</v>
      </c>
      <c r="M174" s="31" t="n">
        <f aca="false">IF(L174=0,100,100-100/(1+K174/MAX(L174,0.000001)))</f>
        <v>47.2613375904129</v>
      </c>
      <c r="N174" s="30" t="n">
        <f aca="false">AVERAGE(E155:E174)</f>
        <v>239.8865</v>
      </c>
      <c r="O174" s="30" t="n">
        <f aca="false">AVERAGE(E125:E174)</f>
        <v>242.9996</v>
      </c>
      <c r="Q174" s="30" t="n">
        <f aca="false">Q173+(2/13)*(E174-Q173)</f>
        <v>237.756747593528</v>
      </c>
      <c r="R174" s="30" t="n">
        <f aca="false">R173+(2/27)*(E174-R173)</f>
        <v>239.992663266411</v>
      </c>
      <c r="S174" s="33" t="n">
        <f aca="false">Q174-R174</f>
        <v>-2.23591567288239</v>
      </c>
      <c r="T174" s="33" t="n">
        <f aca="false">T173+(2/10)*(S174-T173)</f>
        <v>-2.36779628895292</v>
      </c>
      <c r="U174" s="33" t="n">
        <f aca="false">S174-T174</f>
        <v>0.131880616070534</v>
      </c>
      <c r="V174" s="32" t="str">
        <f aca="false">IF(M174="","",IF(M174&lt;Assumptions!$B$5,"BUY",IF(M174&gt;Assumptions!$B$4,"SELL","HOLD")))</f>
        <v>HOLD</v>
      </c>
      <c r="W174" s="32" t="str">
        <f aca="false">IF(O174="","",IF(E174&gt;O174,"BUY","SELL"))</f>
        <v>SELL</v>
      </c>
      <c r="X174" s="32" t="str">
        <f aca="false">IF(T174="","",IF(S174&gt;T174,"BUY","SELL"))</f>
        <v>BUY</v>
      </c>
      <c r="Y174" s="34" t="n">
        <f aca="false">IF(OR(V174="",W174="",X174=""),"",IFERROR(IF(V174="BUY",1,IF(V174="SELL",-1,0))+IF(W174="BUY",1,IF(W174="SELL",-1,0))+IF(X174="BUY",1,IF(X174="SELL",-1,0)),0))</f>
        <v>0</v>
      </c>
      <c r="Z174" s="32" t="str">
        <f aca="false">IF(Y174="","",IF(Y174&gt;=2,"STRONG BUY",IF(Y174=1,"BUY",IF(Y174=0,"HOLD",IF(Y174=-1,"SELL","STRONG SELL")))))</f>
        <v>HOLD</v>
      </c>
    </row>
    <row r="175" customFormat="false" ht="15" hidden="false" customHeight="false" outlineLevel="0" collapsed="false">
      <c r="A175" s="24" t="n">
        <v>46013</v>
      </c>
      <c r="B175" s="25" t="n">
        <v>238.79</v>
      </c>
      <c r="C175" s="25" t="n">
        <v>238.79</v>
      </c>
      <c r="D175" s="25" t="n">
        <v>238.57</v>
      </c>
      <c r="E175" s="25" t="n">
        <v>238.68</v>
      </c>
      <c r="F175" s="26" t="n">
        <v>13148391</v>
      </c>
      <c r="G175" s="27" t="n">
        <f aca="false">E175-E174</f>
        <v>0.469999999999999</v>
      </c>
      <c r="H175" s="28" t="n">
        <f aca="false">G175/E174</f>
        <v>0.00197304899038663</v>
      </c>
      <c r="I175" s="29" t="n">
        <f aca="false">MAX(G175,0)</f>
        <v>0.469999999999999</v>
      </c>
      <c r="J175" s="29" t="n">
        <f aca="false">MAX(-G175,0)</f>
        <v>0</v>
      </c>
      <c r="K175" s="29" t="n">
        <f aca="false">(K174*13+I175)/14</f>
        <v>1.17384629767149</v>
      </c>
      <c r="L175" s="29" t="n">
        <f aca="false">(L174*13+J175)/14</f>
        <v>1.27242635188986</v>
      </c>
      <c r="M175" s="31" t="n">
        <f aca="false">IF(L175=0,100,100-100/(1+K175/MAX(L175,0.000001)))</f>
        <v>47.9850967504369</v>
      </c>
      <c r="N175" s="30" t="n">
        <f aca="false">AVERAGE(E156:E175)</f>
        <v>239.093</v>
      </c>
      <c r="O175" s="30" t="n">
        <f aca="false">AVERAGE(E126:E175)</f>
        <v>243.119</v>
      </c>
      <c r="Q175" s="30" t="n">
        <f aca="false">Q174+(2/13)*(E175-Q174)</f>
        <v>237.898786425293</v>
      </c>
      <c r="R175" s="30" t="n">
        <f aca="false">R174+(2/27)*(E175-R174)</f>
        <v>239.89542895038</v>
      </c>
      <c r="S175" s="33" t="n">
        <f aca="false">Q175-R175</f>
        <v>-1.99664252508708</v>
      </c>
      <c r="T175" s="33" t="n">
        <f aca="false">T174+(2/10)*(S175-T174)</f>
        <v>-2.29356553617975</v>
      </c>
      <c r="U175" s="33" t="n">
        <f aca="false">S175-T175</f>
        <v>0.296923011092669</v>
      </c>
      <c r="V175" s="32" t="str">
        <f aca="false">IF(M175="","",IF(M175&lt;Assumptions!$B$5,"BUY",IF(M175&gt;Assumptions!$B$4,"SELL","HOLD")))</f>
        <v>HOLD</v>
      </c>
      <c r="W175" s="32" t="str">
        <f aca="false">IF(O175="","",IF(E175&gt;O175,"BUY","SELL"))</f>
        <v>SELL</v>
      </c>
      <c r="X175" s="32" t="str">
        <f aca="false">IF(T175="","",IF(S175&gt;T175,"BUY","SELL"))</f>
        <v>BUY</v>
      </c>
      <c r="Y175" s="34" t="n">
        <f aca="false">IF(OR(V175="",W175="",X175=""),"",IFERROR(IF(V175="BUY",1,IF(V175="SELL",-1,0))+IF(W175="BUY",1,IF(W175="SELL",-1,0))+IF(X175="BUY",1,IF(X175="SELL",-1,0)),0))</f>
        <v>0</v>
      </c>
      <c r="Z175" s="32" t="str">
        <f aca="false">IF(Y175="","",IF(Y175&gt;=2,"STRONG BUY",IF(Y175=1,"BUY",IF(Y175=0,"HOLD",IF(Y175=-1,"SELL","STRONG SELL")))))</f>
        <v>HOLD</v>
      </c>
    </row>
    <row r="176" customFormat="false" ht="15" hidden="false" customHeight="false" outlineLevel="0" collapsed="false">
      <c r="A176" s="24" t="n">
        <v>46014</v>
      </c>
      <c r="B176" s="25" t="n">
        <v>235.68</v>
      </c>
      <c r="C176" s="25" t="n">
        <v>237.16</v>
      </c>
      <c r="D176" s="25" t="n">
        <v>235.02</v>
      </c>
      <c r="E176" s="25" t="n">
        <v>236.09</v>
      </c>
      <c r="F176" s="26" t="n">
        <v>1615924</v>
      </c>
      <c r="G176" s="27" t="n">
        <f aca="false">E176-E175</f>
        <v>-2.59</v>
      </c>
      <c r="H176" s="28" t="n">
        <f aca="false">G176/E175</f>
        <v>-0.0108513490866432</v>
      </c>
      <c r="I176" s="29" t="n">
        <f aca="false">MAX(G176,0)</f>
        <v>0</v>
      </c>
      <c r="J176" s="29" t="n">
        <f aca="false">MAX(-G176,0)</f>
        <v>2.59</v>
      </c>
      <c r="K176" s="29" t="n">
        <f aca="false">(K175*13+I176)/14</f>
        <v>1.0900001335521</v>
      </c>
      <c r="L176" s="29" t="n">
        <f aca="false">(L175*13+J176)/14</f>
        <v>1.3665387553263</v>
      </c>
      <c r="M176" s="31" t="n">
        <f aca="false">IF(L176=0,100,100-100/(1+K176/MAX(L176,0.000001)))</f>
        <v>44.371377082077</v>
      </c>
      <c r="N176" s="30" t="n">
        <f aca="false">AVERAGE(E157:E176)</f>
        <v>238.347</v>
      </c>
      <c r="O176" s="30" t="n">
        <f aca="false">AVERAGE(E127:E176)</f>
        <v>243.1264</v>
      </c>
      <c r="Q176" s="30" t="n">
        <f aca="false">Q175+(2/13)*(E176-Q175)</f>
        <v>237.620511590633</v>
      </c>
      <c r="R176" s="30" t="n">
        <f aca="false">R175+(2/27)*(E176-R175)</f>
        <v>239.613545324426</v>
      </c>
      <c r="S176" s="33" t="n">
        <f aca="false">Q176-R176</f>
        <v>-1.99303373379345</v>
      </c>
      <c r="T176" s="33" t="n">
        <f aca="false">T175+(2/10)*(S176-T175)</f>
        <v>-2.23345917570249</v>
      </c>
      <c r="U176" s="33" t="n">
        <f aca="false">S176-T176</f>
        <v>0.240425441909039</v>
      </c>
      <c r="V176" s="32" t="str">
        <f aca="false">IF(M176="","",IF(M176&lt;Assumptions!$B$5,"BUY",IF(M176&gt;Assumptions!$B$4,"SELL","HOLD")))</f>
        <v>HOLD</v>
      </c>
      <c r="W176" s="32" t="str">
        <f aca="false">IF(O176="","",IF(E176&gt;O176,"BUY","SELL"))</f>
        <v>SELL</v>
      </c>
      <c r="X176" s="32" t="str">
        <f aca="false">IF(T176="","",IF(S176&gt;T176,"BUY","SELL"))</f>
        <v>BUY</v>
      </c>
      <c r="Y176" s="34" t="n">
        <f aca="false">IF(OR(V176="",W176="",X176=""),"",IFERROR(IF(V176="BUY",1,IF(V176="SELL",-1,0))+IF(W176="BUY",1,IF(W176="SELL",-1,0))+IF(X176="BUY",1,IF(X176="SELL",-1,0)),0))</f>
        <v>0</v>
      </c>
      <c r="Z176" s="32" t="str">
        <f aca="false">IF(Y176="","",IF(Y176&gt;=2,"STRONG BUY",IF(Y176=1,"BUY",IF(Y176=0,"HOLD",IF(Y176=-1,"SELL","STRONG SELL")))))</f>
        <v>HOLD</v>
      </c>
    </row>
    <row r="177" customFormat="false" ht="15" hidden="false" customHeight="false" outlineLevel="0" collapsed="false">
      <c r="A177" s="24" t="n">
        <v>46015</v>
      </c>
      <c r="B177" s="25" t="n">
        <v>236.68</v>
      </c>
      <c r="C177" s="25" t="n">
        <v>237.29</v>
      </c>
      <c r="D177" s="25" t="n">
        <v>234.85</v>
      </c>
      <c r="E177" s="25" t="n">
        <v>236.07</v>
      </c>
      <c r="F177" s="26" t="n">
        <v>9657490</v>
      </c>
      <c r="G177" s="27" t="n">
        <f aca="false">E177-E176</f>
        <v>-0.0200000000000102</v>
      </c>
      <c r="H177" s="28" t="n">
        <f aca="false">G177/E176</f>
        <v>-8.47134567326453E-005</v>
      </c>
      <c r="I177" s="29" t="n">
        <f aca="false">MAX(G177,0)</f>
        <v>0</v>
      </c>
      <c r="J177" s="29" t="n">
        <f aca="false">MAX(-G177,0)</f>
        <v>0.0200000000000102</v>
      </c>
      <c r="K177" s="29" t="n">
        <f aca="false">(K176*13+I177)/14</f>
        <v>1.01214298115552</v>
      </c>
      <c r="L177" s="29" t="n">
        <f aca="false">(L176*13+J177)/14</f>
        <v>1.27035741566014</v>
      </c>
      <c r="M177" s="31" t="n">
        <f aca="false">IF(L177=0,100,100-100/(1+K177/MAX(L177,0.000001)))</f>
        <v>44.3436059230295</v>
      </c>
      <c r="N177" s="30" t="n">
        <f aca="false">AVERAGE(E158:E177)</f>
        <v>237.7515</v>
      </c>
      <c r="O177" s="30" t="n">
        <f aca="false">AVERAGE(E128:E177)</f>
        <v>243.1502</v>
      </c>
      <c r="Q177" s="30" t="n">
        <f aca="false">Q176+(2/13)*(E177-Q176)</f>
        <v>237.38197134592</v>
      </c>
      <c r="R177" s="30" t="n">
        <f aca="false">R176+(2/27)*(E177-R176)</f>
        <v>239.35106048558</v>
      </c>
      <c r="S177" s="33" t="n">
        <f aca="false">Q177-R177</f>
        <v>-1.96908913965979</v>
      </c>
      <c r="T177" s="33" t="n">
        <f aca="false">T176+(2/10)*(S177-T176)</f>
        <v>-2.18058516849395</v>
      </c>
      <c r="U177" s="33" t="n">
        <f aca="false">S177-T177</f>
        <v>0.211496028834165</v>
      </c>
      <c r="V177" s="32" t="str">
        <f aca="false">IF(M177="","",IF(M177&lt;Assumptions!$B$5,"BUY",IF(M177&gt;Assumptions!$B$4,"SELL","HOLD")))</f>
        <v>HOLD</v>
      </c>
      <c r="W177" s="32" t="str">
        <f aca="false">IF(O177="","",IF(E177&gt;O177,"BUY","SELL"))</f>
        <v>SELL</v>
      </c>
      <c r="X177" s="32" t="str">
        <f aca="false">IF(T177="","",IF(S177&gt;T177,"BUY","SELL"))</f>
        <v>BUY</v>
      </c>
      <c r="Y177" s="34" t="n">
        <f aca="false">IF(OR(V177="",W177="",X177=""),"",IFERROR(IF(V177="BUY",1,IF(V177="SELL",-1,0))+IF(W177="BUY",1,IF(W177="SELL",-1,0))+IF(X177="BUY",1,IF(X177="SELL",-1,0)),0))</f>
        <v>0</v>
      </c>
      <c r="Z177" s="32" t="str">
        <f aca="false">IF(Y177="","",IF(Y177&gt;=2,"STRONG BUY",IF(Y177=1,"BUY",IF(Y177=0,"HOLD",IF(Y177=-1,"SELL","STRONG SELL")))))</f>
        <v>HOLD</v>
      </c>
    </row>
    <row r="178" customFormat="false" ht="15" hidden="false" customHeight="false" outlineLevel="0" collapsed="false">
      <c r="A178" s="24" t="n">
        <v>46016</v>
      </c>
      <c r="B178" s="25" t="n">
        <v>234.43</v>
      </c>
      <c r="C178" s="25" t="n">
        <v>237.13</v>
      </c>
      <c r="D178" s="25" t="n">
        <v>233.81</v>
      </c>
      <c r="E178" s="25" t="n">
        <v>235.47</v>
      </c>
      <c r="F178" s="26" t="n">
        <v>8558452</v>
      </c>
      <c r="G178" s="27" t="n">
        <f aca="false">E178-E177</f>
        <v>-0.599999999999994</v>
      </c>
      <c r="H178" s="28" t="n">
        <f aca="false">G178/E177</f>
        <v>-0.00254161901131018</v>
      </c>
      <c r="I178" s="29" t="n">
        <f aca="false">MAX(G178,0)</f>
        <v>0</v>
      </c>
      <c r="J178" s="29" t="n">
        <f aca="false">MAX(-G178,0)</f>
        <v>0.599999999999994</v>
      </c>
      <c r="K178" s="29" t="n">
        <f aca="false">(K177*13+I178)/14</f>
        <v>0.939847053930125</v>
      </c>
      <c r="L178" s="29" t="n">
        <f aca="false">(L177*13+J178)/14</f>
        <v>1.22247474311298</v>
      </c>
      <c r="M178" s="31" t="n">
        <f aca="false">IF(L178=0,100,100-100/(1+K178/MAX(L178,0.000001)))</f>
        <v>43.4647171949767</v>
      </c>
      <c r="N178" s="30" t="n">
        <f aca="false">AVERAGE(E159:E178)</f>
        <v>237.1635</v>
      </c>
      <c r="O178" s="30" t="n">
        <f aca="false">AVERAGE(E129:E178)</f>
        <v>243.063</v>
      </c>
      <c r="Q178" s="30" t="n">
        <f aca="false">Q177+(2/13)*(E178-Q177)</f>
        <v>237.087821908086</v>
      </c>
      <c r="R178" s="30" t="n">
        <f aca="false">R177+(2/27)*(E178-R177)</f>
        <v>239.063574523685</v>
      </c>
      <c r="S178" s="33" t="n">
        <f aca="false">Q178-R178</f>
        <v>-1.97575261559882</v>
      </c>
      <c r="T178" s="33" t="n">
        <f aca="false">T177+(2/10)*(S178-T177)</f>
        <v>-2.13961865791493</v>
      </c>
      <c r="U178" s="33" t="n">
        <f aca="false">S178-T178</f>
        <v>0.163866042316104</v>
      </c>
      <c r="V178" s="32" t="str">
        <f aca="false">IF(M178="","",IF(M178&lt;Assumptions!$B$5,"BUY",IF(M178&gt;Assumptions!$B$4,"SELL","HOLD")))</f>
        <v>HOLD</v>
      </c>
      <c r="W178" s="32" t="str">
        <f aca="false">IF(O178="","",IF(E178&gt;O178,"BUY","SELL"))</f>
        <v>SELL</v>
      </c>
      <c r="X178" s="32" t="str">
        <f aca="false">IF(T178="","",IF(S178&gt;T178,"BUY","SELL"))</f>
        <v>BUY</v>
      </c>
      <c r="Y178" s="34" t="n">
        <f aca="false">IF(OR(V178="",W178="",X178=""),"",IFERROR(IF(V178="BUY",1,IF(V178="SELL",-1,0))+IF(W178="BUY",1,IF(W178="SELL",-1,0))+IF(X178="BUY",1,IF(X178="SELL",-1,0)),0))</f>
        <v>0</v>
      </c>
      <c r="Z178" s="32" t="str">
        <f aca="false">IF(Y178="","",IF(Y178&gt;=2,"STRONG BUY",IF(Y178=1,"BUY",IF(Y178=0,"HOLD",IF(Y178=-1,"SELL","STRONG SELL")))))</f>
        <v>HOLD</v>
      </c>
    </row>
    <row r="179" customFormat="false" ht="15" hidden="false" customHeight="false" outlineLevel="0" collapsed="false">
      <c r="A179" s="24" t="n">
        <v>46017</v>
      </c>
      <c r="B179" s="25" t="n">
        <v>233.2</v>
      </c>
      <c r="C179" s="25" t="n">
        <v>236.9</v>
      </c>
      <c r="D179" s="25" t="n">
        <v>231.14</v>
      </c>
      <c r="E179" s="25" t="n">
        <v>234.02</v>
      </c>
      <c r="F179" s="26" t="n">
        <v>9482050</v>
      </c>
      <c r="G179" s="27" t="n">
        <f aca="false">E179-E178</f>
        <v>-1.44999999999999</v>
      </c>
      <c r="H179" s="28" t="n">
        <f aca="false">G179/E178</f>
        <v>-0.00615789697201337</v>
      </c>
      <c r="I179" s="29" t="n">
        <f aca="false">MAX(G179,0)</f>
        <v>0</v>
      </c>
      <c r="J179" s="29" t="n">
        <f aca="false">MAX(-G179,0)</f>
        <v>1.44999999999999</v>
      </c>
      <c r="K179" s="29" t="n">
        <f aca="false">(K178*13+I179)/14</f>
        <v>0.872715121506545</v>
      </c>
      <c r="L179" s="29" t="n">
        <f aca="false">(L178*13+J179)/14</f>
        <v>1.23872654717634</v>
      </c>
      <c r="M179" s="31" t="n">
        <f aca="false">IF(L179=0,100,100-100/(1+K179/MAX(L179,0.000001)))</f>
        <v>41.3326654697945</v>
      </c>
      <c r="N179" s="30" t="n">
        <f aca="false">AVERAGE(E160:E179)</f>
        <v>236.512</v>
      </c>
      <c r="O179" s="30" t="n">
        <f aca="false">AVERAGE(E130:E179)</f>
        <v>242.9402</v>
      </c>
      <c r="Q179" s="30" t="n">
        <f aca="false">Q178+(2/13)*(E179-Q178)</f>
        <v>236.615849306842</v>
      </c>
      <c r="R179" s="30" t="n">
        <f aca="false">R178+(2/27)*(E179-R178)</f>
        <v>238.689976410819</v>
      </c>
      <c r="S179" s="33" t="n">
        <f aca="false">Q179-R179</f>
        <v>-2.07412710397728</v>
      </c>
      <c r="T179" s="33" t="n">
        <f aca="false">T178+(2/10)*(S179-T178)</f>
        <v>-2.1265203471274</v>
      </c>
      <c r="U179" s="33" t="n">
        <f aca="false">S179-T179</f>
        <v>0.05239324315012</v>
      </c>
      <c r="V179" s="32" t="str">
        <f aca="false">IF(M179="","",IF(M179&lt;Assumptions!$B$5,"BUY",IF(M179&gt;Assumptions!$B$4,"SELL","HOLD")))</f>
        <v>HOLD</v>
      </c>
      <c r="W179" s="32" t="str">
        <f aca="false">IF(O179="","",IF(E179&gt;O179,"BUY","SELL"))</f>
        <v>SELL</v>
      </c>
      <c r="X179" s="32" t="str">
        <f aca="false">IF(T179="","",IF(S179&gt;T179,"BUY","SELL"))</f>
        <v>BUY</v>
      </c>
      <c r="Y179" s="34" t="n">
        <f aca="false">IF(OR(V179="",W179="",X179=""),"",IFERROR(IF(V179="BUY",1,IF(V179="SELL",-1,0))+IF(W179="BUY",1,IF(W179="SELL",-1,0))+IF(X179="BUY",1,IF(X179="SELL",-1,0)),0))</f>
        <v>0</v>
      </c>
      <c r="Z179" s="32" t="str">
        <f aca="false">IF(Y179="","",IF(Y179&gt;=2,"STRONG BUY",IF(Y179=1,"BUY",IF(Y179=0,"HOLD",IF(Y179=-1,"SELL","STRONG SELL")))))</f>
        <v>HOLD</v>
      </c>
    </row>
    <row r="180" customFormat="false" ht="15" hidden="false" customHeight="false" outlineLevel="0" collapsed="false">
      <c r="A180" s="24" t="n">
        <v>46020</v>
      </c>
      <c r="B180" s="25" t="n">
        <v>238.8</v>
      </c>
      <c r="C180" s="25" t="n">
        <v>241.14</v>
      </c>
      <c r="D180" s="25" t="n">
        <v>234.9</v>
      </c>
      <c r="E180" s="25" t="n">
        <v>238.02</v>
      </c>
      <c r="F180" s="26" t="n">
        <v>13125802</v>
      </c>
      <c r="G180" s="27" t="n">
        <f aca="false">E180-E179</f>
        <v>4</v>
      </c>
      <c r="H180" s="28" t="n">
        <f aca="false">G180/E179</f>
        <v>0.0170925561917785</v>
      </c>
      <c r="I180" s="29" t="n">
        <f aca="false">MAX(G180,0)</f>
        <v>4</v>
      </c>
      <c r="J180" s="29" t="n">
        <f aca="false">MAX(-G180,0)</f>
        <v>0</v>
      </c>
      <c r="K180" s="29" t="n">
        <f aca="false">(K179*13+I180)/14</f>
        <v>1.09609261282751</v>
      </c>
      <c r="L180" s="29" t="n">
        <f aca="false">(L179*13+J180)/14</f>
        <v>1.15024607952089</v>
      </c>
      <c r="M180" s="31" t="n">
        <f aca="false">IF(L180=0,100,100-100/(1+K180/MAX(L180,0.000001)))</f>
        <v>48.7946281903561</v>
      </c>
      <c r="N180" s="30" t="n">
        <f aca="false">AVERAGE(E161:E180)</f>
        <v>236.246</v>
      </c>
      <c r="O180" s="30" t="n">
        <f aca="false">AVERAGE(E131:E180)</f>
        <v>242.8966</v>
      </c>
      <c r="Q180" s="30" t="n">
        <f aca="false">Q179+(2/13)*(E180-Q179)</f>
        <v>236.831872490405</v>
      </c>
      <c r="R180" s="30" t="n">
        <f aca="false">R179+(2/27)*(E180-R179)</f>
        <v>238.640348528536</v>
      </c>
      <c r="S180" s="33" t="n">
        <f aca="false">Q180-R180</f>
        <v>-1.8084760381316</v>
      </c>
      <c r="T180" s="33" t="n">
        <f aca="false">T179+(2/10)*(S180-T179)</f>
        <v>-2.06291148532824</v>
      </c>
      <c r="U180" s="33" t="n">
        <f aca="false">S180-T180</f>
        <v>0.254435447196635</v>
      </c>
      <c r="V180" s="32" t="str">
        <f aca="false">IF(M180="","",IF(M180&lt;Assumptions!$B$5,"BUY",IF(M180&gt;Assumptions!$B$4,"SELL","HOLD")))</f>
        <v>HOLD</v>
      </c>
      <c r="W180" s="32" t="str">
        <f aca="false">IF(O180="","",IF(E180&gt;O180,"BUY","SELL"))</f>
        <v>SELL</v>
      </c>
      <c r="X180" s="32" t="str">
        <f aca="false">IF(T180="","",IF(S180&gt;T180,"BUY","SELL"))</f>
        <v>BUY</v>
      </c>
      <c r="Y180" s="34" t="n">
        <f aca="false">IF(OR(V180="",W180="",X180=""),"",IFERROR(IF(V180="BUY",1,IF(V180="SELL",-1,0))+IF(W180="BUY",1,IF(W180="SELL",-1,0))+IF(X180="BUY",1,IF(X180="SELL",-1,0)),0))</f>
        <v>0</v>
      </c>
      <c r="Z180" s="32" t="str">
        <f aca="false">IF(Y180="","",IF(Y180&gt;=2,"STRONG BUY",IF(Y180=1,"BUY",IF(Y180=0,"HOLD",IF(Y180=-1,"SELL","STRONG SELL")))))</f>
        <v>HOLD</v>
      </c>
    </row>
    <row r="181" customFormat="false" ht="15" hidden="false" customHeight="false" outlineLevel="0" collapsed="false">
      <c r="A181" s="24" t="n">
        <v>46021</v>
      </c>
      <c r="B181" s="25" t="n">
        <v>237.2</v>
      </c>
      <c r="C181" s="25" t="n">
        <v>239.5</v>
      </c>
      <c r="D181" s="25" t="n">
        <v>235.4</v>
      </c>
      <c r="E181" s="25" t="n">
        <v>237.45</v>
      </c>
      <c r="F181" s="26" t="n">
        <v>12811723</v>
      </c>
      <c r="G181" s="27" t="n">
        <f aca="false">E181-E180</f>
        <v>-0.570000000000022</v>
      </c>
      <c r="H181" s="28" t="n">
        <f aca="false">G181/E180</f>
        <v>-0.00239475674313092</v>
      </c>
      <c r="I181" s="29" t="n">
        <f aca="false">MAX(G181,0)</f>
        <v>0</v>
      </c>
      <c r="J181" s="29" t="n">
        <f aca="false">MAX(-G181,0)</f>
        <v>0.570000000000022</v>
      </c>
      <c r="K181" s="29" t="n">
        <f aca="false">(K180*13+I181)/14</f>
        <v>1.01780028333983</v>
      </c>
      <c r="L181" s="29" t="n">
        <f aca="false">(L180*13+J181)/14</f>
        <v>1.10879993098368</v>
      </c>
      <c r="M181" s="31" t="n">
        <f aca="false">IF(L181=0,100,100-100/(1+K181/MAX(L181,0.000001)))</f>
        <v>47.8604429965036</v>
      </c>
      <c r="N181" s="30" t="n">
        <f aca="false">AVERAGE(E162:E181)</f>
        <v>235.9295</v>
      </c>
      <c r="O181" s="30" t="n">
        <f aca="false">AVERAGE(E132:E181)</f>
        <v>242.8178</v>
      </c>
      <c r="Q181" s="30" t="n">
        <f aca="false">Q180+(2/13)*(E181-Q180)</f>
        <v>236.926969030343</v>
      </c>
      <c r="R181" s="30" t="n">
        <f aca="false">R180+(2/27)*(E181-R180)</f>
        <v>238.55217456346</v>
      </c>
      <c r="S181" s="33" t="n">
        <f aca="false">Q181-R181</f>
        <v>-1.62520553311711</v>
      </c>
      <c r="T181" s="33" t="n">
        <f aca="false">T180+(2/10)*(S181-T180)</f>
        <v>-1.97537029488601</v>
      </c>
      <c r="U181" s="33" t="n">
        <f aca="false">S181-T181</f>
        <v>0.350164761768901</v>
      </c>
      <c r="V181" s="32" t="str">
        <f aca="false">IF(M181="","",IF(M181&lt;Assumptions!$B$5,"BUY",IF(M181&gt;Assumptions!$B$4,"SELL","HOLD")))</f>
        <v>HOLD</v>
      </c>
      <c r="W181" s="32" t="str">
        <f aca="false">IF(O181="","",IF(E181&gt;O181,"BUY","SELL"))</f>
        <v>SELL</v>
      </c>
      <c r="X181" s="32" t="str">
        <f aca="false">IF(T181="","",IF(S181&gt;T181,"BUY","SELL"))</f>
        <v>BUY</v>
      </c>
      <c r="Y181" s="34" t="n">
        <f aca="false">IF(OR(V181="",W181="",X181=""),"",IFERROR(IF(V181="BUY",1,IF(V181="SELL",-1,0))+IF(W181="BUY",1,IF(W181="SELL",-1,0))+IF(X181="BUY",1,IF(X181="SELL",-1,0)),0))</f>
        <v>0</v>
      </c>
      <c r="Z181" s="32" t="str">
        <f aca="false">IF(Y181="","",IF(Y181&gt;=2,"STRONG BUY",IF(Y181=1,"BUY",IF(Y181=0,"HOLD",IF(Y181=-1,"SELL","STRONG SELL")))))</f>
        <v>HOLD</v>
      </c>
    </row>
    <row r="182" customFormat="false" ht="15" hidden="false" customHeight="false" outlineLevel="0" collapsed="false">
      <c r="A182" s="24" t="n">
        <v>46022</v>
      </c>
      <c r="B182" s="25" t="n">
        <v>234.01</v>
      </c>
      <c r="C182" s="25" t="n">
        <v>234.34</v>
      </c>
      <c r="D182" s="25" t="n">
        <v>232.94</v>
      </c>
      <c r="E182" s="25" t="n">
        <v>233.64</v>
      </c>
      <c r="F182" s="26" t="n">
        <v>8301022</v>
      </c>
      <c r="G182" s="27" t="n">
        <f aca="false">E182-E181</f>
        <v>-3.81</v>
      </c>
      <c r="H182" s="28" t="n">
        <f aca="false">G182/E181</f>
        <v>-0.0160454832596336</v>
      </c>
      <c r="I182" s="29" t="n">
        <f aca="false">MAX(G182,0)</f>
        <v>0</v>
      </c>
      <c r="J182" s="29" t="n">
        <f aca="false">MAX(-G182,0)</f>
        <v>3.81</v>
      </c>
      <c r="K182" s="29" t="n">
        <f aca="false">(K181*13+I182)/14</f>
        <v>0.945100263101268</v>
      </c>
      <c r="L182" s="29" t="n">
        <f aca="false">(L181*13+J182)/14</f>
        <v>1.30174279305628</v>
      </c>
      <c r="M182" s="31" t="n">
        <f aca="false">IF(L182=0,100,100-100/(1+K182/MAX(L182,0.000001)))</f>
        <v>42.0634748168632</v>
      </c>
      <c r="N182" s="30" t="n">
        <f aca="false">AVERAGE(E163:E182)</f>
        <v>235.8045</v>
      </c>
      <c r="O182" s="30" t="n">
        <f aca="false">AVERAGE(E133:E182)</f>
        <v>242.7076</v>
      </c>
      <c r="Q182" s="30" t="n">
        <f aca="false">Q181+(2/13)*(E182-Q181)</f>
        <v>236.421281487213</v>
      </c>
      <c r="R182" s="30" t="n">
        <f aca="false">R181+(2/27)*(E182-R181)</f>
        <v>238.188309780981</v>
      </c>
      <c r="S182" s="33" t="n">
        <f aca="false">Q182-R182</f>
        <v>-1.76702829376825</v>
      </c>
      <c r="T182" s="33" t="n">
        <f aca="false">T181+(2/10)*(S182-T181)</f>
        <v>-1.93370189466246</v>
      </c>
      <c r="U182" s="33" t="n">
        <f aca="false">S182-T182</f>
        <v>0.16667360089421</v>
      </c>
      <c r="V182" s="32" t="str">
        <f aca="false">IF(M182="","",IF(M182&lt;Assumptions!$B$5,"BUY",IF(M182&gt;Assumptions!$B$4,"SELL","HOLD")))</f>
        <v>HOLD</v>
      </c>
      <c r="W182" s="32" t="str">
        <f aca="false">IF(O182="","",IF(E182&gt;O182,"BUY","SELL"))</f>
        <v>SELL</v>
      </c>
      <c r="X182" s="32" t="str">
        <f aca="false">IF(T182="","",IF(S182&gt;T182,"BUY","SELL"))</f>
        <v>BUY</v>
      </c>
      <c r="Y182" s="34" t="n">
        <f aca="false">IF(OR(V182="",W182="",X182=""),"",IFERROR(IF(V182="BUY",1,IF(V182="SELL",-1,0))+IF(W182="BUY",1,IF(W182="SELL",-1,0))+IF(X182="BUY",1,IF(X182="SELL",-1,0)),0))</f>
        <v>0</v>
      </c>
      <c r="Z182" s="32" t="str">
        <f aca="false">IF(Y182="","",IF(Y182&gt;=2,"STRONG BUY",IF(Y182=1,"BUY",IF(Y182=0,"HOLD",IF(Y182=-1,"SELL","STRONG SELL")))))</f>
        <v>HOLD</v>
      </c>
    </row>
    <row r="183" customFormat="false" ht="15" hidden="false" customHeight="false" outlineLevel="0" collapsed="false">
      <c r="A183" s="24" t="n">
        <v>46023</v>
      </c>
      <c r="B183" s="25" t="n">
        <v>234.51</v>
      </c>
      <c r="C183" s="25" t="n">
        <v>236.57</v>
      </c>
      <c r="D183" s="25" t="n">
        <v>232.71</v>
      </c>
      <c r="E183" s="25" t="n">
        <v>234.64</v>
      </c>
      <c r="F183" s="26" t="n">
        <v>11602665</v>
      </c>
      <c r="G183" s="27" t="n">
        <f aca="false">E183-E182</f>
        <v>1</v>
      </c>
      <c r="H183" s="28" t="n">
        <f aca="false">G183/E182</f>
        <v>0.00428008902585174</v>
      </c>
      <c r="I183" s="29" t="n">
        <f aca="false">MAX(G183,0)</f>
        <v>1</v>
      </c>
      <c r="J183" s="29" t="n">
        <f aca="false">MAX(-G183,0)</f>
        <v>0</v>
      </c>
      <c r="K183" s="29" t="n">
        <f aca="false">(K182*13+I183)/14</f>
        <v>0.949021672879749</v>
      </c>
      <c r="L183" s="29" t="n">
        <f aca="false">(L182*13+J183)/14</f>
        <v>1.20876116498083</v>
      </c>
      <c r="M183" s="31" t="n">
        <f aca="false">IF(L183=0,100,100-100/(1+K183/MAX(L183,0.000001)))</f>
        <v>43.9813338130307</v>
      </c>
      <c r="N183" s="30" t="n">
        <f aca="false">AVERAGE(E164:E183)</f>
        <v>235.71</v>
      </c>
      <c r="O183" s="30" t="n">
        <f aca="false">AVERAGE(E134:E183)</f>
        <v>242.7028</v>
      </c>
      <c r="Q183" s="30" t="n">
        <f aca="false">Q182+(2/13)*(E183-Q182)</f>
        <v>236.147238181488</v>
      </c>
      <c r="R183" s="30" t="n">
        <f aca="false">R182+(2/27)*(E183-R182)</f>
        <v>237.925472019427</v>
      </c>
      <c r="S183" s="33" t="n">
        <f aca="false">Q183-R183</f>
        <v>-1.77823383793915</v>
      </c>
      <c r="T183" s="33" t="n">
        <f aca="false">T182+(2/10)*(S183-T182)</f>
        <v>-1.9026082833178</v>
      </c>
      <c r="U183" s="33" t="n">
        <f aca="false">S183-T183</f>
        <v>0.124374445378644</v>
      </c>
      <c r="V183" s="32" t="str">
        <f aca="false">IF(M183="","",IF(M183&lt;Assumptions!$B$5,"BUY",IF(M183&gt;Assumptions!$B$4,"SELL","HOLD")))</f>
        <v>HOLD</v>
      </c>
      <c r="W183" s="32" t="str">
        <f aca="false">IF(O183="","",IF(E183&gt;O183,"BUY","SELL"))</f>
        <v>SELL</v>
      </c>
      <c r="X183" s="32" t="str">
        <f aca="false">IF(T183="","",IF(S183&gt;T183,"BUY","SELL"))</f>
        <v>BUY</v>
      </c>
      <c r="Y183" s="34" t="n">
        <f aca="false">IF(OR(V183="",W183="",X183=""),"",IFERROR(IF(V183="BUY",1,IF(V183="SELL",-1,0))+IF(W183="BUY",1,IF(W183="SELL",-1,0))+IF(X183="BUY",1,IF(X183="SELL",-1,0)),0))</f>
        <v>0</v>
      </c>
      <c r="Z183" s="32" t="str">
        <f aca="false">IF(Y183="","",IF(Y183&gt;=2,"STRONG BUY",IF(Y183=1,"BUY",IF(Y183=0,"HOLD",IF(Y183=-1,"SELL","STRONG SELL")))))</f>
        <v>HOLD</v>
      </c>
    </row>
    <row r="184" customFormat="false" ht="15" hidden="false" customHeight="false" outlineLevel="0" collapsed="false">
      <c r="A184" s="24" t="n">
        <v>46024</v>
      </c>
      <c r="B184" s="25" t="n">
        <v>236.56</v>
      </c>
      <c r="C184" s="25" t="n">
        <v>236.56</v>
      </c>
      <c r="D184" s="25" t="n">
        <v>236.32</v>
      </c>
      <c r="E184" s="25" t="n">
        <v>236.44</v>
      </c>
      <c r="F184" s="26" t="n">
        <v>6987111</v>
      </c>
      <c r="G184" s="27" t="n">
        <f aca="false">E184-E183</f>
        <v>1.80000000000001</v>
      </c>
      <c r="H184" s="28" t="n">
        <f aca="false">G184/E183</f>
        <v>0.00767132628707813</v>
      </c>
      <c r="I184" s="29" t="n">
        <f aca="false">MAX(G184,0)</f>
        <v>1.80000000000001</v>
      </c>
      <c r="J184" s="29" t="n">
        <f aca="false">MAX(-G184,0)</f>
        <v>0</v>
      </c>
      <c r="K184" s="29" t="n">
        <f aca="false">(K183*13+I184)/14</f>
        <v>1.00980583910262</v>
      </c>
      <c r="L184" s="29" t="n">
        <f aca="false">(L183*13+J184)/14</f>
        <v>1.12242108176791</v>
      </c>
      <c r="M184" s="31" t="n">
        <f aca="false">IF(L184=0,100,100-100/(1+K184/MAX(L184,0.000001)))</f>
        <v>47.359210655231</v>
      </c>
      <c r="N184" s="30" t="n">
        <f aca="false">AVERAGE(E165:E184)</f>
        <v>235.4935</v>
      </c>
      <c r="O184" s="30" t="n">
        <f aca="false">AVERAGE(E135:E184)</f>
        <v>242.626</v>
      </c>
      <c r="Q184" s="30" t="n">
        <f aca="false">Q183+(2/13)*(E184-Q183)</f>
        <v>236.192278461259</v>
      </c>
      <c r="R184" s="30" t="n">
        <f aca="false">R183+(2/27)*(E184-R183)</f>
        <v>237.815437055025</v>
      </c>
      <c r="S184" s="33" t="n">
        <f aca="false">Q184-R184</f>
        <v>-1.62315859376605</v>
      </c>
      <c r="T184" s="33" t="n">
        <f aca="false">T183+(2/10)*(S184-T183)</f>
        <v>-1.84671834540745</v>
      </c>
      <c r="U184" s="33" t="n">
        <f aca="false">S184-T184</f>
        <v>0.223559751641399</v>
      </c>
      <c r="V184" s="32" t="str">
        <f aca="false">IF(M184="","",IF(M184&lt;Assumptions!$B$5,"BUY",IF(M184&gt;Assumptions!$B$4,"SELL","HOLD")))</f>
        <v>HOLD</v>
      </c>
      <c r="W184" s="32" t="str">
        <f aca="false">IF(O184="","",IF(E184&gt;O184,"BUY","SELL"))</f>
        <v>SELL</v>
      </c>
      <c r="X184" s="32" t="str">
        <f aca="false">IF(T184="","",IF(S184&gt;T184,"BUY","SELL"))</f>
        <v>BUY</v>
      </c>
      <c r="Y184" s="34" t="n">
        <f aca="false">IF(OR(V184="",W184="",X184=""),"",IFERROR(IF(V184="BUY",1,IF(V184="SELL",-1,0))+IF(W184="BUY",1,IF(W184="SELL",-1,0))+IF(X184="BUY",1,IF(X184="SELL",-1,0)),0))</f>
        <v>0</v>
      </c>
      <c r="Z184" s="32" t="str">
        <f aca="false">IF(Y184="","",IF(Y184&gt;=2,"STRONG BUY",IF(Y184=1,"BUY",IF(Y184=0,"HOLD",IF(Y184=-1,"SELL","STRONG SELL")))))</f>
        <v>HOLD</v>
      </c>
    </row>
    <row r="185" customFormat="false" ht="15" hidden="false" customHeight="false" outlineLevel="0" collapsed="false">
      <c r="A185" s="24" t="n">
        <v>46027</v>
      </c>
      <c r="B185" s="25" t="n">
        <v>236.19</v>
      </c>
      <c r="C185" s="25" t="n">
        <v>237.84</v>
      </c>
      <c r="D185" s="25" t="n">
        <v>235.36</v>
      </c>
      <c r="E185" s="25" t="n">
        <v>236.6</v>
      </c>
      <c r="F185" s="26" t="n">
        <v>5051507</v>
      </c>
      <c r="G185" s="27" t="n">
        <f aca="false">E185-E184</f>
        <v>0.159999999999997</v>
      </c>
      <c r="H185" s="28" t="n">
        <f aca="false">G185/E184</f>
        <v>0.00067670444933174</v>
      </c>
      <c r="I185" s="29" t="n">
        <f aca="false">MAX(G185,0)</f>
        <v>0.159999999999997</v>
      </c>
      <c r="J185" s="29" t="n">
        <f aca="false">MAX(-G185,0)</f>
        <v>0</v>
      </c>
      <c r="K185" s="29" t="n">
        <f aca="false">(K184*13+I185)/14</f>
        <v>0.949105422023865</v>
      </c>
      <c r="L185" s="29" t="n">
        <f aca="false">(L184*13+J185)/14</f>
        <v>1.04224814735592</v>
      </c>
      <c r="M185" s="31" t="n">
        <f aca="false">IF(L185=0,100,100-100/(1+K185/MAX(L185,0.000001)))</f>
        <v>47.6613212549426</v>
      </c>
      <c r="N185" s="30" t="n">
        <f aca="false">AVERAGE(E166:E185)</f>
        <v>235.4435</v>
      </c>
      <c r="O185" s="30" t="n">
        <f aca="false">AVERAGE(E136:E185)</f>
        <v>242.4954</v>
      </c>
      <c r="Q185" s="30" t="n">
        <f aca="false">Q184+(2/13)*(E185-Q184)</f>
        <v>236.255004851834</v>
      </c>
      <c r="R185" s="30" t="n">
        <f aca="false">R184+(2/27)*(E185-R184)</f>
        <v>237.725404680579</v>
      </c>
      <c r="S185" s="33" t="n">
        <f aca="false">Q185-R185</f>
        <v>-1.47039982874421</v>
      </c>
      <c r="T185" s="33" t="n">
        <f aca="false">T184+(2/10)*(S185-T184)</f>
        <v>-1.7714546420748</v>
      </c>
      <c r="U185" s="33" t="n">
        <f aca="false">S185-T185</f>
        <v>0.301054813330594</v>
      </c>
      <c r="V185" s="32" t="str">
        <f aca="false">IF(M185="","",IF(M185&lt;Assumptions!$B$5,"BUY",IF(M185&gt;Assumptions!$B$4,"SELL","HOLD")))</f>
        <v>HOLD</v>
      </c>
      <c r="W185" s="32" t="str">
        <f aca="false">IF(O185="","",IF(E185&gt;O185,"BUY","SELL"))</f>
        <v>SELL</v>
      </c>
      <c r="X185" s="32" t="str">
        <f aca="false">IF(T185="","",IF(S185&gt;T185,"BUY","SELL"))</f>
        <v>BUY</v>
      </c>
      <c r="Y185" s="34" t="n">
        <f aca="false">IF(OR(V185="",W185="",X185=""),"",IFERROR(IF(V185="BUY",1,IF(V185="SELL",-1,0))+IF(W185="BUY",1,IF(W185="SELL",-1,0))+IF(X185="BUY",1,IF(X185="SELL",-1,0)),0))</f>
        <v>0</v>
      </c>
      <c r="Z185" s="32" t="str">
        <f aca="false">IF(Y185="","",IF(Y185&gt;=2,"STRONG BUY",IF(Y185=1,"BUY",IF(Y185=0,"HOLD",IF(Y185=-1,"SELL","STRONG SELL")))))</f>
        <v>HOLD</v>
      </c>
    </row>
    <row r="186" customFormat="false" ht="15" hidden="false" customHeight="false" outlineLevel="0" collapsed="false">
      <c r="A186" s="24" t="n">
        <v>46028</v>
      </c>
      <c r="B186" s="25" t="n">
        <v>234.6</v>
      </c>
      <c r="C186" s="25" t="n">
        <v>236.54</v>
      </c>
      <c r="D186" s="25" t="n">
        <v>232.7</v>
      </c>
      <c r="E186" s="25" t="n">
        <v>234.62</v>
      </c>
      <c r="F186" s="26" t="n">
        <v>7359427</v>
      </c>
      <c r="G186" s="27" t="n">
        <f aca="false">E186-E185</f>
        <v>-1.97999999999999</v>
      </c>
      <c r="H186" s="28" t="n">
        <f aca="false">G186/E185</f>
        <v>-0.00836855452240063</v>
      </c>
      <c r="I186" s="29" t="n">
        <f aca="false">MAX(G186,0)</f>
        <v>0</v>
      </c>
      <c r="J186" s="29" t="n">
        <f aca="false">MAX(-G186,0)</f>
        <v>1.97999999999999</v>
      </c>
      <c r="K186" s="29" t="n">
        <f aca="false">(K185*13+I186)/14</f>
        <v>0.881312177593589</v>
      </c>
      <c r="L186" s="29" t="n">
        <f aca="false">(L185*13+J186)/14</f>
        <v>1.10923042254478</v>
      </c>
      <c r="M186" s="31" t="n">
        <f aca="false">IF(L186=0,100,100-100/(1+K186/MAX(L186,0.000001)))</f>
        <v>44.274971936412</v>
      </c>
      <c r="N186" s="30" t="n">
        <f aca="false">AVERAGE(E167:E186)</f>
        <v>235.664</v>
      </c>
      <c r="O186" s="30" t="n">
        <f aca="false">AVERAGE(E137:E186)</f>
        <v>242.3738</v>
      </c>
      <c r="Q186" s="30" t="n">
        <f aca="false">Q185+(2/13)*(E186-Q185)</f>
        <v>236.00346564386</v>
      </c>
      <c r="R186" s="30" t="n">
        <f aca="false">R185+(2/27)*(E186-R185)</f>
        <v>237.49537470424</v>
      </c>
      <c r="S186" s="33" t="n">
        <f aca="false">Q186-R186</f>
        <v>-1.49190906037958</v>
      </c>
      <c r="T186" s="33" t="n">
        <f aca="false">T185+(2/10)*(S186-T185)</f>
        <v>-1.71554552573576</v>
      </c>
      <c r="U186" s="33" t="n">
        <f aca="false">S186-T186</f>
        <v>0.223636465356173</v>
      </c>
      <c r="V186" s="32" t="str">
        <f aca="false">IF(M186="","",IF(M186&lt;Assumptions!$B$5,"BUY",IF(M186&gt;Assumptions!$B$4,"SELL","HOLD")))</f>
        <v>HOLD</v>
      </c>
      <c r="W186" s="32" t="str">
        <f aca="false">IF(O186="","",IF(E186&gt;O186,"BUY","SELL"))</f>
        <v>SELL</v>
      </c>
      <c r="X186" s="32" t="str">
        <f aca="false">IF(T186="","",IF(S186&gt;T186,"BUY","SELL"))</f>
        <v>BUY</v>
      </c>
      <c r="Y186" s="34" t="n">
        <f aca="false">IF(OR(V186="",W186="",X186=""),"",IFERROR(IF(V186="BUY",1,IF(V186="SELL",-1,0))+IF(W186="BUY",1,IF(W186="SELL",-1,0))+IF(X186="BUY",1,IF(X186="SELL",-1,0)),0))</f>
        <v>0</v>
      </c>
      <c r="Z186" s="32" t="str">
        <f aca="false">IF(Y186="","",IF(Y186&gt;=2,"STRONG BUY",IF(Y186=1,"BUY",IF(Y186=0,"HOLD",IF(Y186=-1,"SELL","STRONG SELL")))))</f>
        <v>HOLD</v>
      </c>
    </row>
    <row r="187" customFormat="false" ht="15" hidden="false" customHeight="false" outlineLevel="0" collapsed="false">
      <c r="A187" s="24" t="n">
        <v>46029</v>
      </c>
      <c r="B187" s="25" t="n">
        <v>234.18</v>
      </c>
      <c r="C187" s="25" t="n">
        <v>234.85</v>
      </c>
      <c r="D187" s="25" t="n">
        <v>232.21</v>
      </c>
      <c r="E187" s="25" t="n">
        <v>233.53</v>
      </c>
      <c r="F187" s="26" t="n">
        <v>5391557</v>
      </c>
      <c r="G187" s="27" t="n">
        <f aca="false">E187-E186</f>
        <v>-1.09</v>
      </c>
      <c r="H187" s="28" t="n">
        <f aca="false">G187/E186</f>
        <v>-0.00464581024635582</v>
      </c>
      <c r="I187" s="29" t="n">
        <f aca="false">MAX(G187,0)</f>
        <v>0</v>
      </c>
      <c r="J187" s="29" t="n">
        <f aca="false">MAX(-G187,0)</f>
        <v>1.09</v>
      </c>
      <c r="K187" s="29" t="n">
        <f aca="false">(K186*13+I187)/14</f>
        <v>0.818361307765476</v>
      </c>
      <c r="L187" s="29" t="n">
        <f aca="false">(L186*13+J187)/14</f>
        <v>1.10785682093444</v>
      </c>
      <c r="M187" s="31" t="n">
        <f aca="false">IF(L187=0,100,100-100/(1+K187/MAX(L187,0.000001)))</f>
        <v>42.4853912219081</v>
      </c>
      <c r="N187" s="30" t="n">
        <f aca="false">AVERAGE(E168:E187)</f>
        <v>235.8075</v>
      </c>
      <c r="O187" s="30" t="n">
        <f aca="false">AVERAGE(E138:E187)</f>
        <v>242.2226</v>
      </c>
      <c r="Q187" s="30" t="n">
        <f aca="false">Q186+(2/13)*(E187-Q186)</f>
        <v>235.622932467882</v>
      </c>
      <c r="R187" s="30" t="n">
        <f aca="false">R186+(2/27)*(E187-R186)</f>
        <v>237.201643244666</v>
      </c>
      <c r="S187" s="33" t="n">
        <f aca="false">Q187-R187</f>
        <v>-1.57871077678473</v>
      </c>
      <c r="T187" s="33" t="n">
        <f aca="false">T186+(2/10)*(S187-T186)</f>
        <v>-1.68817857594555</v>
      </c>
      <c r="U187" s="33" t="n">
        <f aca="false">S187-T187</f>
        <v>0.10946779916082</v>
      </c>
      <c r="V187" s="32" t="str">
        <f aca="false">IF(M187="","",IF(M187&lt;Assumptions!$B$5,"BUY",IF(M187&gt;Assumptions!$B$4,"SELL","HOLD")))</f>
        <v>HOLD</v>
      </c>
      <c r="W187" s="32" t="str">
        <f aca="false">IF(O187="","",IF(E187&gt;O187,"BUY","SELL"))</f>
        <v>SELL</v>
      </c>
      <c r="X187" s="32" t="str">
        <f aca="false">IF(T187="","",IF(S187&gt;T187,"BUY","SELL"))</f>
        <v>BUY</v>
      </c>
      <c r="Y187" s="34" t="n">
        <f aca="false">IF(OR(V187="",W187="",X187=""),"",IFERROR(IF(V187="BUY",1,IF(V187="SELL",-1,0))+IF(W187="BUY",1,IF(W187="SELL",-1,0))+IF(X187="BUY",1,IF(X187="SELL",-1,0)),0))</f>
        <v>0</v>
      </c>
      <c r="Z187" s="32" t="str">
        <f aca="false">IF(Y187="","",IF(Y187&gt;=2,"STRONG BUY",IF(Y187=1,"BUY",IF(Y187=0,"HOLD",IF(Y187=-1,"SELL","STRONG SELL")))))</f>
        <v>HOLD</v>
      </c>
    </row>
    <row r="188" customFormat="false" ht="15" hidden="false" customHeight="false" outlineLevel="0" collapsed="false">
      <c r="A188" s="24" t="n">
        <v>46030</v>
      </c>
      <c r="B188" s="25" t="n">
        <v>232.51</v>
      </c>
      <c r="C188" s="25" t="n">
        <v>232.64</v>
      </c>
      <c r="D188" s="25" t="n">
        <v>231.46</v>
      </c>
      <c r="E188" s="25" t="n">
        <v>232.05</v>
      </c>
      <c r="F188" s="26" t="n">
        <v>12664684</v>
      </c>
      <c r="G188" s="27" t="n">
        <f aca="false">E188-E187</f>
        <v>-1.47999999999999</v>
      </c>
      <c r="H188" s="28" t="n">
        <f aca="false">G188/E187</f>
        <v>-0.00633751552263088</v>
      </c>
      <c r="I188" s="29" t="n">
        <f aca="false">MAX(G188,0)</f>
        <v>0</v>
      </c>
      <c r="J188" s="29" t="n">
        <f aca="false">MAX(-G188,0)</f>
        <v>1.47999999999999</v>
      </c>
      <c r="K188" s="29" t="n">
        <f aca="false">(K187*13+I188)/14</f>
        <v>0.75990692863937</v>
      </c>
      <c r="L188" s="29" t="n">
        <f aca="false">(L187*13+J188)/14</f>
        <v>1.13443847658198</v>
      </c>
      <c r="M188" s="31" t="n">
        <f aca="false">IF(L188=0,100,100-100/(1+K188/MAX(L188,0.000001)))</f>
        <v>40.1144863309961</v>
      </c>
      <c r="N188" s="30" t="n">
        <f aca="false">AVERAGE(E169:E188)</f>
        <v>235.7865</v>
      </c>
      <c r="O188" s="30" t="n">
        <f aca="false">AVERAGE(E139:E188)</f>
        <v>242.0082</v>
      </c>
      <c r="Q188" s="30" t="n">
        <f aca="false">Q187+(2/13)*(E188-Q187)</f>
        <v>235.073250549746</v>
      </c>
      <c r="R188" s="30" t="n">
        <f aca="false">R187+(2/27)*(E188-R187)</f>
        <v>236.820040041358</v>
      </c>
      <c r="S188" s="33" t="n">
        <f aca="false">Q188-R188</f>
        <v>-1.74678949161174</v>
      </c>
      <c r="T188" s="33" t="n">
        <f aca="false">T187+(2/10)*(S188-T187)</f>
        <v>-1.69990075907879</v>
      </c>
      <c r="U188" s="33" t="n">
        <f aca="false">S188-T188</f>
        <v>-0.0468887325329472</v>
      </c>
      <c r="V188" s="32" t="str">
        <f aca="false">IF(M188="","",IF(M188&lt;Assumptions!$B$5,"BUY",IF(M188&gt;Assumptions!$B$4,"SELL","HOLD")))</f>
        <v>HOLD</v>
      </c>
      <c r="W188" s="32" t="str">
        <f aca="false">IF(O188="","",IF(E188&gt;O188,"BUY","SELL"))</f>
        <v>SELL</v>
      </c>
      <c r="X188" s="32" t="str">
        <f aca="false">IF(T188="","",IF(S188&gt;T188,"BUY","SELL"))</f>
        <v>SELL</v>
      </c>
      <c r="Y188" s="34" t="n">
        <f aca="false">IF(OR(V188="",W188="",X188=""),"",IFERROR(IF(V188="BUY",1,IF(V188="SELL",-1,0))+IF(W188="BUY",1,IF(W188="SELL",-1,0))+IF(X188="BUY",1,IF(X188="SELL",-1,0)),0))</f>
        <v>-2</v>
      </c>
      <c r="Z188" s="32" t="str">
        <f aca="false">IF(Y188="","",IF(Y188&gt;=2,"STRONG BUY",IF(Y188=1,"BUY",IF(Y188=0,"HOLD",IF(Y188=-1,"SELL","STRONG SELL")))))</f>
        <v>STRONG SELL</v>
      </c>
    </row>
    <row r="189" customFormat="false" ht="15" hidden="false" customHeight="false" outlineLevel="0" collapsed="false">
      <c r="A189" s="24" t="n">
        <v>46031</v>
      </c>
      <c r="B189" s="25" t="n">
        <v>231.26</v>
      </c>
      <c r="C189" s="25" t="n">
        <v>231.26</v>
      </c>
      <c r="D189" s="25" t="n">
        <v>230.32</v>
      </c>
      <c r="E189" s="25" t="n">
        <v>230.79</v>
      </c>
      <c r="F189" s="26" t="n">
        <v>8209186</v>
      </c>
      <c r="G189" s="27" t="n">
        <f aca="false">E189-E188</f>
        <v>-1.26000000000002</v>
      </c>
      <c r="H189" s="28" t="n">
        <f aca="false">G189/E188</f>
        <v>-0.00542986425339375</v>
      </c>
      <c r="I189" s="29" t="n">
        <f aca="false">MAX(G189,0)</f>
        <v>0</v>
      </c>
      <c r="J189" s="29" t="n">
        <f aca="false">MAX(-G189,0)</f>
        <v>1.26000000000002</v>
      </c>
      <c r="K189" s="29" t="n">
        <f aca="false">(K188*13+I189)/14</f>
        <v>0.705627862307987</v>
      </c>
      <c r="L189" s="29" t="n">
        <f aca="false">(L188*13+J189)/14</f>
        <v>1.14340715682613</v>
      </c>
      <c r="M189" s="31" t="n">
        <f aca="false">IF(L189=0,100,100-100/(1+K189/MAX(L189,0.000001)))</f>
        <v>38.1619523159938</v>
      </c>
      <c r="N189" s="30" t="n">
        <f aca="false">AVERAGE(E170:E189)</f>
        <v>235.7535</v>
      </c>
      <c r="O189" s="30" t="n">
        <f aca="false">AVERAGE(E140:E189)</f>
        <v>241.7942</v>
      </c>
      <c r="Q189" s="30" t="n">
        <f aca="false">Q188+(2/13)*(E189-Q188)</f>
        <v>234.414288926708</v>
      </c>
      <c r="R189" s="30" t="n">
        <f aca="false">R188+(2/27)*(E189-R188)</f>
        <v>236.373370408664</v>
      </c>
      <c r="S189" s="33" t="n">
        <f aca="false">Q189-R189</f>
        <v>-1.95908148195642</v>
      </c>
      <c r="T189" s="33" t="n">
        <f aca="false">T188+(2/10)*(S189-T188)</f>
        <v>-1.75173690365431</v>
      </c>
      <c r="U189" s="33" t="n">
        <f aca="false">S189-T189</f>
        <v>-0.207344578302103</v>
      </c>
      <c r="V189" s="32" t="str">
        <f aca="false">IF(M189="","",IF(M189&lt;Assumptions!$B$5,"BUY",IF(M189&gt;Assumptions!$B$4,"SELL","HOLD")))</f>
        <v>HOLD</v>
      </c>
      <c r="W189" s="32" t="str">
        <f aca="false">IF(O189="","",IF(E189&gt;O189,"BUY","SELL"))</f>
        <v>SELL</v>
      </c>
      <c r="X189" s="32" t="str">
        <f aca="false">IF(T189="","",IF(S189&gt;T189,"BUY","SELL"))</f>
        <v>SELL</v>
      </c>
      <c r="Y189" s="34" t="n">
        <f aca="false">IF(OR(V189="",W189="",X189=""),"",IFERROR(IF(V189="BUY",1,IF(V189="SELL",-1,0))+IF(W189="BUY",1,IF(W189="SELL",-1,0))+IF(X189="BUY",1,IF(X189="SELL",-1,0)),0))</f>
        <v>-2</v>
      </c>
      <c r="Z189" s="32" t="str">
        <f aca="false">IF(Y189="","",IF(Y189&gt;=2,"STRONG BUY",IF(Y189=1,"BUY",IF(Y189=0,"HOLD",IF(Y189=-1,"SELL","STRONG SELL")))))</f>
        <v>STRONG SELL</v>
      </c>
    </row>
    <row r="190" customFormat="false" ht="15" hidden="false" customHeight="false" outlineLevel="0" collapsed="false">
      <c r="A190" s="24" t="n">
        <v>46034</v>
      </c>
      <c r="B190" s="25" t="n">
        <v>229.83</v>
      </c>
      <c r="C190" s="25" t="n">
        <v>230.97</v>
      </c>
      <c r="D190" s="25" t="n">
        <v>227.11</v>
      </c>
      <c r="E190" s="25" t="n">
        <v>229.04</v>
      </c>
      <c r="F190" s="26" t="n">
        <v>12702286</v>
      </c>
      <c r="G190" s="27" t="n">
        <f aca="false">E190-E189</f>
        <v>-1.75</v>
      </c>
      <c r="H190" s="28" t="n">
        <f aca="false">G190/E189</f>
        <v>-0.00758265089475281</v>
      </c>
      <c r="I190" s="29" t="n">
        <f aca="false">MAX(G190,0)</f>
        <v>0</v>
      </c>
      <c r="J190" s="29" t="n">
        <f aca="false">MAX(-G190,0)</f>
        <v>1.75</v>
      </c>
      <c r="K190" s="29" t="n">
        <f aca="false">(K189*13+I190)/14</f>
        <v>0.655225872143131</v>
      </c>
      <c r="L190" s="29" t="n">
        <f aca="false">(L189*13+J190)/14</f>
        <v>1.18673521705283</v>
      </c>
      <c r="M190" s="31" t="n">
        <f aca="false">IF(L190=0,100,100-100/(1+K190/MAX(L190,0.000001)))</f>
        <v>35.5721885758805</v>
      </c>
      <c r="N190" s="30" t="n">
        <f aca="false">AVERAGE(E171:E190)</f>
        <v>235.6025</v>
      </c>
      <c r="O190" s="30" t="n">
        <f aca="false">AVERAGE(E141:E190)</f>
        <v>241.468</v>
      </c>
      <c r="Q190" s="30" t="n">
        <f aca="false">Q189+(2/13)*(E190-Q189)</f>
        <v>233.587475245676</v>
      </c>
      <c r="R190" s="30" t="n">
        <f aca="false">R189+(2/27)*(E190-R189)</f>
        <v>235.8301577858</v>
      </c>
      <c r="S190" s="33" t="n">
        <f aca="false">Q190-R190</f>
        <v>-2.24268254012438</v>
      </c>
      <c r="T190" s="33" t="n">
        <f aca="false">T189+(2/10)*(S190-T189)</f>
        <v>-1.84992603094833</v>
      </c>
      <c r="U190" s="33" t="n">
        <f aca="false">S190-T190</f>
        <v>-0.392756509176051</v>
      </c>
      <c r="V190" s="32" t="str">
        <f aca="false">IF(M190="","",IF(M190&lt;Assumptions!$B$5,"BUY",IF(M190&gt;Assumptions!$B$4,"SELL","HOLD")))</f>
        <v>HOLD</v>
      </c>
      <c r="W190" s="32" t="str">
        <f aca="false">IF(O190="","",IF(E190&gt;O190,"BUY","SELL"))</f>
        <v>SELL</v>
      </c>
      <c r="X190" s="32" t="str">
        <f aca="false">IF(T190="","",IF(S190&gt;T190,"BUY","SELL"))</f>
        <v>SELL</v>
      </c>
      <c r="Y190" s="34" t="n">
        <f aca="false">IF(OR(V190="",W190="",X190=""),"",IFERROR(IF(V190="BUY",1,IF(V190="SELL",-1,0))+IF(W190="BUY",1,IF(W190="SELL",-1,0))+IF(X190="BUY",1,IF(X190="SELL",-1,0)),0))</f>
        <v>-2</v>
      </c>
      <c r="Z190" s="32" t="str">
        <f aca="false">IF(Y190="","",IF(Y190&gt;=2,"STRONG BUY",IF(Y190=1,"BUY",IF(Y190=0,"HOLD",IF(Y190=-1,"SELL","STRONG SELL")))))</f>
        <v>STRONG SELL</v>
      </c>
    </row>
    <row r="191" customFormat="false" ht="15" hidden="false" customHeight="false" outlineLevel="0" collapsed="false">
      <c r="A191" s="24" t="n">
        <v>46035</v>
      </c>
      <c r="B191" s="25" t="n">
        <v>228.68</v>
      </c>
      <c r="C191" s="25" t="n">
        <v>228.68</v>
      </c>
      <c r="D191" s="25" t="n">
        <v>228.34</v>
      </c>
      <c r="E191" s="25" t="n">
        <v>228.51</v>
      </c>
      <c r="F191" s="26" t="n">
        <v>10586812</v>
      </c>
      <c r="G191" s="27" t="n">
        <f aca="false">E191-E190</f>
        <v>-0.530000000000001</v>
      </c>
      <c r="H191" s="28" t="n">
        <f aca="false">G191/E190</f>
        <v>-0.00231400628711143</v>
      </c>
      <c r="I191" s="29" t="n">
        <f aca="false">MAX(G191,0)</f>
        <v>0</v>
      </c>
      <c r="J191" s="29" t="n">
        <f aca="false">MAX(-G191,0)</f>
        <v>0.530000000000001</v>
      </c>
      <c r="K191" s="29" t="n">
        <f aca="false">(K190*13+I191)/14</f>
        <v>0.608424024132907</v>
      </c>
      <c r="L191" s="29" t="n">
        <f aca="false">(L190*13+J191)/14</f>
        <v>1.13982555869191</v>
      </c>
      <c r="M191" s="31" t="n">
        <f aca="false">IF(L191=0,100,100-100/(1+K191/MAX(L191,0.000001)))</f>
        <v>34.8018972868746</v>
      </c>
      <c r="N191" s="30" t="n">
        <f aca="false">AVERAGE(E172:E191)</f>
        <v>235.258</v>
      </c>
      <c r="O191" s="30" t="n">
        <f aca="false">AVERAGE(E142:E191)</f>
        <v>241.1574</v>
      </c>
      <c r="Q191" s="30" t="n">
        <f aca="false">Q190+(2/13)*(E191-Q190)</f>
        <v>232.80632520788</v>
      </c>
      <c r="R191" s="30" t="n">
        <f aca="false">R190+(2/27)*(E191-R190)</f>
        <v>235.287923875741</v>
      </c>
      <c r="S191" s="33" t="n">
        <f aca="false">Q191-R191</f>
        <v>-2.48159866786142</v>
      </c>
      <c r="T191" s="33" t="n">
        <f aca="false">T190+(2/10)*(S191-T190)</f>
        <v>-1.97626055833095</v>
      </c>
      <c r="U191" s="33" t="n">
        <f aca="false">S191-T191</f>
        <v>-0.505338109530474</v>
      </c>
      <c r="V191" s="32" t="str">
        <f aca="false">IF(M191="","",IF(M191&lt;Assumptions!$B$5,"BUY",IF(M191&gt;Assumptions!$B$4,"SELL","HOLD")))</f>
        <v>HOLD</v>
      </c>
      <c r="W191" s="32" t="str">
        <f aca="false">IF(O191="","",IF(E191&gt;O191,"BUY","SELL"))</f>
        <v>SELL</v>
      </c>
      <c r="X191" s="32" t="str">
        <f aca="false">IF(T191="","",IF(S191&gt;T191,"BUY","SELL"))</f>
        <v>SELL</v>
      </c>
      <c r="Y191" s="34" t="n">
        <f aca="false">IF(OR(V191="",W191="",X191=""),"",IFERROR(IF(V191="BUY",1,IF(V191="SELL",-1,0))+IF(W191="BUY",1,IF(W191="SELL",-1,0))+IF(X191="BUY",1,IF(X191="SELL",-1,0)),0))</f>
        <v>-2</v>
      </c>
      <c r="Z191" s="32" t="str">
        <f aca="false">IF(Y191="","",IF(Y191&gt;=2,"STRONG BUY",IF(Y191=1,"BUY",IF(Y191=0,"HOLD",IF(Y191=-1,"SELL","STRONG SELL")))))</f>
        <v>STRONG SELL</v>
      </c>
    </row>
    <row r="192" customFormat="false" ht="15" hidden="false" customHeight="false" outlineLevel="0" collapsed="false">
      <c r="A192" s="24" t="n">
        <v>46036</v>
      </c>
      <c r="B192" s="25" t="n">
        <v>224.99</v>
      </c>
      <c r="C192" s="25" t="n">
        <v>227.85</v>
      </c>
      <c r="D192" s="25" t="n">
        <v>222.45</v>
      </c>
      <c r="E192" s="25" t="n">
        <v>225.15</v>
      </c>
      <c r="F192" s="26" t="n">
        <v>5522921</v>
      </c>
      <c r="G192" s="27" t="n">
        <f aca="false">E192-E191</f>
        <v>-3.35999999999999</v>
      </c>
      <c r="H192" s="28" t="n">
        <f aca="false">G192/E191</f>
        <v>-0.0147039516870158</v>
      </c>
      <c r="I192" s="29" t="n">
        <f aca="false">MAX(G192,0)</f>
        <v>0</v>
      </c>
      <c r="J192" s="29" t="n">
        <f aca="false">MAX(-G192,0)</f>
        <v>3.35999999999999</v>
      </c>
      <c r="K192" s="29" t="n">
        <f aca="false">(K191*13+I192)/14</f>
        <v>0.564965165266271</v>
      </c>
      <c r="L192" s="29" t="n">
        <f aca="false">(L191*13+J192)/14</f>
        <v>1.29840944735678</v>
      </c>
      <c r="M192" s="31" t="n">
        <f aca="false">IF(L192=0,100,100-100/(1+K192/MAX(L192,0.000001)))</f>
        <v>30.3194624118538</v>
      </c>
      <c r="N192" s="30" t="n">
        <f aca="false">AVERAGE(E173:E192)</f>
        <v>234.5235</v>
      </c>
      <c r="O192" s="30" t="n">
        <f aca="false">AVERAGE(E143:E192)</f>
        <v>240.7256</v>
      </c>
      <c r="Q192" s="30" t="n">
        <f aca="false">Q191+(2/13)*(E192-Q191)</f>
        <v>231.628429022052</v>
      </c>
      <c r="R192" s="30" t="n">
        <f aca="false">R191+(2/27)*(E192-R191)</f>
        <v>234.536966551612</v>
      </c>
      <c r="S192" s="33" t="n">
        <f aca="false">Q192-R192</f>
        <v>-2.90853752956011</v>
      </c>
      <c r="T192" s="33" t="n">
        <f aca="false">T191+(2/10)*(S192-T191)</f>
        <v>-2.16271595257678</v>
      </c>
      <c r="U192" s="33" t="n">
        <f aca="false">S192-T192</f>
        <v>-0.745821576983329</v>
      </c>
      <c r="V192" s="32" t="str">
        <f aca="false">IF(M192="","",IF(M192&lt;Assumptions!$B$5,"BUY",IF(M192&gt;Assumptions!$B$4,"SELL","HOLD")))</f>
        <v>HOLD</v>
      </c>
      <c r="W192" s="32" t="str">
        <f aca="false">IF(O192="","",IF(E192&gt;O192,"BUY","SELL"))</f>
        <v>SELL</v>
      </c>
      <c r="X192" s="32" t="str">
        <f aca="false">IF(T192="","",IF(S192&gt;T192,"BUY","SELL"))</f>
        <v>SELL</v>
      </c>
      <c r="Y192" s="34" t="n">
        <f aca="false">IF(OR(V192="",W192="",X192=""),"",IFERROR(IF(V192="BUY",1,IF(V192="SELL",-1,0))+IF(W192="BUY",1,IF(W192="SELL",-1,0))+IF(X192="BUY",1,IF(X192="SELL",-1,0)),0))</f>
        <v>-2</v>
      </c>
      <c r="Z192" s="32" t="str">
        <f aca="false">IF(Y192="","",IF(Y192&gt;=2,"STRONG BUY",IF(Y192=1,"BUY",IF(Y192=0,"HOLD",IF(Y192=-1,"SELL","STRONG SELL")))))</f>
        <v>STRONG SELL</v>
      </c>
    </row>
    <row r="193" customFormat="false" ht="15" hidden="false" customHeight="false" outlineLevel="0" collapsed="false">
      <c r="A193" s="24" t="n">
        <v>46037</v>
      </c>
      <c r="B193" s="25" t="n">
        <v>225.7</v>
      </c>
      <c r="C193" s="25" t="n">
        <v>225.86</v>
      </c>
      <c r="D193" s="25" t="n">
        <v>225.7</v>
      </c>
      <c r="E193" s="25" t="n">
        <v>225.78</v>
      </c>
      <c r="F193" s="26" t="n">
        <v>8555676</v>
      </c>
      <c r="G193" s="27" t="n">
        <f aca="false">E193-E192</f>
        <v>0.629999999999996</v>
      </c>
      <c r="H193" s="28" t="n">
        <f aca="false">G193/E192</f>
        <v>0.00279813457694868</v>
      </c>
      <c r="I193" s="29" t="n">
        <f aca="false">MAX(G193,0)</f>
        <v>0.629999999999996</v>
      </c>
      <c r="J193" s="29" t="n">
        <f aca="false">MAX(-G193,0)</f>
        <v>0</v>
      </c>
      <c r="K193" s="29" t="n">
        <f aca="false">(K192*13+I193)/14</f>
        <v>0.569610510604394</v>
      </c>
      <c r="L193" s="29" t="n">
        <f aca="false">(L192*13+J193)/14</f>
        <v>1.20566591540272</v>
      </c>
      <c r="M193" s="31" t="n">
        <f aca="false">IF(L193=0,100,100-100/(1+K193/MAX(L193,0.000001)))</f>
        <v>32.0857361850706</v>
      </c>
      <c r="N193" s="30" t="n">
        <f aca="false">AVERAGE(E174:E193)</f>
        <v>233.74</v>
      </c>
      <c r="O193" s="30" t="n">
        <f aca="false">AVERAGE(E144:E193)</f>
        <v>240.34</v>
      </c>
      <c r="Q193" s="30" t="n">
        <f aca="false">Q192+(2/13)*(E193-Q192)</f>
        <v>230.728670710967</v>
      </c>
      <c r="R193" s="30" t="n">
        <f aca="false">R192+(2/27)*(E193-R192)</f>
        <v>233.888302362604</v>
      </c>
      <c r="S193" s="33" t="n">
        <f aca="false">Q193-R193</f>
        <v>-3.15963165163672</v>
      </c>
      <c r="T193" s="33" t="n">
        <f aca="false">T192+(2/10)*(S193-T192)</f>
        <v>-2.36209909238877</v>
      </c>
      <c r="U193" s="33" t="n">
        <f aca="false">S193-T193</f>
        <v>-0.79753255924795</v>
      </c>
      <c r="V193" s="32" t="str">
        <f aca="false">IF(M193="","",IF(M193&lt;Assumptions!$B$5,"BUY",IF(M193&gt;Assumptions!$B$4,"SELL","HOLD")))</f>
        <v>HOLD</v>
      </c>
      <c r="W193" s="32" t="str">
        <f aca="false">IF(O193="","",IF(E193&gt;O193,"BUY","SELL"))</f>
        <v>SELL</v>
      </c>
      <c r="X193" s="32" t="str">
        <f aca="false">IF(T193="","",IF(S193&gt;T193,"BUY","SELL"))</f>
        <v>SELL</v>
      </c>
      <c r="Y193" s="34" t="n">
        <f aca="false">IF(OR(V193="",W193="",X193=""),"",IFERROR(IF(V193="BUY",1,IF(V193="SELL",-1,0))+IF(W193="BUY",1,IF(W193="SELL",-1,0))+IF(X193="BUY",1,IF(X193="SELL",-1,0)),0))</f>
        <v>-2</v>
      </c>
      <c r="Z193" s="32" t="str">
        <f aca="false">IF(Y193="","",IF(Y193&gt;=2,"STRONG BUY",IF(Y193=1,"BUY",IF(Y193=0,"HOLD",IF(Y193=-1,"SELL","STRONG SELL")))))</f>
        <v>STRONG SELL</v>
      </c>
    </row>
    <row r="194" customFormat="false" ht="15" hidden="false" customHeight="false" outlineLevel="0" collapsed="false">
      <c r="A194" s="24" t="n">
        <v>46038</v>
      </c>
      <c r="B194" s="25" t="n">
        <v>224.02</v>
      </c>
      <c r="C194" s="25" t="n">
        <v>224.19</v>
      </c>
      <c r="D194" s="25" t="n">
        <v>223.55</v>
      </c>
      <c r="E194" s="25" t="n">
        <v>223.87</v>
      </c>
      <c r="F194" s="26" t="n">
        <v>7747872</v>
      </c>
      <c r="G194" s="27" t="n">
        <f aca="false">E194-E193</f>
        <v>-1.91</v>
      </c>
      <c r="H194" s="28" t="n">
        <f aca="false">G194/E193</f>
        <v>-0.00845956240588182</v>
      </c>
      <c r="I194" s="29" t="n">
        <f aca="false">MAX(G194,0)</f>
        <v>0</v>
      </c>
      <c r="J194" s="29" t="n">
        <f aca="false">MAX(-G194,0)</f>
        <v>1.91</v>
      </c>
      <c r="K194" s="29" t="n">
        <f aca="false">(K193*13+I194)/14</f>
        <v>0.528924045561223</v>
      </c>
      <c r="L194" s="29" t="n">
        <f aca="false">(L193*13+J194)/14</f>
        <v>1.25597549287396</v>
      </c>
      <c r="M194" s="31" t="n">
        <f aca="false">IF(L194=0,100,100-100/(1+K194/MAX(L194,0.000001)))</f>
        <v>29.6332669806689</v>
      </c>
      <c r="N194" s="30" t="n">
        <f aca="false">AVERAGE(E175:E194)</f>
        <v>233.023</v>
      </c>
      <c r="O194" s="30" t="n">
        <f aca="false">AVERAGE(E145:E194)</f>
        <v>239.8882</v>
      </c>
      <c r="Q194" s="30" t="n">
        <f aca="false">Q193+(2/13)*(E194-Q193)</f>
        <v>229.673490601588</v>
      </c>
      <c r="R194" s="30" t="n">
        <f aca="false">R193+(2/27)*(E194-R193)</f>
        <v>233.1462058913</v>
      </c>
      <c r="S194" s="33" t="n">
        <f aca="false">Q194-R194</f>
        <v>-3.47271528971228</v>
      </c>
      <c r="T194" s="33" t="n">
        <f aca="false">T193+(2/10)*(S194-T193)</f>
        <v>-2.58422233185347</v>
      </c>
      <c r="U194" s="33" t="n">
        <f aca="false">S194-T194</f>
        <v>-0.888492957858815</v>
      </c>
      <c r="V194" s="32" t="str">
        <f aca="false">IF(M194="","",IF(M194&lt;Assumptions!$B$5,"BUY",IF(M194&gt;Assumptions!$B$4,"SELL","HOLD")))</f>
        <v>BUY</v>
      </c>
      <c r="W194" s="32" t="str">
        <f aca="false">IF(O194="","",IF(E194&gt;O194,"BUY","SELL"))</f>
        <v>SELL</v>
      </c>
      <c r="X194" s="32" t="str">
        <f aca="false">IF(T194="","",IF(S194&gt;T194,"BUY","SELL"))</f>
        <v>SELL</v>
      </c>
      <c r="Y194" s="34" t="n">
        <f aca="false">IF(OR(V194="",W194="",X194=""),"",IFERROR(IF(V194="BUY",1,IF(V194="SELL",-1,0))+IF(W194="BUY",1,IF(W194="SELL",-1,0))+IF(X194="BUY",1,IF(X194="SELL",-1,0)),0))</f>
        <v>-1</v>
      </c>
      <c r="Z194" s="32" t="str">
        <f aca="false">IF(Y194="","",IF(Y194&gt;=2,"STRONG BUY",IF(Y194=1,"BUY",IF(Y194=0,"HOLD",IF(Y194=-1,"SELL","STRONG SELL")))))</f>
        <v>SELL</v>
      </c>
    </row>
    <row r="195" customFormat="false" ht="15" hidden="false" customHeight="false" outlineLevel="0" collapsed="false">
      <c r="A195" s="24" t="n">
        <v>46041</v>
      </c>
      <c r="B195" s="25" t="n">
        <v>225.58</v>
      </c>
      <c r="C195" s="25" t="n">
        <v>227.38</v>
      </c>
      <c r="D195" s="25" t="n">
        <v>224.74</v>
      </c>
      <c r="E195" s="25" t="n">
        <v>226.06</v>
      </c>
      <c r="F195" s="26" t="n">
        <v>11553550</v>
      </c>
      <c r="G195" s="27" t="n">
        <f aca="false">E195-E194</f>
        <v>2.19</v>
      </c>
      <c r="H195" s="28" t="n">
        <f aca="false">G195/E194</f>
        <v>0.00978246303658372</v>
      </c>
      <c r="I195" s="29" t="n">
        <f aca="false">MAX(G195,0)</f>
        <v>2.19</v>
      </c>
      <c r="J195" s="29" t="n">
        <f aca="false">MAX(-G195,0)</f>
        <v>0</v>
      </c>
      <c r="K195" s="29" t="n">
        <f aca="false">(K194*13+I195)/14</f>
        <v>0.647572328021136</v>
      </c>
      <c r="L195" s="29" t="n">
        <f aca="false">(L194*13+J195)/14</f>
        <v>1.16626295766867</v>
      </c>
      <c r="M195" s="31" t="n">
        <f aca="false">IF(L195=0,100,100-100/(1+K195/MAX(L195,0.000001)))</f>
        <v>35.701826573236</v>
      </c>
      <c r="N195" s="30" t="n">
        <f aca="false">AVERAGE(E176:E195)</f>
        <v>232.392</v>
      </c>
      <c r="O195" s="30" t="n">
        <f aca="false">AVERAGE(E146:E195)</f>
        <v>239.395</v>
      </c>
      <c r="Q195" s="30" t="n">
        <f aca="false">Q194+(2/13)*(E195-Q194)</f>
        <v>229.117568970574</v>
      </c>
      <c r="R195" s="30" t="n">
        <f aca="false">R194+(2/27)*(E195-R194)</f>
        <v>232.621301751204</v>
      </c>
      <c r="S195" s="33" t="n">
        <f aca="false">Q195-R195</f>
        <v>-3.50373278062946</v>
      </c>
      <c r="T195" s="33" t="n">
        <f aca="false">T194+(2/10)*(S195-T194)</f>
        <v>-2.76812442160867</v>
      </c>
      <c r="U195" s="33" t="n">
        <f aca="false">S195-T195</f>
        <v>-0.735608359020795</v>
      </c>
      <c r="V195" s="32" t="str">
        <f aca="false">IF(M195="","",IF(M195&lt;Assumptions!$B$5,"BUY",IF(M195&gt;Assumptions!$B$4,"SELL","HOLD")))</f>
        <v>HOLD</v>
      </c>
      <c r="W195" s="32" t="str">
        <f aca="false">IF(O195="","",IF(E195&gt;O195,"BUY","SELL"))</f>
        <v>SELL</v>
      </c>
      <c r="X195" s="32" t="str">
        <f aca="false">IF(T195="","",IF(S195&gt;T195,"BUY","SELL"))</f>
        <v>SELL</v>
      </c>
      <c r="Y195" s="34" t="n">
        <f aca="false">IF(OR(V195="",W195="",X195=""),"",IFERROR(IF(V195="BUY",1,IF(V195="SELL",-1,0))+IF(W195="BUY",1,IF(W195="SELL",-1,0))+IF(X195="BUY",1,IF(X195="SELL",-1,0)),0))</f>
        <v>-2</v>
      </c>
      <c r="Z195" s="32" t="str">
        <f aca="false">IF(Y195="","",IF(Y195&gt;=2,"STRONG BUY",IF(Y195=1,"BUY",IF(Y195=0,"HOLD",IF(Y195=-1,"SELL","STRONG SELL")))))</f>
        <v>STRONG SELL</v>
      </c>
    </row>
    <row r="196" customFormat="false" ht="15" hidden="false" customHeight="false" outlineLevel="0" collapsed="false">
      <c r="A196" s="24" t="n">
        <v>46042</v>
      </c>
      <c r="B196" s="25" t="n">
        <v>226.94</v>
      </c>
      <c r="C196" s="25" t="n">
        <v>227.12</v>
      </c>
      <c r="D196" s="25" t="n">
        <v>226.94</v>
      </c>
      <c r="E196" s="25" t="n">
        <v>227.03</v>
      </c>
      <c r="F196" s="26" t="n">
        <v>2352953</v>
      </c>
      <c r="G196" s="27" t="n">
        <f aca="false">E196-E195</f>
        <v>0.969999999999999</v>
      </c>
      <c r="H196" s="28" t="n">
        <f aca="false">G196/E195</f>
        <v>0.00429089622224188</v>
      </c>
      <c r="I196" s="29" t="n">
        <f aca="false">MAX(G196,0)</f>
        <v>0.969999999999999</v>
      </c>
      <c r="J196" s="29" t="n">
        <f aca="false">MAX(-G196,0)</f>
        <v>0</v>
      </c>
      <c r="K196" s="29" t="n">
        <f aca="false">(K195*13+I196)/14</f>
        <v>0.670602876019626</v>
      </c>
      <c r="L196" s="29" t="n">
        <f aca="false">(L195*13+J196)/14</f>
        <v>1.08295846069234</v>
      </c>
      <c r="M196" s="31" t="n">
        <f aca="false">IF(L196=0,100,100-100/(1+K196/MAX(L196,0.000001)))</f>
        <v>38.24233928863</v>
      </c>
      <c r="N196" s="30" t="n">
        <f aca="false">AVERAGE(E177:E196)</f>
        <v>231.939</v>
      </c>
      <c r="O196" s="30" t="n">
        <f aca="false">AVERAGE(E147:E196)</f>
        <v>238.8944</v>
      </c>
      <c r="Q196" s="30" t="n">
        <f aca="false">Q195+(2/13)*(E196-Q195)</f>
        <v>228.796404513563</v>
      </c>
      <c r="R196" s="30" t="n">
        <f aca="false">R195+(2/27)*(E196-R195)</f>
        <v>232.207131251114</v>
      </c>
      <c r="S196" s="33" t="n">
        <f aca="false">Q196-R196</f>
        <v>-3.41072673755173</v>
      </c>
      <c r="T196" s="33" t="n">
        <f aca="false">T195+(2/10)*(S196-T195)</f>
        <v>-2.89664488479728</v>
      </c>
      <c r="U196" s="33" t="n">
        <f aca="false">S196-T196</f>
        <v>-0.514081852754448</v>
      </c>
      <c r="V196" s="32" t="str">
        <f aca="false">IF(M196="","",IF(M196&lt;Assumptions!$B$5,"BUY",IF(M196&gt;Assumptions!$B$4,"SELL","HOLD")))</f>
        <v>HOLD</v>
      </c>
      <c r="W196" s="32" t="str">
        <f aca="false">IF(O196="","",IF(E196&gt;O196,"BUY","SELL"))</f>
        <v>SELL</v>
      </c>
      <c r="X196" s="32" t="str">
        <f aca="false">IF(T196="","",IF(S196&gt;T196,"BUY","SELL"))</f>
        <v>SELL</v>
      </c>
      <c r="Y196" s="34" t="n">
        <f aca="false">IF(OR(V196="",W196="",X196=""),"",IFERROR(IF(V196="BUY",1,IF(V196="SELL",-1,0))+IF(W196="BUY",1,IF(W196="SELL",-1,0))+IF(X196="BUY",1,IF(X196="SELL",-1,0)),0))</f>
        <v>-2</v>
      </c>
      <c r="Z196" s="32" t="str">
        <f aca="false">IF(Y196="","",IF(Y196&gt;=2,"STRONG BUY",IF(Y196=1,"BUY",IF(Y196=0,"HOLD",IF(Y196=-1,"SELL","STRONG SELL")))))</f>
        <v>STRONG SELL</v>
      </c>
    </row>
    <row r="197" customFormat="false" ht="15" hidden="false" customHeight="false" outlineLevel="0" collapsed="false">
      <c r="A197" s="24" t="n">
        <v>46043</v>
      </c>
      <c r="B197" s="25" t="n">
        <v>231.1</v>
      </c>
      <c r="C197" s="25" t="n">
        <v>231.29</v>
      </c>
      <c r="D197" s="25" t="n">
        <v>230.39</v>
      </c>
      <c r="E197" s="25" t="n">
        <v>230.84</v>
      </c>
      <c r="F197" s="26" t="n">
        <v>4695388</v>
      </c>
      <c r="G197" s="27" t="n">
        <f aca="false">E197-E196</f>
        <v>3.81</v>
      </c>
      <c r="H197" s="28" t="n">
        <f aca="false">G197/E196</f>
        <v>0.0167819230938643</v>
      </c>
      <c r="I197" s="29" t="n">
        <f aca="false">MAX(G197,0)</f>
        <v>3.81</v>
      </c>
      <c r="J197" s="29" t="n">
        <f aca="false">MAX(-G197,0)</f>
        <v>0</v>
      </c>
      <c r="K197" s="29" t="n">
        <f aca="false">(K196*13+I197)/14</f>
        <v>0.89484552773251</v>
      </c>
      <c r="L197" s="29" t="n">
        <f aca="false">(L196*13+J197)/14</f>
        <v>1.0056042849286</v>
      </c>
      <c r="M197" s="31" t="n">
        <f aca="false">IF(L197=0,100,100-100/(1+K197/MAX(L197,0.000001)))</f>
        <v>47.0859857372134</v>
      </c>
      <c r="N197" s="30" t="n">
        <f aca="false">AVERAGE(E178:E197)</f>
        <v>231.6775</v>
      </c>
      <c r="O197" s="30" t="n">
        <f aca="false">AVERAGE(E148:E197)</f>
        <v>238.4964</v>
      </c>
      <c r="Q197" s="30" t="n">
        <f aca="false">Q196+(2/13)*(E197-Q196)</f>
        <v>229.110803819168</v>
      </c>
      <c r="R197" s="30" t="n">
        <f aca="false">R196+(2/27)*(E197-R196)</f>
        <v>232.10586226955</v>
      </c>
      <c r="S197" s="33" t="n">
        <f aca="false">Q197-R197</f>
        <v>-2.99505845038195</v>
      </c>
      <c r="T197" s="33" t="n">
        <f aca="false">T196+(2/10)*(S197-T196)</f>
        <v>-2.91632759791421</v>
      </c>
      <c r="U197" s="33" t="n">
        <f aca="false">S197-T197</f>
        <v>-0.0787308524677344</v>
      </c>
      <c r="V197" s="32" t="str">
        <f aca="false">IF(M197="","",IF(M197&lt;Assumptions!$B$5,"BUY",IF(M197&gt;Assumptions!$B$4,"SELL","HOLD")))</f>
        <v>HOLD</v>
      </c>
      <c r="W197" s="32" t="str">
        <f aca="false">IF(O197="","",IF(E197&gt;O197,"BUY","SELL"))</f>
        <v>SELL</v>
      </c>
      <c r="X197" s="32" t="str">
        <f aca="false">IF(T197="","",IF(S197&gt;T197,"BUY","SELL"))</f>
        <v>SELL</v>
      </c>
      <c r="Y197" s="34" t="n">
        <f aca="false">IF(OR(V197="",W197="",X197=""),"",IFERROR(IF(V197="BUY",1,IF(V197="SELL",-1,0))+IF(W197="BUY",1,IF(W197="SELL",-1,0))+IF(X197="BUY",1,IF(X197="SELL",-1,0)),0))</f>
        <v>-2</v>
      </c>
      <c r="Z197" s="32" t="str">
        <f aca="false">IF(Y197="","",IF(Y197&gt;=2,"STRONG BUY",IF(Y197=1,"BUY",IF(Y197=0,"HOLD",IF(Y197=-1,"SELL","STRONG SELL")))))</f>
        <v>STRONG SELL</v>
      </c>
    </row>
    <row r="198" customFormat="false" ht="15" hidden="false" customHeight="false" outlineLevel="0" collapsed="false">
      <c r="A198" s="24" t="n">
        <v>46044</v>
      </c>
      <c r="B198" s="25" t="n">
        <v>227.93</v>
      </c>
      <c r="C198" s="25" t="n">
        <v>229.86</v>
      </c>
      <c r="D198" s="25" t="n">
        <v>224.98</v>
      </c>
      <c r="E198" s="25" t="n">
        <v>227.42</v>
      </c>
      <c r="F198" s="26" t="n">
        <v>16943516</v>
      </c>
      <c r="G198" s="27" t="n">
        <f aca="false">E198-E197</f>
        <v>-3.42000000000002</v>
      </c>
      <c r="H198" s="28" t="n">
        <f aca="false">G198/E197</f>
        <v>-0.0148154565933115</v>
      </c>
      <c r="I198" s="29" t="n">
        <f aca="false">MAX(G198,0)</f>
        <v>0</v>
      </c>
      <c r="J198" s="29" t="n">
        <f aca="false">MAX(-G198,0)</f>
        <v>3.42000000000002</v>
      </c>
      <c r="K198" s="29" t="n">
        <f aca="false">(K197*13+I198)/14</f>
        <v>0.83092799003733</v>
      </c>
      <c r="L198" s="29" t="n">
        <f aca="false">(L197*13+J198)/14</f>
        <v>1.17806112171942</v>
      </c>
      <c r="M198" s="31" t="n">
        <f aca="false">IF(L198=0,100,100-100/(1+K198/MAX(L198,0.000001)))</f>
        <v>41.3605024126154</v>
      </c>
      <c r="N198" s="30" t="n">
        <f aca="false">AVERAGE(E179:E198)</f>
        <v>231.275</v>
      </c>
      <c r="O198" s="30" t="n">
        <f aca="false">AVERAGE(E149:E198)</f>
        <v>238.0172</v>
      </c>
      <c r="Q198" s="30" t="n">
        <f aca="false">Q197+(2/13)*(E198-Q197)</f>
        <v>228.850680154681</v>
      </c>
      <c r="R198" s="30" t="n">
        <f aca="false">R197+(2/27)*(E198-R197)</f>
        <v>231.758761360695</v>
      </c>
      <c r="S198" s="33" t="n">
        <f aca="false">Q198-R198</f>
        <v>-2.9080812060138</v>
      </c>
      <c r="T198" s="33" t="n">
        <f aca="false">T197+(2/10)*(S198-T197)</f>
        <v>-2.91467831953413</v>
      </c>
      <c r="U198" s="33" t="n">
        <f aca="false">S198-T198</f>
        <v>0.00659711352032666</v>
      </c>
      <c r="V198" s="32" t="str">
        <f aca="false">IF(M198="","",IF(M198&lt;Assumptions!$B$5,"BUY",IF(M198&gt;Assumptions!$B$4,"SELL","HOLD")))</f>
        <v>HOLD</v>
      </c>
      <c r="W198" s="32" t="str">
        <f aca="false">IF(O198="","",IF(E198&gt;O198,"BUY","SELL"))</f>
        <v>SELL</v>
      </c>
      <c r="X198" s="32" t="str">
        <f aca="false">IF(T198="","",IF(S198&gt;T198,"BUY","SELL"))</f>
        <v>BUY</v>
      </c>
      <c r="Y198" s="34" t="n">
        <f aca="false">IF(OR(V198="",W198="",X198=""),"",IFERROR(IF(V198="BUY",1,IF(V198="SELL",-1,0))+IF(W198="BUY",1,IF(W198="SELL",-1,0))+IF(X198="BUY",1,IF(X198="SELL",-1,0)),0))</f>
        <v>0</v>
      </c>
      <c r="Z198" s="32" t="str">
        <f aca="false">IF(Y198="","",IF(Y198&gt;=2,"STRONG BUY",IF(Y198=1,"BUY",IF(Y198=0,"HOLD",IF(Y198=-1,"SELL","STRONG SELL")))))</f>
        <v>HOLD</v>
      </c>
    </row>
    <row r="199" customFormat="false" ht="15" hidden="false" customHeight="false" outlineLevel="0" collapsed="false">
      <c r="A199" s="24" t="n">
        <v>46045</v>
      </c>
      <c r="B199" s="25" t="n">
        <v>230.08</v>
      </c>
      <c r="C199" s="25" t="n">
        <v>232.21</v>
      </c>
      <c r="D199" s="25" t="n">
        <v>229.79</v>
      </c>
      <c r="E199" s="25" t="n">
        <v>231</v>
      </c>
      <c r="F199" s="26" t="n">
        <v>7670563</v>
      </c>
      <c r="G199" s="27" t="n">
        <f aca="false">E199-E198</f>
        <v>3.58000000000001</v>
      </c>
      <c r="H199" s="28" t="n">
        <f aca="false">G199/E198</f>
        <v>0.0157417993140446</v>
      </c>
      <c r="I199" s="29" t="n">
        <f aca="false">MAX(G199,0)</f>
        <v>3.58000000000001</v>
      </c>
      <c r="J199" s="29" t="n">
        <f aca="false">MAX(-G199,0)</f>
        <v>0</v>
      </c>
      <c r="K199" s="29" t="n">
        <f aca="false">(K198*13+I199)/14</f>
        <v>1.02729027646324</v>
      </c>
      <c r="L199" s="29" t="n">
        <f aca="false">(L198*13+J199)/14</f>
        <v>1.09391389873946</v>
      </c>
      <c r="M199" s="31" t="n">
        <f aca="false">IF(L199=0,100,100-100/(1+K199/MAX(L199,0.000001)))</f>
        <v>48.4295801635914</v>
      </c>
      <c r="N199" s="30" t="n">
        <f aca="false">AVERAGE(E180:E199)</f>
        <v>231.124</v>
      </c>
      <c r="O199" s="30" t="n">
        <f aca="false">AVERAGE(E150:E199)</f>
        <v>237.5688</v>
      </c>
      <c r="Q199" s="30" t="n">
        <f aca="false">Q198+(2/13)*(E199-Q198)</f>
        <v>229.181344746269</v>
      </c>
      <c r="R199" s="30" t="n">
        <f aca="false">R198+(2/27)*(E199-R198)</f>
        <v>231.702556815458</v>
      </c>
      <c r="S199" s="33" t="n">
        <f aca="false">Q199-R199</f>
        <v>-2.5212120691896</v>
      </c>
      <c r="T199" s="33" t="n">
        <f aca="false">T198+(2/10)*(S199-T198)</f>
        <v>-2.83598506946523</v>
      </c>
      <c r="U199" s="33" t="n">
        <f aca="false">S199-T199</f>
        <v>0.314773000275623</v>
      </c>
      <c r="V199" s="32" t="str">
        <f aca="false">IF(M199="","",IF(M199&lt;Assumptions!$B$5,"BUY",IF(M199&gt;Assumptions!$B$4,"SELL","HOLD")))</f>
        <v>HOLD</v>
      </c>
      <c r="W199" s="32" t="str">
        <f aca="false">IF(O199="","",IF(E199&gt;O199,"BUY","SELL"))</f>
        <v>SELL</v>
      </c>
      <c r="X199" s="32" t="str">
        <f aca="false">IF(T199="","",IF(S199&gt;T199,"BUY","SELL"))</f>
        <v>BUY</v>
      </c>
      <c r="Y199" s="34" t="n">
        <f aca="false">IF(OR(V199="",W199="",X199=""),"",IFERROR(IF(V199="BUY",1,IF(V199="SELL",-1,0))+IF(W199="BUY",1,IF(W199="SELL",-1,0))+IF(X199="BUY",1,IF(X199="SELL",-1,0)),0))</f>
        <v>0</v>
      </c>
      <c r="Z199" s="32" t="str">
        <f aca="false">IF(Y199="","",IF(Y199&gt;=2,"STRONG BUY",IF(Y199=1,"BUY",IF(Y199=0,"HOLD",IF(Y199=-1,"SELL","STRONG SELL")))))</f>
        <v>HOLD</v>
      </c>
    </row>
    <row r="200" customFormat="false" ht="15" hidden="false" customHeight="false" outlineLevel="0" collapsed="false">
      <c r="A200" s="24" t="n">
        <v>46048</v>
      </c>
      <c r="B200" s="25" t="n">
        <v>230.57</v>
      </c>
      <c r="C200" s="25" t="n">
        <v>230.89</v>
      </c>
      <c r="D200" s="25" t="n">
        <v>230.57</v>
      </c>
      <c r="E200" s="25" t="n">
        <v>230.73</v>
      </c>
      <c r="F200" s="26" t="n">
        <v>4068386</v>
      </c>
      <c r="G200" s="27" t="n">
        <f aca="false">E200-E199</f>
        <v>-0.27000000000001</v>
      </c>
      <c r="H200" s="28" t="n">
        <f aca="false">G200/E199</f>
        <v>-0.00116883116883121</v>
      </c>
      <c r="I200" s="29" t="n">
        <f aca="false">MAX(G200,0)</f>
        <v>0</v>
      </c>
      <c r="J200" s="29" t="n">
        <f aca="false">MAX(-G200,0)</f>
        <v>0.27000000000001</v>
      </c>
      <c r="K200" s="29" t="n">
        <f aca="false">(K199*13+I200)/14</f>
        <v>0.953912399573005</v>
      </c>
      <c r="L200" s="29" t="n">
        <f aca="false">(L199*13+J200)/14</f>
        <v>1.03506290597235</v>
      </c>
      <c r="M200" s="31" t="n">
        <f aca="false">IF(L200=0,100,100-100/(1+K200/MAX(L200,0.000001)))</f>
        <v>47.95999210817</v>
      </c>
      <c r="N200" s="30" t="n">
        <f aca="false">AVERAGE(E181:E200)</f>
        <v>230.7595</v>
      </c>
      <c r="O200" s="30" t="n">
        <f aca="false">AVERAGE(E151:E200)</f>
        <v>237.1384</v>
      </c>
      <c r="Q200" s="30" t="n">
        <f aca="false">Q199+(2/13)*(E200-Q199)</f>
        <v>229.419599400689</v>
      </c>
      <c r="R200" s="30" t="n">
        <f aca="false">R199+(2/27)*(E200-R199)</f>
        <v>231.630515569869</v>
      </c>
      <c r="S200" s="33" t="n">
        <f aca="false">Q200-R200</f>
        <v>-2.21091616917988</v>
      </c>
      <c r="T200" s="33" t="n">
        <f aca="false">T199+(2/10)*(S200-T199)</f>
        <v>-2.71097128940816</v>
      </c>
      <c r="U200" s="33" t="n">
        <f aca="false">S200-T200</f>
        <v>0.500055120228275</v>
      </c>
      <c r="V200" s="32" t="str">
        <f aca="false">IF(M200="","",IF(M200&lt;Assumptions!$B$5,"BUY",IF(M200&gt;Assumptions!$B$4,"SELL","HOLD")))</f>
        <v>HOLD</v>
      </c>
      <c r="W200" s="32" t="str">
        <f aca="false">IF(O200="","",IF(E200&gt;O200,"BUY","SELL"))</f>
        <v>SELL</v>
      </c>
      <c r="X200" s="32" t="str">
        <f aca="false">IF(T200="","",IF(S200&gt;T200,"BUY","SELL"))</f>
        <v>BUY</v>
      </c>
      <c r="Y200" s="34" t="n">
        <f aca="false">IF(OR(V200="",W200="",X200=""),"",IFERROR(IF(V200="BUY",1,IF(V200="SELL",-1,0))+IF(W200="BUY",1,IF(W200="SELL",-1,0))+IF(X200="BUY",1,IF(X200="SELL",-1,0)),0))</f>
        <v>0</v>
      </c>
      <c r="Z200" s="32" t="str">
        <f aca="false">IF(Y200="","",IF(Y200&gt;=2,"STRONG BUY",IF(Y200=1,"BUY",IF(Y200=0,"HOLD",IF(Y200=-1,"SELL","STRONG SELL")))))</f>
        <v>HOLD</v>
      </c>
    </row>
    <row r="201" customFormat="false" ht="15" hidden="false" customHeight="false" outlineLevel="0" collapsed="false">
      <c r="A201" s="24" t="n">
        <v>46049</v>
      </c>
      <c r="B201" s="25" t="n">
        <v>232.53</v>
      </c>
      <c r="C201" s="25" t="n">
        <v>232.53</v>
      </c>
      <c r="D201" s="25" t="n">
        <v>232.13</v>
      </c>
      <c r="E201" s="25" t="n">
        <v>232.33</v>
      </c>
      <c r="F201" s="26" t="n">
        <v>8708058</v>
      </c>
      <c r="G201" s="27" t="n">
        <f aca="false">E201-E200</f>
        <v>1.60000000000002</v>
      </c>
      <c r="H201" s="28" t="n">
        <f aca="false">G201/E200</f>
        <v>0.0069345122004075</v>
      </c>
      <c r="I201" s="29" t="n">
        <f aca="false">MAX(G201,0)</f>
        <v>1.60000000000002</v>
      </c>
      <c r="J201" s="29" t="n">
        <f aca="false">MAX(-G201,0)</f>
        <v>0</v>
      </c>
      <c r="K201" s="29" t="n">
        <f aca="false">(K200*13+I201)/14</f>
        <v>1.00006151388922</v>
      </c>
      <c r="L201" s="29" t="n">
        <f aca="false">(L200*13+J201)/14</f>
        <v>0.961129841260043</v>
      </c>
      <c r="M201" s="31" t="n">
        <f aca="false">IF(L201=0,100,100-100/(1+K201/MAX(L201,0.000001)))</f>
        <v>50.9925516071382</v>
      </c>
      <c r="N201" s="30" t="n">
        <f aca="false">AVERAGE(E182:E201)</f>
        <v>230.5035</v>
      </c>
      <c r="O201" s="30" t="n">
        <f aca="false">AVERAGE(E152:E201)</f>
        <v>236.7614</v>
      </c>
      <c r="Q201" s="30" t="n">
        <f aca="false">Q200+(2/13)*(E201-Q200)</f>
        <v>229.867353339044</v>
      </c>
      <c r="R201" s="30" t="n">
        <f aca="false">R200+(2/27)*(E201-R200)</f>
        <v>231.68232923136</v>
      </c>
      <c r="S201" s="33" t="n">
        <f aca="false">Q201-R201</f>
        <v>-1.81497589231554</v>
      </c>
      <c r="T201" s="33" t="n">
        <f aca="false">T200+(2/10)*(S201-T200)</f>
        <v>-2.53177220998963</v>
      </c>
      <c r="U201" s="33" t="n">
        <f aca="false">S201-T201</f>
        <v>0.716796317674089</v>
      </c>
      <c r="V201" s="32" t="str">
        <f aca="false">IF(M201="","",IF(M201&lt;Assumptions!$B$5,"BUY",IF(M201&gt;Assumptions!$B$4,"SELL","HOLD")))</f>
        <v>HOLD</v>
      </c>
      <c r="W201" s="32" t="str">
        <f aca="false">IF(O201="","",IF(E201&gt;O201,"BUY","SELL"))</f>
        <v>SELL</v>
      </c>
      <c r="X201" s="32" t="str">
        <f aca="false">IF(T201="","",IF(S201&gt;T201,"BUY","SELL"))</f>
        <v>BUY</v>
      </c>
      <c r="Y201" s="34" t="n">
        <f aca="false">IF(OR(V201="",W201="",X201=""),"",IFERROR(IF(V201="BUY",1,IF(V201="SELL",-1,0))+IF(W201="BUY",1,IF(W201="SELL",-1,0))+IF(X201="BUY",1,IF(X201="SELL",-1,0)),0))</f>
        <v>0</v>
      </c>
      <c r="Z201" s="32" t="str">
        <f aca="false">IF(Y201="","",IF(Y201&gt;=2,"STRONG BUY",IF(Y201=1,"BUY",IF(Y201=0,"HOLD",IF(Y201=-1,"SELL","STRONG SELL")))))</f>
        <v>HOLD</v>
      </c>
    </row>
    <row r="202" customFormat="false" ht="15" hidden="false" customHeight="false" outlineLevel="0" collapsed="false">
      <c r="A202" s="24" t="n">
        <v>46050</v>
      </c>
      <c r="B202" s="25" t="n">
        <v>235.12</v>
      </c>
      <c r="C202" s="25" t="n">
        <v>235.6</v>
      </c>
      <c r="D202" s="25" t="n">
        <v>233.68</v>
      </c>
      <c r="E202" s="25" t="n">
        <v>234.64</v>
      </c>
      <c r="F202" s="26" t="n">
        <v>9459524</v>
      </c>
      <c r="G202" s="27" t="n">
        <f aca="false">E202-E201</f>
        <v>2.30999999999997</v>
      </c>
      <c r="H202" s="28" t="n">
        <f aca="false">G202/E201</f>
        <v>0.00994275384151842</v>
      </c>
      <c r="I202" s="29" t="n">
        <f aca="false">MAX(G202,0)</f>
        <v>2.30999999999997</v>
      </c>
      <c r="J202" s="29" t="n">
        <f aca="false">MAX(-G202,0)</f>
        <v>0</v>
      </c>
      <c r="K202" s="29" t="n">
        <f aca="false">(K201*13+I202)/14</f>
        <v>1.09362854861142</v>
      </c>
      <c r="L202" s="29" t="n">
        <f aca="false">(L201*13+J202)/14</f>
        <v>0.892477709741469</v>
      </c>
      <c r="M202" s="31" t="n">
        <f aca="false">IF(L202=0,100,100-100/(1+K202/MAX(L202,0.000001)))</f>
        <v>55.0639495753054</v>
      </c>
      <c r="N202" s="30" t="n">
        <f aca="false">AVERAGE(E183:E202)</f>
        <v>230.5535</v>
      </c>
      <c r="O202" s="30" t="n">
        <f aca="false">AVERAGE(E153:E202)</f>
        <v>236.3318</v>
      </c>
      <c r="P202" s="30" t="n">
        <f aca="false">AVERAGE(E3:E202)</f>
        <v>226.1814</v>
      </c>
      <c r="Q202" s="30" t="n">
        <f aca="false">Q201+(2/13)*(E202-Q201)</f>
        <v>230.601606671499</v>
      </c>
      <c r="R202" s="30" t="n">
        <f aca="false">R201+(2/27)*(E202-R201)</f>
        <v>231.901415954963</v>
      </c>
      <c r="S202" s="33" t="n">
        <f aca="false">Q202-R202</f>
        <v>-1.29980928346379</v>
      </c>
      <c r="T202" s="33" t="n">
        <f aca="false">T201+(2/10)*(S202-T201)</f>
        <v>-2.28537962468446</v>
      </c>
      <c r="U202" s="33" t="n">
        <f aca="false">S202-T202</f>
        <v>0.985570341220677</v>
      </c>
      <c r="V202" s="32" t="str">
        <f aca="false">IF(M202="","",IF(M202&lt;Assumptions!$B$5,"BUY",IF(M202&gt;Assumptions!$B$4,"SELL","HOLD")))</f>
        <v>HOLD</v>
      </c>
      <c r="W202" s="32" t="str">
        <f aca="false">IF(O202="","",IF(E202&gt;O202,"BUY","SELL"))</f>
        <v>SELL</v>
      </c>
      <c r="X202" s="32" t="str">
        <f aca="false">IF(T202="","",IF(S202&gt;T202,"BUY","SELL"))</f>
        <v>BUY</v>
      </c>
      <c r="Y202" s="34" t="n">
        <f aca="false">IF(OR(V202="",W202="",X202=""),"",IFERROR(IF(V202="BUY",1,IF(V202="SELL",-1,0))+IF(W202="BUY",1,IF(W202="SELL",-1,0))+IF(X202="BUY",1,IF(X202="SELL",-1,0)),0))</f>
        <v>0</v>
      </c>
      <c r="Z202" s="32" t="str">
        <f aca="false">IF(Y202="","",IF(Y202&gt;=2,"STRONG BUY",IF(Y202=1,"BUY",IF(Y202=0,"HOLD",IF(Y202=-1,"SELL","STRONG SELL")))))</f>
        <v>HOLD</v>
      </c>
    </row>
    <row r="203" customFormat="false" ht="15" hidden="false" customHeight="false" outlineLevel="0" collapsed="false">
      <c r="A203" s="24" t="n">
        <v>46051</v>
      </c>
      <c r="B203" s="25" t="n">
        <v>236.01</v>
      </c>
      <c r="C203" s="25" t="n">
        <v>238.56</v>
      </c>
      <c r="D203" s="25" t="n">
        <v>235.76</v>
      </c>
      <c r="E203" s="25" t="n">
        <v>237.16</v>
      </c>
      <c r="F203" s="26" t="n">
        <v>9806494</v>
      </c>
      <c r="G203" s="27" t="n">
        <f aca="false">E203-E202</f>
        <v>2.52000000000001</v>
      </c>
      <c r="H203" s="28" t="n">
        <f aca="false">G203/E202</f>
        <v>0.0107398568019094</v>
      </c>
      <c r="I203" s="29" t="n">
        <f aca="false">MAX(G203,0)</f>
        <v>2.52000000000001</v>
      </c>
      <c r="J203" s="29" t="n">
        <f aca="false">MAX(-G203,0)</f>
        <v>0</v>
      </c>
      <c r="K203" s="29" t="n">
        <f aca="false">(K202*13+I203)/14</f>
        <v>1.1955122237106</v>
      </c>
      <c r="L203" s="29" t="n">
        <f aca="false">(L202*13+J203)/14</f>
        <v>0.828729301902792</v>
      </c>
      <c r="M203" s="31" t="n">
        <f aca="false">IF(L203=0,100,100-100/(1+K203/MAX(L203,0.000001)))</f>
        <v>59.0597618210768</v>
      </c>
      <c r="N203" s="30" t="n">
        <f aca="false">AVERAGE(E184:E203)</f>
        <v>230.6795</v>
      </c>
      <c r="O203" s="30" t="n">
        <f aca="false">AVERAGE(E154:E203)</f>
        <v>235.8728</v>
      </c>
      <c r="P203" s="30" t="n">
        <f aca="false">AVERAGE(E4:E203)</f>
        <v>226.2922</v>
      </c>
      <c r="Q203" s="30" t="n">
        <f aca="false">Q202+(2/13)*(E203-Q202)</f>
        <v>231.610590260499</v>
      </c>
      <c r="R203" s="30" t="n">
        <f aca="false">R202+(2/27)*(E203-R202)</f>
        <v>232.29094069904</v>
      </c>
      <c r="S203" s="33" t="n">
        <f aca="false">Q203-R203</f>
        <v>-0.680350438540472</v>
      </c>
      <c r="T203" s="33" t="n">
        <f aca="false">T202+(2/10)*(S203-T202)</f>
        <v>-1.96437378745567</v>
      </c>
      <c r="U203" s="33" t="n">
        <f aca="false">S203-T203</f>
        <v>1.28402334891519</v>
      </c>
      <c r="V203" s="32" t="str">
        <f aca="false">IF(M203="","",IF(M203&lt;Assumptions!$B$5,"BUY",IF(M203&gt;Assumptions!$B$4,"SELL","HOLD")))</f>
        <v>HOLD</v>
      </c>
      <c r="W203" s="32" t="str">
        <f aca="false">IF(O203="","",IF(E203&gt;O203,"BUY","SELL"))</f>
        <v>BUY</v>
      </c>
      <c r="X203" s="32" t="str">
        <f aca="false">IF(T203="","",IF(S203&gt;T203,"BUY","SELL"))</f>
        <v>BUY</v>
      </c>
      <c r="Y203" s="34" t="n">
        <f aca="false">IF(OR(V203="",W203="",X203=""),"",IFERROR(IF(V203="BUY",1,IF(V203="SELL",-1,0))+IF(W203="BUY",1,IF(W203="SELL",-1,0))+IF(X203="BUY",1,IF(X203="SELL",-1,0)),0))</f>
        <v>2</v>
      </c>
      <c r="Z203" s="32" t="str">
        <f aca="false">IF(Y203="","",IF(Y203&gt;=2,"STRONG BUY",IF(Y203=1,"BUY",IF(Y203=0,"HOLD",IF(Y203=-1,"SELL","STRONG SELL")))))</f>
        <v>STRONG BUY</v>
      </c>
    </row>
    <row r="204" customFormat="false" ht="15" hidden="false" customHeight="false" outlineLevel="0" collapsed="false">
      <c r="A204" s="24" t="n">
        <v>46052</v>
      </c>
      <c r="B204" s="25" t="n">
        <v>237.73</v>
      </c>
      <c r="C204" s="25" t="n">
        <v>238.96</v>
      </c>
      <c r="D204" s="25" t="n">
        <v>235.72</v>
      </c>
      <c r="E204" s="25" t="n">
        <v>237.34</v>
      </c>
      <c r="F204" s="26" t="n">
        <v>11301846</v>
      </c>
      <c r="G204" s="27" t="n">
        <f aca="false">E204-E203</f>
        <v>0.180000000000007</v>
      </c>
      <c r="H204" s="28" t="n">
        <f aca="false">G204/E203</f>
        <v>0.000758981278461827</v>
      </c>
      <c r="I204" s="29" t="n">
        <f aca="false">MAX(G204,0)</f>
        <v>0.180000000000007</v>
      </c>
      <c r="J204" s="29" t="n">
        <f aca="false">MAX(-G204,0)</f>
        <v>0</v>
      </c>
      <c r="K204" s="29" t="n">
        <f aca="false">(K203*13+I204)/14</f>
        <v>1.1229756363027</v>
      </c>
      <c r="L204" s="29" t="n">
        <f aca="false">(L203*13+J204)/14</f>
        <v>0.769534351766879</v>
      </c>
      <c r="M204" s="31" t="n">
        <f aca="false">IF(L204=0,100,100-100/(1+K204/MAX(L204,0.000001)))</f>
        <v>59.3378974685451</v>
      </c>
      <c r="N204" s="30" t="n">
        <f aca="false">AVERAGE(E185:E204)</f>
        <v>230.7245</v>
      </c>
      <c r="O204" s="30" t="n">
        <f aca="false">AVERAGE(E155:E204)</f>
        <v>235.4548</v>
      </c>
      <c r="P204" s="30" t="n">
        <f aca="false">AVERAGE(E5:E204)</f>
        <v>226.3968</v>
      </c>
      <c r="Q204" s="30" t="n">
        <f aca="false">Q203+(2/13)*(E204-Q203)</f>
        <v>232.49203791273</v>
      </c>
      <c r="R204" s="30" t="n">
        <f aca="false">R203+(2/27)*(E204-R203)</f>
        <v>232.664945091703</v>
      </c>
      <c r="S204" s="33" t="n">
        <f aca="false">Q204-R204</f>
        <v>-0.172907178973304</v>
      </c>
      <c r="T204" s="33" t="n">
        <f aca="false">T203+(2/10)*(S204-T203)</f>
        <v>-1.60608046575919</v>
      </c>
      <c r="U204" s="33" t="n">
        <f aca="false">S204-T204</f>
        <v>1.43317328678589</v>
      </c>
      <c r="V204" s="32" t="str">
        <f aca="false">IF(M204="","",IF(M204&lt;Assumptions!$B$5,"BUY",IF(M204&gt;Assumptions!$B$4,"SELL","HOLD")))</f>
        <v>HOLD</v>
      </c>
      <c r="W204" s="32" t="str">
        <f aca="false">IF(O204="","",IF(E204&gt;O204,"BUY","SELL"))</f>
        <v>BUY</v>
      </c>
      <c r="X204" s="32" t="str">
        <f aca="false">IF(T204="","",IF(S204&gt;T204,"BUY","SELL"))</f>
        <v>BUY</v>
      </c>
      <c r="Y204" s="34" t="n">
        <f aca="false">IF(OR(V204="",W204="",X204=""),"",IFERROR(IF(V204="BUY",1,IF(V204="SELL",-1,0))+IF(W204="BUY",1,IF(W204="SELL",-1,0))+IF(X204="BUY",1,IF(X204="SELL",-1,0)),0))</f>
        <v>2</v>
      </c>
      <c r="Z204" s="32" t="str">
        <f aca="false">IF(Y204="","",IF(Y204&gt;=2,"STRONG BUY",IF(Y204=1,"BUY",IF(Y204=0,"HOLD",IF(Y204=-1,"SELL","STRONG SELL")))))</f>
        <v>STRONG BUY</v>
      </c>
    </row>
    <row r="205" customFormat="false" ht="15" hidden="false" customHeight="false" outlineLevel="0" collapsed="false">
      <c r="A205" s="24" t="n">
        <v>46055</v>
      </c>
      <c r="B205" s="25" t="n">
        <v>237.1</v>
      </c>
      <c r="C205" s="25" t="n">
        <v>240.65</v>
      </c>
      <c r="D205" s="25" t="n">
        <v>236.45</v>
      </c>
      <c r="E205" s="25" t="n">
        <v>238.55</v>
      </c>
      <c r="F205" s="26" t="n">
        <v>9340146</v>
      </c>
      <c r="G205" s="27" t="n">
        <f aca="false">E205-E204</f>
        <v>1.21000000000001</v>
      </c>
      <c r="H205" s="28" t="n">
        <f aca="false">G205/E204</f>
        <v>0.00509817139967982</v>
      </c>
      <c r="I205" s="29" t="n">
        <f aca="false">MAX(G205,0)</f>
        <v>1.21000000000001</v>
      </c>
      <c r="J205" s="29" t="n">
        <f aca="false">MAX(-G205,0)</f>
        <v>0</v>
      </c>
      <c r="K205" s="29" t="n">
        <f aca="false">(K204*13+I205)/14</f>
        <v>1.12919166228108</v>
      </c>
      <c r="L205" s="29" t="n">
        <f aca="false">(L204*13+J205)/14</f>
        <v>0.714567612354959</v>
      </c>
      <c r="M205" s="31" t="n">
        <f aca="false">IF(L205=0,100,100-100/(1+K205/MAX(L205,0.000001)))</f>
        <v>61.2439854711502</v>
      </c>
      <c r="N205" s="30" t="n">
        <f aca="false">AVERAGE(E186:E205)</f>
        <v>230.822</v>
      </c>
      <c r="O205" s="30" t="n">
        <f aca="false">AVERAGE(E156:E205)</f>
        <v>235.1348</v>
      </c>
      <c r="P205" s="30" t="n">
        <f aca="false">AVERAGE(E6:E205)</f>
        <v>226.48985</v>
      </c>
      <c r="Q205" s="30" t="n">
        <f aca="false">Q204+(2/13)*(E205-Q204)</f>
        <v>233.424032080002</v>
      </c>
      <c r="R205" s="30" t="n">
        <f aca="false">R204+(2/27)*(E205-R204)</f>
        <v>233.100875084911</v>
      </c>
      <c r="S205" s="33" t="n">
        <f aca="false">Q205-R205</f>
        <v>0.323156995091836</v>
      </c>
      <c r="T205" s="33" t="n">
        <f aca="false">T204+(2/10)*(S205-T204)</f>
        <v>-1.22023297358899</v>
      </c>
      <c r="U205" s="33" t="n">
        <f aca="false">S205-T205</f>
        <v>1.54338996868082</v>
      </c>
      <c r="V205" s="32" t="str">
        <f aca="false">IF(M205="","",IF(M205&lt;Assumptions!$B$5,"BUY",IF(M205&gt;Assumptions!$B$4,"SELL","HOLD")))</f>
        <v>HOLD</v>
      </c>
      <c r="W205" s="32" t="str">
        <f aca="false">IF(O205="","",IF(E205&gt;O205,"BUY","SELL"))</f>
        <v>BUY</v>
      </c>
      <c r="X205" s="32" t="str">
        <f aca="false">IF(T205="","",IF(S205&gt;T205,"BUY","SELL"))</f>
        <v>BUY</v>
      </c>
      <c r="Y205" s="34" t="n">
        <f aca="false">IF(OR(V205="",W205="",X205=""),"",IFERROR(IF(V205="BUY",1,IF(V205="SELL",-1,0))+IF(W205="BUY",1,IF(W205="SELL",-1,0))+IF(X205="BUY",1,IF(X205="SELL",-1,0)),0))</f>
        <v>2</v>
      </c>
      <c r="Z205" s="32" t="str">
        <f aca="false">IF(Y205="","",IF(Y205&gt;=2,"STRONG BUY",IF(Y205=1,"BUY",IF(Y205=0,"HOLD",IF(Y205=-1,"SELL","STRONG SELL")))))</f>
        <v>STRONG BUY</v>
      </c>
    </row>
    <row r="206" customFormat="false" ht="15" hidden="false" customHeight="false" outlineLevel="0" collapsed="false">
      <c r="A206" s="24" t="n">
        <v>46056</v>
      </c>
      <c r="B206" s="25" t="n">
        <v>239.41</v>
      </c>
      <c r="C206" s="25" t="n">
        <v>240.21</v>
      </c>
      <c r="D206" s="25" t="n">
        <v>236.45</v>
      </c>
      <c r="E206" s="25" t="n">
        <v>238.33</v>
      </c>
      <c r="F206" s="26" t="n">
        <v>11996215</v>
      </c>
      <c r="G206" s="27" t="n">
        <f aca="false">E206-E205</f>
        <v>-0.219999999999999</v>
      </c>
      <c r="H206" s="28" t="n">
        <f aca="false">G206/E205</f>
        <v>-0.000922238524418356</v>
      </c>
      <c r="I206" s="29" t="n">
        <f aca="false">MAX(G206,0)</f>
        <v>0</v>
      </c>
      <c r="J206" s="29" t="n">
        <f aca="false">MAX(-G206,0)</f>
        <v>0.219999999999999</v>
      </c>
      <c r="K206" s="29" t="n">
        <f aca="false">(K205*13+I206)/14</f>
        <v>1.04853511497529</v>
      </c>
      <c r="L206" s="29" t="n">
        <f aca="false">(L205*13+J206)/14</f>
        <v>0.679241354329604</v>
      </c>
      <c r="M206" s="31" t="n">
        <f aca="false">IF(L206=0,100,100-100/(1+K206/MAX(L206,0.000001)))</f>
        <v>60.6869657969777</v>
      </c>
      <c r="N206" s="30" t="n">
        <f aca="false">AVERAGE(E187:E206)</f>
        <v>231.0075</v>
      </c>
      <c r="O206" s="30" t="n">
        <f aca="false">AVERAGE(E157:E206)</f>
        <v>234.8812</v>
      </c>
      <c r="P206" s="30" t="n">
        <f aca="false">AVERAGE(E7:E206)</f>
        <v>226.5778</v>
      </c>
      <c r="Q206" s="30" t="n">
        <f aca="false">Q205+(2/13)*(E206-Q205)</f>
        <v>234.178796375387</v>
      </c>
      <c r="R206" s="30" t="n">
        <f aca="false">R205+(2/27)*(E206-R205)</f>
        <v>233.488217671214</v>
      </c>
      <c r="S206" s="33" t="n">
        <f aca="false">Q206-R206</f>
        <v>0.690578704173134</v>
      </c>
      <c r="T206" s="33" t="n">
        <f aca="false">T205+(2/10)*(S206-T205)</f>
        <v>-0.838070638036564</v>
      </c>
      <c r="U206" s="33" t="n">
        <f aca="false">S206-T206</f>
        <v>1.5286493422097</v>
      </c>
      <c r="V206" s="32" t="str">
        <f aca="false">IF(M206="","",IF(M206&lt;Assumptions!$B$5,"BUY",IF(M206&gt;Assumptions!$B$4,"SELL","HOLD")))</f>
        <v>HOLD</v>
      </c>
      <c r="W206" s="32" t="str">
        <f aca="false">IF(O206="","",IF(E206&gt;O206,"BUY","SELL"))</f>
        <v>BUY</v>
      </c>
      <c r="X206" s="32" t="str">
        <f aca="false">IF(T206="","",IF(S206&gt;T206,"BUY","SELL"))</f>
        <v>BUY</v>
      </c>
      <c r="Y206" s="34" t="n">
        <f aca="false">IF(OR(V206="",W206="",X206=""),"",IFERROR(IF(V206="BUY",1,IF(V206="SELL",-1,0))+IF(W206="BUY",1,IF(W206="SELL",-1,0))+IF(X206="BUY",1,IF(X206="SELL",-1,0)),0))</f>
        <v>2</v>
      </c>
      <c r="Z206" s="32" t="str">
        <f aca="false">IF(Y206="","",IF(Y206&gt;=2,"STRONG BUY",IF(Y206=1,"BUY",IF(Y206=0,"HOLD",IF(Y206=-1,"SELL","STRONG SELL")))))</f>
        <v>STRONG BUY</v>
      </c>
    </row>
    <row r="207" customFormat="false" ht="15" hidden="false" customHeight="false" outlineLevel="0" collapsed="false">
      <c r="A207" s="24" t="n">
        <v>46057</v>
      </c>
      <c r="B207" s="25" t="n">
        <v>240.93</v>
      </c>
      <c r="C207" s="25" t="n">
        <v>241.12</v>
      </c>
      <c r="D207" s="25" t="n">
        <v>239.42</v>
      </c>
      <c r="E207" s="25" t="n">
        <v>240.27</v>
      </c>
      <c r="F207" s="26" t="n">
        <v>10173586</v>
      </c>
      <c r="G207" s="27" t="n">
        <f aca="false">E207-E206</f>
        <v>1.94</v>
      </c>
      <c r="H207" s="28" t="n">
        <f aca="false">G207/E206</f>
        <v>0.00813997398565014</v>
      </c>
      <c r="I207" s="29" t="n">
        <f aca="false">MAX(G207,0)</f>
        <v>1.94</v>
      </c>
      <c r="J207" s="29" t="n">
        <f aca="false">MAX(-G207,0)</f>
        <v>0</v>
      </c>
      <c r="K207" s="29" t="n">
        <f aca="false">(K206*13+I207)/14</f>
        <v>1.11221117819134</v>
      </c>
      <c r="L207" s="29" t="n">
        <f aca="false">(L206*13+J207)/14</f>
        <v>0.630724114734633</v>
      </c>
      <c r="M207" s="31" t="n">
        <f aca="false">IF(L207=0,100,100-100/(1+K207/MAX(L207,0.000001)))</f>
        <v>63.8125341029846</v>
      </c>
      <c r="N207" s="30" t="n">
        <f aca="false">AVERAGE(E188:E207)</f>
        <v>231.3445</v>
      </c>
      <c r="O207" s="30" t="n">
        <f aca="false">AVERAGE(E158:E207)</f>
        <v>234.727</v>
      </c>
      <c r="P207" s="30" t="n">
        <f aca="false">AVERAGE(E8:E207)</f>
        <v>226.6907</v>
      </c>
      <c r="Q207" s="30" t="n">
        <f aca="false">Q206+(2/13)*(E207-Q206)</f>
        <v>235.115904625327</v>
      </c>
      <c r="R207" s="30" t="n">
        <f aca="false">R206+(2/27)*(E207-R206)</f>
        <v>233.99057191779</v>
      </c>
      <c r="S207" s="33" t="n">
        <f aca="false">Q207-R207</f>
        <v>1.12533270753687</v>
      </c>
      <c r="T207" s="33" t="n">
        <f aca="false">T206+(2/10)*(S207-T206)</f>
        <v>-0.445389968921877</v>
      </c>
      <c r="U207" s="33" t="n">
        <f aca="false">S207-T207</f>
        <v>1.57072267645875</v>
      </c>
      <c r="V207" s="32" t="str">
        <f aca="false">IF(M207="","",IF(M207&lt;Assumptions!$B$5,"BUY",IF(M207&gt;Assumptions!$B$4,"SELL","HOLD")))</f>
        <v>HOLD</v>
      </c>
      <c r="W207" s="32" t="str">
        <f aca="false">IF(O207="","",IF(E207&gt;O207,"BUY","SELL"))</f>
        <v>BUY</v>
      </c>
      <c r="X207" s="32" t="str">
        <f aca="false">IF(T207="","",IF(S207&gt;T207,"BUY","SELL"))</f>
        <v>BUY</v>
      </c>
      <c r="Y207" s="34" t="n">
        <f aca="false">IF(OR(V207="",W207="",X207=""),"",IFERROR(IF(V207="BUY",1,IF(V207="SELL",-1,0))+IF(W207="BUY",1,IF(W207="SELL",-1,0))+IF(X207="BUY",1,IF(X207="SELL",-1,0)),0))</f>
        <v>2</v>
      </c>
      <c r="Z207" s="32" t="str">
        <f aca="false">IF(Y207="","",IF(Y207&gt;=2,"STRONG BUY",IF(Y207=1,"BUY",IF(Y207=0,"HOLD",IF(Y207=-1,"SELL","STRONG SELL")))))</f>
        <v>STRONG BUY</v>
      </c>
    </row>
    <row r="208" customFormat="false" ht="15" hidden="false" customHeight="false" outlineLevel="0" collapsed="false">
      <c r="A208" s="24" t="n">
        <v>46058</v>
      </c>
      <c r="B208" s="25" t="n">
        <v>238.13</v>
      </c>
      <c r="C208" s="25" t="n">
        <v>238.8</v>
      </c>
      <c r="D208" s="25" t="n">
        <v>237.1</v>
      </c>
      <c r="E208" s="25" t="n">
        <v>237.95</v>
      </c>
      <c r="F208" s="26" t="n">
        <v>4271193</v>
      </c>
      <c r="G208" s="27" t="n">
        <f aca="false">E208-E207</f>
        <v>-2.32000000000002</v>
      </c>
      <c r="H208" s="28" t="n">
        <f aca="false">G208/E207</f>
        <v>-0.00965580388729355</v>
      </c>
      <c r="I208" s="29" t="n">
        <f aca="false">MAX(G208,0)</f>
        <v>0</v>
      </c>
      <c r="J208" s="29" t="n">
        <f aca="false">MAX(-G208,0)</f>
        <v>2.32000000000002</v>
      </c>
      <c r="K208" s="29" t="n">
        <f aca="false">(K207*13+I208)/14</f>
        <v>1.03276752260625</v>
      </c>
      <c r="L208" s="29" t="n">
        <f aca="false">(L207*13+J208)/14</f>
        <v>0.751386677967875</v>
      </c>
      <c r="M208" s="31" t="n">
        <f aca="false">IF(L208=0,100,100-100/(1+K208/MAX(L208,0.000001)))</f>
        <v>57.8855528448109</v>
      </c>
      <c r="N208" s="30" t="n">
        <f aca="false">AVERAGE(E189:E208)</f>
        <v>231.6395</v>
      </c>
      <c r="O208" s="30" t="n">
        <f aca="false">AVERAGE(E159:E208)</f>
        <v>234.5414</v>
      </c>
      <c r="P208" s="30" t="n">
        <f aca="false">AVERAGE(E9:E208)</f>
        <v>226.79085</v>
      </c>
      <c r="Q208" s="30" t="n">
        <f aca="false">Q207+(2/13)*(E208-Q207)</f>
        <v>235.551919298354</v>
      </c>
      <c r="R208" s="30" t="n">
        <f aca="false">R207+(2/27)*(E208-R207)</f>
        <v>234.283862886843</v>
      </c>
      <c r="S208" s="33" t="n">
        <f aca="false">Q208-R208</f>
        <v>1.26805641151088</v>
      </c>
      <c r="T208" s="33" t="n">
        <f aca="false">T207+(2/10)*(S208-T207)</f>
        <v>-0.102700692835325</v>
      </c>
      <c r="U208" s="33" t="n">
        <f aca="false">S208-T208</f>
        <v>1.37075710434621</v>
      </c>
      <c r="V208" s="32" t="str">
        <f aca="false">IF(M208="","",IF(M208&lt;Assumptions!$B$5,"BUY",IF(M208&gt;Assumptions!$B$4,"SELL","HOLD")))</f>
        <v>HOLD</v>
      </c>
      <c r="W208" s="32" t="str">
        <f aca="false">IF(O208="","",IF(E208&gt;O208,"BUY","SELL"))</f>
        <v>BUY</v>
      </c>
      <c r="X208" s="32" t="str">
        <f aca="false">IF(T208="","",IF(S208&gt;T208,"BUY","SELL"))</f>
        <v>BUY</v>
      </c>
      <c r="Y208" s="34" t="n">
        <f aca="false">IF(OR(V208="",W208="",X208=""),"",IFERROR(IF(V208="BUY",1,IF(V208="SELL",-1,0))+IF(W208="BUY",1,IF(W208="SELL",-1,0))+IF(X208="BUY",1,IF(X208="SELL",-1,0)),0))</f>
        <v>2</v>
      </c>
      <c r="Z208" s="32" t="str">
        <f aca="false">IF(Y208="","",IF(Y208&gt;=2,"STRONG BUY",IF(Y208=1,"BUY",IF(Y208=0,"HOLD",IF(Y208=-1,"SELL","STRONG SELL")))))</f>
        <v>STRONG BUY</v>
      </c>
    </row>
    <row r="209" customFormat="false" ht="15" hidden="false" customHeight="false" outlineLevel="0" collapsed="false">
      <c r="A209" s="24" t="n">
        <v>46059</v>
      </c>
      <c r="B209" s="25" t="n">
        <v>239.35</v>
      </c>
      <c r="C209" s="25" t="n">
        <v>240.26</v>
      </c>
      <c r="D209" s="25" t="n">
        <v>237.82</v>
      </c>
      <c r="E209" s="25" t="n">
        <v>239.04</v>
      </c>
      <c r="F209" s="26" t="n">
        <v>10943963</v>
      </c>
      <c r="G209" s="27" t="n">
        <f aca="false">E209-E208</f>
        <v>1.09</v>
      </c>
      <c r="H209" s="28" t="n">
        <f aca="false">G209/E208</f>
        <v>0.00458079428451357</v>
      </c>
      <c r="I209" s="29" t="n">
        <f aca="false">MAX(G209,0)</f>
        <v>1.09</v>
      </c>
      <c r="J209" s="29" t="n">
        <f aca="false">MAX(-G209,0)</f>
        <v>0</v>
      </c>
      <c r="K209" s="29" t="n">
        <f aca="false">(K208*13+I209)/14</f>
        <v>1.0368555567058</v>
      </c>
      <c r="L209" s="29" t="n">
        <f aca="false">(L208*13+J209)/14</f>
        <v>0.697716200970169</v>
      </c>
      <c r="M209" s="31" t="n">
        <f aca="false">IF(L209=0,100,100-100/(1+K209/MAX(L209,0.000001)))</f>
        <v>59.7758814022782</v>
      </c>
      <c r="N209" s="30" t="n">
        <f aca="false">AVERAGE(E190:E209)</f>
        <v>232.052</v>
      </c>
      <c r="O209" s="30" t="n">
        <f aca="false">AVERAGE(E160:E209)</f>
        <v>234.3812</v>
      </c>
      <c r="P209" s="30" t="n">
        <f aca="false">AVERAGE(E10:E209)</f>
        <v>226.89535</v>
      </c>
      <c r="Q209" s="30" t="n">
        <f aca="false">Q208+(2/13)*(E209-Q208)</f>
        <v>236.088547098607</v>
      </c>
      <c r="R209" s="30" t="n">
        <f aca="false">R208+(2/27)*(E209-R208)</f>
        <v>234.636169339669</v>
      </c>
      <c r="S209" s="33" t="n">
        <f aca="false">Q209-R209</f>
        <v>1.45237775893767</v>
      </c>
      <c r="T209" s="33" t="n">
        <f aca="false">T208+(2/10)*(S209-T208)</f>
        <v>0.208314997519275</v>
      </c>
      <c r="U209" s="33" t="n">
        <f aca="false">S209-T209</f>
        <v>1.2440627614184</v>
      </c>
      <c r="V209" s="32" t="str">
        <f aca="false">IF(M209="","",IF(M209&lt;Assumptions!$B$5,"BUY",IF(M209&gt;Assumptions!$B$4,"SELL","HOLD")))</f>
        <v>HOLD</v>
      </c>
      <c r="W209" s="32" t="str">
        <f aca="false">IF(O209="","",IF(E209&gt;O209,"BUY","SELL"))</f>
        <v>BUY</v>
      </c>
      <c r="X209" s="32" t="str">
        <f aca="false">IF(T209="","",IF(S209&gt;T209,"BUY","SELL"))</f>
        <v>BUY</v>
      </c>
      <c r="Y209" s="34" t="n">
        <f aca="false">IF(OR(V209="",W209="",X209=""),"",IFERROR(IF(V209="BUY",1,IF(V209="SELL",-1,0))+IF(W209="BUY",1,IF(W209="SELL",-1,0))+IF(X209="BUY",1,IF(X209="SELL",-1,0)),0))</f>
        <v>2</v>
      </c>
      <c r="Z209" s="32" t="str">
        <f aca="false">IF(Y209="","",IF(Y209&gt;=2,"STRONG BUY",IF(Y209=1,"BUY",IF(Y209=0,"HOLD",IF(Y209=-1,"SELL","STRONG SELL")))))</f>
        <v>STRONG BUY</v>
      </c>
    </row>
    <row r="210" customFormat="false" ht="15" hidden="false" customHeight="false" outlineLevel="0" collapsed="false">
      <c r="A210" s="24" t="n">
        <v>46062</v>
      </c>
      <c r="B210" s="25" t="n">
        <v>243.15</v>
      </c>
      <c r="C210" s="25" t="n">
        <v>243.15</v>
      </c>
      <c r="D210" s="25" t="n">
        <v>243.15</v>
      </c>
      <c r="E210" s="25" t="n">
        <v>243.15</v>
      </c>
      <c r="F210" s="26" t="n">
        <v>12170107</v>
      </c>
      <c r="G210" s="27" t="n">
        <f aca="false">E210-E209</f>
        <v>4.11000000000001</v>
      </c>
      <c r="H210" s="28" t="n">
        <f aca="false">G210/E209</f>
        <v>0.0171937751004017</v>
      </c>
      <c r="I210" s="29" t="n">
        <f aca="false">MAX(G210,0)</f>
        <v>4.11000000000001</v>
      </c>
      <c r="J210" s="29" t="n">
        <f aca="false">MAX(-G210,0)</f>
        <v>0</v>
      </c>
      <c r="K210" s="29" t="n">
        <f aca="false">(K209*13+I210)/14</f>
        <v>1.25636587408396</v>
      </c>
      <c r="L210" s="29" t="n">
        <f aca="false">(L209*13+J210)/14</f>
        <v>0.6478793294723</v>
      </c>
      <c r="M210" s="31" t="n">
        <f aca="false">IF(L210=0,100,100-100/(1+K210/MAX(L210,0.000001)))</f>
        <v>65.9771058757371</v>
      </c>
      <c r="N210" s="30" t="n">
        <f aca="false">AVERAGE(E191:E210)</f>
        <v>232.7575</v>
      </c>
      <c r="O210" s="30" t="n">
        <f aca="false">AVERAGE(E161:E210)</f>
        <v>234.3774</v>
      </c>
      <c r="P210" s="30" t="n">
        <f aca="false">AVERAGE(E11:E210)</f>
        <v>227.0306</v>
      </c>
      <c r="Q210" s="30" t="n">
        <f aca="false">Q209+(2/13)*(E210-Q209)</f>
        <v>237.174924468052</v>
      </c>
      <c r="R210" s="30" t="n">
        <f aca="false">R209+(2/27)*(E210-R209)</f>
        <v>235.266823462657</v>
      </c>
      <c r="S210" s="33" t="n">
        <f aca="false">Q210-R210</f>
        <v>1.90810100539528</v>
      </c>
      <c r="T210" s="33" t="n">
        <f aca="false">T209+(2/10)*(S210-T209)</f>
        <v>0.548272199094476</v>
      </c>
      <c r="U210" s="33" t="n">
        <f aca="false">S210-T210</f>
        <v>1.35982880630081</v>
      </c>
      <c r="V210" s="32" t="str">
        <f aca="false">IF(M210="","",IF(M210&lt;Assumptions!$B$5,"BUY",IF(M210&gt;Assumptions!$B$4,"SELL","HOLD")))</f>
        <v>HOLD</v>
      </c>
      <c r="W210" s="32" t="str">
        <f aca="false">IF(O210="","",IF(E210&gt;O210,"BUY","SELL"))</f>
        <v>BUY</v>
      </c>
      <c r="X210" s="32" t="str">
        <f aca="false">IF(T210="","",IF(S210&gt;T210,"BUY","SELL"))</f>
        <v>BUY</v>
      </c>
      <c r="Y210" s="34" t="n">
        <f aca="false">IF(OR(V210="",W210="",X210=""),"",IFERROR(IF(V210="BUY",1,IF(V210="SELL",-1,0))+IF(W210="BUY",1,IF(W210="SELL",-1,0))+IF(X210="BUY",1,IF(X210="SELL",-1,0)),0))</f>
        <v>2</v>
      </c>
      <c r="Z210" s="32" t="str">
        <f aca="false">IF(Y210="","",IF(Y210&gt;=2,"STRONG BUY",IF(Y210=1,"BUY",IF(Y210=0,"HOLD",IF(Y210=-1,"SELL","STRONG SELL")))))</f>
        <v>STRONG BUY</v>
      </c>
    </row>
    <row r="211" customFormat="false" ht="15" hidden="false" customHeight="false" outlineLevel="0" collapsed="false">
      <c r="A211" s="24" t="n">
        <v>46063</v>
      </c>
      <c r="B211" s="25" t="n">
        <v>248.5</v>
      </c>
      <c r="C211" s="25" t="n">
        <v>250.07</v>
      </c>
      <c r="D211" s="25" t="n">
        <v>247.13</v>
      </c>
      <c r="E211" s="25" t="n">
        <v>248.6</v>
      </c>
      <c r="F211" s="26" t="n">
        <v>6590343</v>
      </c>
      <c r="G211" s="27" t="n">
        <f aca="false">E211-E210</f>
        <v>5.44999999999999</v>
      </c>
      <c r="H211" s="28" t="n">
        <f aca="false">G211/E210</f>
        <v>0.0224141476454863</v>
      </c>
      <c r="I211" s="29" t="n">
        <f aca="false">MAX(G211,0)</f>
        <v>5.44999999999999</v>
      </c>
      <c r="J211" s="29" t="n">
        <f aca="false">MAX(-G211,0)</f>
        <v>0</v>
      </c>
      <c r="K211" s="29" t="n">
        <f aca="false">(K210*13+I211)/14</f>
        <v>1.55591116879225</v>
      </c>
      <c r="L211" s="29" t="n">
        <f aca="false">(L210*13+J211)/14</f>
        <v>0.601602234509993</v>
      </c>
      <c r="M211" s="31" t="n">
        <f aca="false">IF(L211=0,100,100-100/(1+K211/MAX(L211,0.000001)))</f>
        <v>72.1159445132904</v>
      </c>
      <c r="N211" s="30" t="n">
        <f aca="false">AVERAGE(E192:E211)</f>
        <v>233.762</v>
      </c>
      <c r="O211" s="30" t="n">
        <f aca="false">AVERAGE(E162:E211)</f>
        <v>234.4738</v>
      </c>
      <c r="P211" s="30" t="n">
        <f aca="false">AVERAGE(E12:E211)</f>
        <v>227.20785</v>
      </c>
      <c r="Q211" s="30" t="n">
        <f aca="false">Q210+(2/13)*(E211-Q210)</f>
        <v>238.932628396044</v>
      </c>
      <c r="R211" s="30" t="n">
        <f aca="false">R210+(2/27)*(E211-R210)</f>
        <v>236.254466169127</v>
      </c>
      <c r="S211" s="33" t="n">
        <f aca="false">Q211-R211</f>
        <v>2.67816222691741</v>
      </c>
      <c r="T211" s="33" t="n">
        <f aca="false">T210+(2/10)*(S211-T210)</f>
        <v>0.974250204659062</v>
      </c>
      <c r="U211" s="33" t="n">
        <f aca="false">S211-T211</f>
        <v>1.70391202225835</v>
      </c>
      <c r="V211" s="32" t="str">
        <f aca="false">IF(M211="","",IF(M211&lt;Assumptions!$B$5,"BUY",IF(M211&gt;Assumptions!$B$4,"SELL","HOLD")))</f>
        <v>SELL</v>
      </c>
      <c r="W211" s="32" t="str">
        <f aca="false">IF(O211="","",IF(E211&gt;O211,"BUY","SELL"))</f>
        <v>BUY</v>
      </c>
      <c r="X211" s="32" t="str">
        <f aca="false">IF(T211="","",IF(S211&gt;T211,"BUY","SELL"))</f>
        <v>BUY</v>
      </c>
      <c r="Y211" s="34" t="n">
        <f aca="false">IF(OR(V211="",W211="",X211=""),"",IFERROR(IF(V211="BUY",1,IF(V211="SELL",-1,0))+IF(W211="BUY",1,IF(W211="SELL",-1,0))+IF(X211="BUY",1,IF(X211="SELL",-1,0)),0))</f>
        <v>1</v>
      </c>
      <c r="Z211" s="32" t="str">
        <f aca="false">IF(Y211="","",IF(Y211&gt;=2,"STRONG BUY",IF(Y211=1,"BUY",IF(Y211=0,"HOLD",IF(Y211=-1,"SELL","STRONG SELL")))))</f>
        <v>BUY</v>
      </c>
    </row>
    <row r="212" customFormat="false" ht="15" hidden="false" customHeight="false" outlineLevel="0" collapsed="false">
      <c r="A212" s="24" t="n">
        <v>46064</v>
      </c>
      <c r="B212" s="25" t="n">
        <v>252.28</v>
      </c>
      <c r="C212" s="25" t="n">
        <v>252.8</v>
      </c>
      <c r="D212" s="25" t="n">
        <v>250.32</v>
      </c>
      <c r="E212" s="25" t="n">
        <v>251.56</v>
      </c>
      <c r="F212" s="26" t="n">
        <v>5777619</v>
      </c>
      <c r="G212" s="27" t="n">
        <f aca="false">E212-E211</f>
        <v>2.96000000000001</v>
      </c>
      <c r="H212" s="28" t="n">
        <f aca="false">G212/E211</f>
        <v>0.0119066773934031</v>
      </c>
      <c r="I212" s="29" t="n">
        <f aca="false">MAX(G212,0)</f>
        <v>2.96000000000001</v>
      </c>
      <c r="J212" s="29" t="n">
        <f aca="false">MAX(-G212,0)</f>
        <v>0</v>
      </c>
      <c r="K212" s="29" t="n">
        <f aca="false">(K211*13+I212)/14</f>
        <v>1.65620322816423</v>
      </c>
      <c r="L212" s="29" t="n">
        <f aca="false">(L211*13+J212)/14</f>
        <v>0.558630646330708</v>
      </c>
      <c r="M212" s="31" t="n">
        <f aca="false">IF(L212=0,100,100-100/(1+K212/MAX(L212,0.000001)))</f>
        <v>74.7777631196789</v>
      </c>
      <c r="N212" s="30" t="n">
        <f aca="false">AVERAGE(E193:E212)</f>
        <v>235.0825</v>
      </c>
      <c r="O212" s="30" t="n">
        <f aca="false">AVERAGE(E163:E212)</f>
        <v>234.7822</v>
      </c>
      <c r="P212" s="30" t="n">
        <f aca="false">AVERAGE(E13:E212)</f>
        <v>227.40425</v>
      </c>
      <c r="Q212" s="30" t="n">
        <f aca="false">Q211+(2/13)*(E212-Q211)</f>
        <v>240.875300950499</v>
      </c>
      <c r="R212" s="30" t="n">
        <f aca="false">R211+(2/27)*(E212-R211)</f>
        <v>237.388209415858</v>
      </c>
      <c r="S212" s="33" t="n">
        <f aca="false">Q212-R212</f>
        <v>3.4870915346408</v>
      </c>
      <c r="T212" s="33" t="n">
        <f aca="false">T211+(2/10)*(S212-T211)</f>
        <v>1.47681847065541</v>
      </c>
      <c r="U212" s="33" t="n">
        <f aca="false">S212-T212</f>
        <v>2.01027306398539</v>
      </c>
      <c r="V212" s="32" t="str">
        <f aca="false">IF(M212="","",IF(M212&lt;Assumptions!$B$5,"BUY",IF(M212&gt;Assumptions!$B$4,"SELL","HOLD")))</f>
        <v>SELL</v>
      </c>
      <c r="W212" s="32" t="str">
        <f aca="false">IF(O212="","",IF(E212&gt;O212,"BUY","SELL"))</f>
        <v>BUY</v>
      </c>
      <c r="X212" s="32" t="str">
        <f aca="false">IF(T212="","",IF(S212&gt;T212,"BUY","SELL"))</f>
        <v>BUY</v>
      </c>
      <c r="Y212" s="34" t="n">
        <f aca="false">IF(OR(V212="",W212="",X212=""),"",IFERROR(IF(V212="BUY",1,IF(V212="SELL",-1,0))+IF(W212="BUY",1,IF(W212="SELL",-1,0))+IF(X212="BUY",1,IF(X212="SELL",-1,0)),0))</f>
        <v>1</v>
      </c>
      <c r="Z212" s="32" t="str">
        <f aca="false">IF(Y212="","",IF(Y212&gt;=2,"STRONG BUY",IF(Y212=1,"BUY",IF(Y212=0,"HOLD",IF(Y212=-1,"SELL","STRONG SELL")))))</f>
        <v>BUY</v>
      </c>
    </row>
    <row r="213" customFormat="false" ht="15" hidden="false" customHeight="false" outlineLevel="0" collapsed="false">
      <c r="A213" s="24" t="n">
        <v>46065</v>
      </c>
      <c r="B213" s="25" t="n">
        <v>254.31</v>
      </c>
      <c r="C213" s="25" t="n">
        <v>257.08</v>
      </c>
      <c r="D213" s="25" t="n">
        <v>254.24</v>
      </c>
      <c r="E213" s="25" t="n">
        <v>255.66</v>
      </c>
      <c r="F213" s="26" t="n">
        <v>11297976</v>
      </c>
      <c r="G213" s="27" t="n">
        <f aca="false">E213-E212</f>
        <v>4.09999999999999</v>
      </c>
      <c r="H213" s="28" t="n">
        <f aca="false">G213/E212</f>
        <v>0.0162982986166322</v>
      </c>
      <c r="I213" s="29" t="n">
        <f aca="false">MAX(G213,0)</f>
        <v>4.09999999999999</v>
      </c>
      <c r="J213" s="29" t="n">
        <f aca="false">MAX(-G213,0)</f>
        <v>0</v>
      </c>
      <c r="K213" s="29" t="n">
        <f aca="false">(K212*13+I213)/14</f>
        <v>1.83076014043821</v>
      </c>
      <c r="L213" s="29" t="n">
        <f aca="false">(L212*13+J213)/14</f>
        <v>0.518728457307086</v>
      </c>
      <c r="M213" s="31" t="n">
        <f aca="false">IF(L213=0,100,100-100/(1+K213/MAX(L213,0.000001)))</f>
        <v>77.9216439779752</v>
      </c>
      <c r="N213" s="30" t="n">
        <f aca="false">AVERAGE(E194:E213)</f>
        <v>236.5765</v>
      </c>
      <c r="O213" s="30" t="n">
        <f aca="false">AVERAGE(E164:E213)</f>
        <v>235.1648</v>
      </c>
      <c r="P213" s="30" t="n">
        <f aca="false">AVERAGE(E14:E213)</f>
        <v>227.61085</v>
      </c>
      <c r="Q213" s="30" t="n">
        <f aca="false">Q212+(2/13)*(E213-Q212)</f>
        <v>243.149870035037</v>
      </c>
      <c r="R213" s="30" t="n">
        <f aca="false">R212+(2/27)*(E213-R212)</f>
        <v>238.741675385054</v>
      </c>
      <c r="S213" s="33" t="n">
        <f aca="false">Q213-R213</f>
        <v>4.40819464998376</v>
      </c>
      <c r="T213" s="33" t="n">
        <f aca="false">T212+(2/10)*(S213-T212)</f>
        <v>2.06309370652108</v>
      </c>
      <c r="U213" s="33" t="n">
        <f aca="false">S213-T213</f>
        <v>2.34510094346268</v>
      </c>
      <c r="V213" s="32" t="str">
        <f aca="false">IF(M213="","",IF(M213&lt;Assumptions!$B$5,"BUY",IF(M213&gt;Assumptions!$B$4,"SELL","HOLD")))</f>
        <v>SELL</v>
      </c>
      <c r="W213" s="32" t="str">
        <f aca="false">IF(O213="","",IF(E213&gt;O213,"BUY","SELL"))</f>
        <v>BUY</v>
      </c>
      <c r="X213" s="32" t="str">
        <f aca="false">IF(T213="","",IF(S213&gt;T213,"BUY","SELL"))</f>
        <v>BUY</v>
      </c>
      <c r="Y213" s="34" t="n">
        <f aca="false">IF(OR(V213="",W213="",X213=""),"",IFERROR(IF(V213="BUY",1,IF(V213="SELL",-1,0))+IF(W213="BUY",1,IF(W213="SELL",-1,0))+IF(X213="BUY",1,IF(X213="SELL",-1,0)),0))</f>
        <v>1</v>
      </c>
      <c r="Z213" s="32" t="str">
        <f aca="false">IF(Y213="","",IF(Y213&gt;=2,"STRONG BUY",IF(Y213=1,"BUY",IF(Y213=0,"HOLD",IF(Y213=-1,"SELL","STRONG SELL")))))</f>
        <v>BUY</v>
      </c>
    </row>
    <row r="214" customFormat="false" ht="15" hidden="false" customHeight="false" outlineLevel="0" collapsed="false">
      <c r="A214" s="24" t="n">
        <v>46066</v>
      </c>
      <c r="B214" s="25" t="n">
        <v>256.98</v>
      </c>
      <c r="C214" s="25" t="n">
        <v>260.92</v>
      </c>
      <c r="D214" s="25" t="n">
        <v>253.4</v>
      </c>
      <c r="E214" s="25" t="n">
        <v>257.16</v>
      </c>
      <c r="F214" s="26" t="n">
        <v>6017823</v>
      </c>
      <c r="G214" s="27" t="n">
        <f aca="false">E214-E213</f>
        <v>1.50000000000003</v>
      </c>
      <c r="H214" s="28" t="n">
        <f aca="false">G214/E213</f>
        <v>0.00586716733161241</v>
      </c>
      <c r="I214" s="29" t="n">
        <f aca="false">MAX(G214,0)</f>
        <v>1.50000000000003</v>
      </c>
      <c r="J214" s="29" t="n">
        <f aca="false">MAX(-G214,0)</f>
        <v>0</v>
      </c>
      <c r="K214" s="29" t="n">
        <f aca="false">(K213*13+I214)/14</f>
        <v>1.8071344161212</v>
      </c>
      <c r="L214" s="29" t="n">
        <f aca="false">(L213*13+J214)/14</f>
        <v>0.481676424642294</v>
      </c>
      <c r="M214" s="31" t="n">
        <f aca="false">IF(L214=0,100,100-100/(1+K214/MAX(L214,0.000001)))</f>
        <v>78.9551667589263</v>
      </c>
      <c r="N214" s="30" t="n">
        <f aca="false">AVERAGE(E195:E214)</f>
        <v>238.241</v>
      </c>
      <c r="O214" s="30" t="n">
        <f aca="false">AVERAGE(E165:E214)</f>
        <v>235.4926</v>
      </c>
      <c r="P214" s="30" t="n">
        <f aca="false">AVERAGE(E15:E214)</f>
        <v>227.81515</v>
      </c>
      <c r="Q214" s="30" t="n">
        <f aca="false">Q213+(2/13)*(E214-Q213)</f>
        <v>245.305274645032</v>
      </c>
      <c r="R214" s="30" t="n">
        <f aca="false">R213+(2/27)*(E214-R213)</f>
        <v>240.105995726902</v>
      </c>
      <c r="S214" s="33" t="n">
        <f aca="false">Q214-R214</f>
        <v>5.19927891813012</v>
      </c>
      <c r="T214" s="33" t="n">
        <f aca="false">T213+(2/10)*(S214-T213)</f>
        <v>2.69033074884289</v>
      </c>
      <c r="U214" s="33" t="n">
        <f aca="false">S214-T214</f>
        <v>2.50894816928723</v>
      </c>
      <c r="V214" s="32" t="str">
        <f aca="false">IF(M214="","",IF(M214&lt;Assumptions!$B$5,"BUY",IF(M214&gt;Assumptions!$B$4,"SELL","HOLD")))</f>
        <v>SELL</v>
      </c>
      <c r="W214" s="32" t="str">
        <f aca="false">IF(O214="","",IF(E214&gt;O214,"BUY","SELL"))</f>
        <v>BUY</v>
      </c>
      <c r="X214" s="32" t="str">
        <f aca="false">IF(T214="","",IF(S214&gt;T214,"BUY","SELL"))</f>
        <v>BUY</v>
      </c>
      <c r="Y214" s="34" t="n">
        <f aca="false">IF(OR(V214="",W214="",X214=""),"",IFERROR(IF(V214="BUY",1,IF(V214="SELL",-1,0))+IF(W214="BUY",1,IF(W214="SELL",-1,0))+IF(X214="BUY",1,IF(X214="SELL",-1,0)),0))</f>
        <v>1</v>
      </c>
      <c r="Z214" s="32" t="str">
        <f aca="false">IF(Y214="","",IF(Y214&gt;=2,"STRONG BUY",IF(Y214=1,"BUY",IF(Y214=0,"HOLD",IF(Y214=-1,"SELL","STRONG SELL")))))</f>
        <v>BUY</v>
      </c>
    </row>
    <row r="215" customFormat="false" ht="15" hidden="false" customHeight="false" outlineLevel="0" collapsed="false">
      <c r="A215" s="24" t="n">
        <v>46069</v>
      </c>
      <c r="B215" s="25" t="n">
        <v>260.44</v>
      </c>
      <c r="C215" s="25" t="n">
        <v>261.24</v>
      </c>
      <c r="D215" s="25" t="n">
        <v>259.12</v>
      </c>
      <c r="E215" s="25" t="n">
        <v>260.18</v>
      </c>
      <c r="F215" s="26" t="n">
        <v>1863712</v>
      </c>
      <c r="G215" s="27" t="n">
        <f aca="false">E215-E214</f>
        <v>3.01999999999998</v>
      </c>
      <c r="H215" s="28" t="n">
        <f aca="false">G215/E214</f>
        <v>0.0117436615336755</v>
      </c>
      <c r="I215" s="29" t="n">
        <f aca="false">MAX(G215,0)</f>
        <v>3.01999999999998</v>
      </c>
      <c r="J215" s="29" t="n">
        <f aca="false">MAX(-G215,0)</f>
        <v>0</v>
      </c>
      <c r="K215" s="29" t="n">
        <f aca="false">(K214*13+I215)/14</f>
        <v>1.89376767211254</v>
      </c>
      <c r="L215" s="29" t="n">
        <f aca="false">(L214*13+J215)/14</f>
        <v>0.447270965739273</v>
      </c>
      <c r="M215" s="31" t="n">
        <f aca="false">IF(L215=0,100,100-100/(1+K215/MAX(L215,0.000001)))</f>
        <v>80.894336449325</v>
      </c>
      <c r="N215" s="30" t="n">
        <f aca="false">AVERAGE(E196:E215)</f>
        <v>239.947</v>
      </c>
      <c r="O215" s="30" t="n">
        <f aca="false">AVERAGE(E166:E215)</f>
        <v>235.9442</v>
      </c>
      <c r="P215" s="30" t="n">
        <f aca="false">AVERAGE(E16:E215)</f>
        <v>228.02005</v>
      </c>
      <c r="Q215" s="30" t="n">
        <f aca="false">Q214+(2/13)*(E215-Q214)</f>
        <v>247.593693930411</v>
      </c>
      <c r="R215" s="30" t="n">
        <f aca="false">R214+(2/27)*(E215-R214)</f>
        <v>241.59295900639</v>
      </c>
      <c r="S215" s="33" t="n">
        <f aca="false">Q215-R215</f>
        <v>6.00073492402109</v>
      </c>
      <c r="T215" s="33" t="n">
        <f aca="false">T214+(2/10)*(S215-T214)</f>
        <v>3.35241158387853</v>
      </c>
      <c r="U215" s="33" t="n">
        <f aca="false">S215-T215</f>
        <v>2.64832334014256</v>
      </c>
      <c r="V215" s="32" t="str">
        <f aca="false">IF(M215="","",IF(M215&lt;Assumptions!$B$5,"BUY",IF(M215&gt;Assumptions!$B$4,"SELL","HOLD")))</f>
        <v>SELL</v>
      </c>
      <c r="W215" s="32" t="str">
        <f aca="false">IF(O215="","",IF(E215&gt;O215,"BUY","SELL"))</f>
        <v>BUY</v>
      </c>
      <c r="X215" s="32" t="str">
        <f aca="false">IF(T215="","",IF(S215&gt;T215,"BUY","SELL"))</f>
        <v>BUY</v>
      </c>
      <c r="Y215" s="34" t="n">
        <f aca="false">IF(OR(V215="",W215="",X215=""),"",IFERROR(IF(V215="BUY",1,IF(V215="SELL",-1,0))+IF(W215="BUY",1,IF(W215="SELL",-1,0))+IF(X215="BUY",1,IF(X215="SELL",-1,0)),0))</f>
        <v>1</v>
      </c>
      <c r="Z215" s="32" t="str">
        <f aca="false">IF(Y215="","",IF(Y215&gt;=2,"STRONG BUY",IF(Y215=1,"BUY",IF(Y215=0,"HOLD",IF(Y215=-1,"SELL","STRONG SELL")))))</f>
        <v>BUY</v>
      </c>
    </row>
    <row r="216" customFormat="false" ht="15" hidden="false" customHeight="false" outlineLevel="0" collapsed="false">
      <c r="A216" s="24" t="n">
        <v>46070</v>
      </c>
      <c r="B216" s="25" t="n">
        <v>265.21</v>
      </c>
      <c r="C216" s="25" t="n">
        <v>267.98</v>
      </c>
      <c r="D216" s="25" t="n">
        <v>263.68</v>
      </c>
      <c r="E216" s="25" t="n">
        <v>265.83</v>
      </c>
      <c r="F216" s="26" t="n">
        <v>11314576</v>
      </c>
      <c r="G216" s="27" t="n">
        <f aca="false">E216-E215</f>
        <v>5.64999999999998</v>
      </c>
      <c r="H216" s="28" t="n">
        <f aca="false">G216/E215</f>
        <v>0.0217157352602044</v>
      </c>
      <c r="I216" s="29" t="n">
        <f aca="false">MAX(G216,0)</f>
        <v>5.64999999999998</v>
      </c>
      <c r="J216" s="29" t="n">
        <f aca="false">MAX(-G216,0)</f>
        <v>0</v>
      </c>
      <c r="K216" s="29" t="n">
        <f aca="false">(K215*13+I216)/14</f>
        <v>2.16206998124736</v>
      </c>
      <c r="L216" s="29" t="n">
        <f aca="false">(L215*13+J216)/14</f>
        <v>0.415323039615039</v>
      </c>
      <c r="M216" s="31" t="n">
        <f aca="false">IF(L216=0,100,100-100/(1+K216/MAX(L216,0.000001)))</f>
        <v>83.8859251866806</v>
      </c>
      <c r="N216" s="30" t="n">
        <f aca="false">AVERAGE(E197:E216)</f>
        <v>241.887</v>
      </c>
      <c r="O216" s="30" t="n">
        <f aca="false">AVERAGE(E167:E216)</f>
        <v>236.6566</v>
      </c>
      <c r="P216" s="30" t="n">
        <f aca="false">AVERAGE(E17:E216)</f>
        <v>228.25365</v>
      </c>
      <c r="Q216" s="30" t="n">
        <f aca="false">Q215+(2/13)*(E216-Q215)</f>
        <v>250.399279479579</v>
      </c>
      <c r="R216" s="30" t="n">
        <f aca="false">R215+(2/27)*(E216-R215)</f>
        <v>243.388295376287</v>
      </c>
      <c r="S216" s="33" t="n">
        <f aca="false">Q216-R216</f>
        <v>7.01098410329155</v>
      </c>
      <c r="T216" s="33" t="n">
        <f aca="false">T215+(2/10)*(S216-T215)</f>
        <v>4.08412608776113</v>
      </c>
      <c r="U216" s="33" t="n">
        <f aca="false">S216-T216</f>
        <v>2.92685801553042</v>
      </c>
      <c r="V216" s="32" t="str">
        <f aca="false">IF(M216="","",IF(M216&lt;Assumptions!$B$5,"BUY",IF(M216&gt;Assumptions!$B$4,"SELL","HOLD")))</f>
        <v>SELL</v>
      </c>
      <c r="W216" s="32" t="str">
        <f aca="false">IF(O216="","",IF(E216&gt;O216,"BUY","SELL"))</f>
        <v>BUY</v>
      </c>
      <c r="X216" s="32" t="str">
        <f aca="false">IF(T216="","",IF(S216&gt;T216,"BUY","SELL"))</f>
        <v>BUY</v>
      </c>
      <c r="Y216" s="34" t="n">
        <f aca="false">IF(OR(V216="",W216="",X216=""),"",IFERROR(IF(V216="BUY",1,IF(V216="SELL",-1,0))+IF(W216="BUY",1,IF(W216="SELL",-1,0))+IF(X216="BUY",1,IF(X216="SELL",-1,0)),0))</f>
        <v>1</v>
      </c>
      <c r="Z216" s="32" t="str">
        <f aca="false">IF(Y216="","",IF(Y216&gt;=2,"STRONG BUY",IF(Y216=1,"BUY",IF(Y216=0,"HOLD",IF(Y216=-1,"SELL","STRONG SELL")))))</f>
        <v>BUY</v>
      </c>
    </row>
    <row r="217" customFormat="false" ht="15" hidden="false" customHeight="false" outlineLevel="0" collapsed="false">
      <c r="A217" s="24" t="n">
        <v>46071</v>
      </c>
      <c r="B217" s="25" t="n">
        <v>266.43</v>
      </c>
      <c r="C217" s="25" t="n">
        <v>268.3</v>
      </c>
      <c r="D217" s="25" t="n">
        <v>263.1</v>
      </c>
      <c r="E217" s="25" t="n">
        <v>265.7</v>
      </c>
      <c r="F217" s="26" t="n">
        <v>11984259</v>
      </c>
      <c r="G217" s="27" t="n">
        <f aca="false">E217-E216</f>
        <v>-0.129999999999995</v>
      </c>
      <c r="H217" s="28" t="n">
        <f aca="false">G217/E216</f>
        <v>-0.000489034345258231</v>
      </c>
      <c r="I217" s="29" t="n">
        <f aca="false">MAX(G217,0)</f>
        <v>0</v>
      </c>
      <c r="J217" s="29" t="n">
        <f aca="false">MAX(-G217,0)</f>
        <v>0.129999999999995</v>
      </c>
      <c r="K217" s="29" t="n">
        <f aca="false">(K216*13+I217)/14</f>
        <v>2.00763641115826</v>
      </c>
      <c r="L217" s="29" t="n">
        <f aca="false">(L216*13+J217)/14</f>
        <v>0.394942822499679</v>
      </c>
      <c r="M217" s="31" t="n">
        <f aca="false">IF(L217=0,100,100-100/(1+K217/MAX(L217,0.000001)))</f>
        <v>83.5617149700251</v>
      </c>
      <c r="N217" s="30" t="n">
        <f aca="false">AVERAGE(E198:E217)</f>
        <v>243.63</v>
      </c>
      <c r="O217" s="30" t="n">
        <f aca="false">AVERAGE(E168:E217)</f>
        <v>237.3574</v>
      </c>
      <c r="P217" s="30" t="n">
        <f aca="false">AVERAGE(E18:E217)</f>
        <v>228.46255</v>
      </c>
      <c r="Q217" s="30" t="n">
        <f aca="false">Q216+(2/13)*(E217-Q216)</f>
        <v>252.753236482721</v>
      </c>
      <c r="R217" s="30" t="n">
        <f aca="false">R216+(2/27)*(E217-R216)</f>
        <v>245.041014237303</v>
      </c>
      <c r="S217" s="33" t="n">
        <f aca="false">Q217-R217</f>
        <v>7.71222224541751</v>
      </c>
      <c r="T217" s="33" t="n">
        <f aca="false">T216+(2/10)*(S217-T216)</f>
        <v>4.80974531929241</v>
      </c>
      <c r="U217" s="33" t="n">
        <f aca="false">S217-T217</f>
        <v>2.9024769261251</v>
      </c>
      <c r="V217" s="32" t="str">
        <f aca="false">IF(M217="","",IF(M217&lt;Assumptions!$B$5,"BUY",IF(M217&gt;Assumptions!$B$4,"SELL","HOLD")))</f>
        <v>SELL</v>
      </c>
      <c r="W217" s="32" t="str">
        <f aca="false">IF(O217="","",IF(E217&gt;O217,"BUY","SELL"))</f>
        <v>BUY</v>
      </c>
      <c r="X217" s="32" t="str">
        <f aca="false">IF(T217="","",IF(S217&gt;T217,"BUY","SELL"))</f>
        <v>BUY</v>
      </c>
      <c r="Y217" s="34" t="n">
        <f aca="false">IF(OR(V217="",W217="",X217=""),"",IFERROR(IF(V217="BUY",1,IF(V217="SELL",-1,0))+IF(W217="BUY",1,IF(W217="SELL",-1,0))+IF(X217="BUY",1,IF(X217="SELL",-1,0)),0))</f>
        <v>1</v>
      </c>
      <c r="Z217" s="32" t="str">
        <f aca="false">IF(Y217="","",IF(Y217&gt;=2,"STRONG BUY",IF(Y217=1,"BUY",IF(Y217=0,"HOLD",IF(Y217=-1,"SELL","STRONG SELL")))))</f>
        <v>BUY</v>
      </c>
    </row>
    <row r="218" customFormat="false" ht="15" hidden="false" customHeight="false" outlineLevel="0" collapsed="false">
      <c r="A218" s="24" t="n">
        <v>46072</v>
      </c>
      <c r="B218" s="25" t="n">
        <v>261.57</v>
      </c>
      <c r="C218" s="25" t="n">
        <v>262.31</v>
      </c>
      <c r="D218" s="25" t="n">
        <v>259.95</v>
      </c>
      <c r="E218" s="25" t="n">
        <v>261.13</v>
      </c>
      <c r="F218" s="26" t="n">
        <v>8355547</v>
      </c>
      <c r="G218" s="27" t="n">
        <f aca="false">E218-E217</f>
        <v>-4.56999999999999</v>
      </c>
      <c r="H218" s="28" t="n">
        <f aca="false">G218/E217</f>
        <v>-0.0171998494542717</v>
      </c>
      <c r="I218" s="29" t="n">
        <f aca="false">MAX(G218,0)</f>
        <v>0</v>
      </c>
      <c r="J218" s="29" t="n">
        <f aca="false">MAX(-G218,0)</f>
        <v>4.56999999999999</v>
      </c>
      <c r="K218" s="29" t="n">
        <f aca="false">(K217*13+I218)/14</f>
        <v>1.86423381036124</v>
      </c>
      <c r="L218" s="29" t="n">
        <f aca="false">(L217*13+J218)/14</f>
        <v>0.69316119232113</v>
      </c>
      <c r="M218" s="31" t="n">
        <f aca="false">IF(L218=0,100,100-100/(1+K218/MAX(L218,0.000001)))</f>
        <v>72.8958103228444</v>
      </c>
      <c r="N218" s="30" t="n">
        <f aca="false">AVERAGE(E199:E218)</f>
        <v>245.3155</v>
      </c>
      <c r="O218" s="30" t="n">
        <f aca="false">AVERAGE(E169:E218)</f>
        <v>237.9306</v>
      </c>
      <c r="P218" s="30" t="n">
        <f aca="false">AVERAGE(E19:E218)</f>
        <v>228.65885</v>
      </c>
      <c r="Q218" s="30" t="n">
        <f aca="false">Q217+(2/13)*(E218-Q217)</f>
        <v>254.041969331533</v>
      </c>
      <c r="R218" s="30" t="n">
        <f aca="false">R217+(2/27)*(E218-R217)</f>
        <v>246.232790960466</v>
      </c>
      <c r="S218" s="33" t="n">
        <f aca="false">Q218-R218</f>
        <v>7.80917837106699</v>
      </c>
      <c r="T218" s="33" t="n">
        <f aca="false">T217+(2/10)*(S218-T217)</f>
        <v>5.40963192964732</v>
      </c>
      <c r="U218" s="33" t="n">
        <f aca="false">S218-T218</f>
        <v>2.39954644141967</v>
      </c>
      <c r="V218" s="32" t="str">
        <f aca="false">IF(M218="","",IF(M218&lt;Assumptions!$B$5,"BUY",IF(M218&gt;Assumptions!$B$4,"SELL","HOLD")))</f>
        <v>SELL</v>
      </c>
      <c r="W218" s="32" t="str">
        <f aca="false">IF(O218="","",IF(E218&gt;O218,"BUY","SELL"))</f>
        <v>BUY</v>
      </c>
      <c r="X218" s="32" t="str">
        <f aca="false">IF(T218="","",IF(S218&gt;T218,"BUY","SELL"))</f>
        <v>BUY</v>
      </c>
      <c r="Y218" s="34" t="n">
        <f aca="false">IF(OR(V218="",W218="",X218=""),"",IFERROR(IF(V218="BUY",1,IF(V218="SELL",-1,0))+IF(W218="BUY",1,IF(W218="SELL",-1,0))+IF(X218="BUY",1,IF(X218="SELL",-1,0)),0))</f>
        <v>1</v>
      </c>
      <c r="Z218" s="32" t="str">
        <f aca="false">IF(Y218="","",IF(Y218&gt;=2,"STRONG BUY",IF(Y218=1,"BUY",IF(Y218=0,"HOLD",IF(Y218=-1,"SELL","STRONG SELL")))))</f>
        <v>BUY</v>
      </c>
    </row>
    <row r="219" customFormat="false" ht="15" hidden="false" customHeight="false" outlineLevel="0" collapsed="false">
      <c r="A219" s="24" t="n">
        <v>46073</v>
      </c>
      <c r="B219" s="25" t="n">
        <v>260.3</v>
      </c>
      <c r="C219" s="25" t="n">
        <v>262.36</v>
      </c>
      <c r="D219" s="25" t="n">
        <v>258.98</v>
      </c>
      <c r="E219" s="25" t="n">
        <v>260.67</v>
      </c>
      <c r="F219" s="26" t="n">
        <v>7000824</v>
      </c>
      <c r="G219" s="27" t="n">
        <f aca="false">E219-E218</f>
        <v>-0.45999999999998</v>
      </c>
      <c r="H219" s="28" t="n">
        <f aca="false">G219/E218</f>
        <v>-0.00176157469459648</v>
      </c>
      <c r="I219" s="29" t="n">
        <f aca="false">MAX(G219,0)</f>
        <v>0</v>
      </c>
      <c r="J219" s="29" t="n">
        <f aca="false">MAX(-G219,0)</f>
        <v>0.45999999999998</v>
      </c>
      <c r="K219" s="29" t="n">
        <f aca="false">(K218*13+I219)/14</f>
        <v>1.7310742524783</v>
      </c>
      <c r="L219" s="29" t="n">
        <f aca="false">(L218*13+J219)/14</f>
        <v>0.676506821441048</v>
      </c>
      <c r="M219" s="31" t="n">
        <f aca="false">IF(L219=0,100,100-100/(1+K219/MAX(L219,0.000001)))</f>
        <v>71.9009744357331</v>
      </c>
      <c r="N219" s="30" t="n">
        <f aca="false">AVERAGE(E200:E219)</f>
        <v>246.799</v>
      </c>
      <c r="O219" s="30" t="n">
        <f aca="false">AVERAGE(E170:E219)</f>
        <v>238.515</v>
      </c>
      <c r="P219" s="30" t="n">
        <f aca="false">AVERAGE(E20:E219)</f>
        <v>228.84735</v>
      </c>
      <c r="Q219" s="30" t="n">
        <f aca="false">Q218+(2/13)*(E219-Q218)</f>
        <v>255.061666357451</v>
      </c>
      <c r="R219" s="30" t="n">
        <f aca="false">R218+(2/27)*(E219-R218)</f>
        <v>247.302213852283</v>
      </c>
      <c r="S219" s="33" t="n">
        <f aca="false">Q219-R219</f>
        <v>7.75945250516767</v>
      </c>
      <c r="T219" s="33" t="n">
        <f aca="false">T218+(2/10)*(S219-T218)</f>
        <v>5.87959604475139</v>
      </c>
      <c r="U219" s="33" t="n">
        <f aca="false">S219-T219</f>
        <v>1.87985646041628</v>
      </c>
      <c r="V219" s="32" t="str">
        <f aca="false">IF(M219="","",IF(M219&lt;Assumptions!$B$5,"BUY",IF(M219&gt;Assumptions!$B$4,"SELL","HOLD")))</f>
        <v>SELL</v>
      </c>
      <c r="W219" s="32" t="str">
        <f aca="false">IF(O219="","",IF(E219&gt;O219,"BUY","SELL"))</f>
        <v>BUY</v>
      </c>
      <c r="X219" s="32" t="str">
        <f aca="false">IF(T219="","",IF(S219&gt;T219,"BUY","SELL"))</f>
        <v>BUY</v>
      </c>
      <c r="Y219" s="34" t="n">
        <f aca="false">IF(OR(V219="",W219="",X219=""),"",IFERROR(IF(V219="BUY",1,IF(V219="SELL",-1,0))+IF(W219="BUY",1,IF(W219="SELL",-1,0))+IF(X219="BUY",1,IF(X219="SELL",-1,0)),0))</f>
        <v>1</v>
      </c>
      <c r="Z219" s="32" t="str">
        <f aca="false">IF(Y219="","",IF(Y219&gt;=2,"STRONG BUY",IF(Y219=1,"BUY",IF(Y219=0,"HOLD",IF(Y219=-1,"SELL","STRONG SELL")))))</f>
        <v>BUY</v>
      </c>
    </row>
    <row r="220" customFormat="false" ht="15" hidden="false" customHeight="false" outlineLevel="0" collapsed="false">
      <c r="A220" s="24" t="n">
        <v>46076</v>
      </c>
      <c r="B220" s="25" t="n">
        <v>261.75</v>
      </c>
      <c r="C220" s="25" t="n">
        <v>261.94</v>
      </c>
      <c r="D220" s="25" t="n">
        <v>260.52</v>
      </c>
      <c r="E220" s="25" t="n">
        <v>261.23</v>
      </c>
      <c r="F220" s="26" t="n">
        <v>6464373</v>
      </c>
      <c r="G220" s="27" t="n">
        <f aca="false">E220-E219</f>
        <v>0.560000000000002</v>
      </c>
      <c r="H220" s="28" t="n">
        <f aca="false">G220/E219</f>
        <v>0.00214831012391147</v>
      </c>
      <c r="I220" s="29" t="n">
        <f aca="false">MAX(G220,0)</f>
        <v>0.560000000000002</v>
      </c>
      <c r="J220" s="29" t="n">
        <f aca="false">MAX(-G220,0)</f>
        <v>0</v>
      </c>
      <c r="K220" s="29" t="n">
        <f aca="false">(K219*13+I220)/14</f>
        <v>1.64742609158699</v>
      </c>
      <c r="L220" s="29" t="n">
        <f aca="false">(L219*13+J220)/14</f>
        <v>0.62818490562383</v>
      </c>
      <c r="M220" s="31" t="n">
        <f aca="false">IF(L220=0,100,100-100/(1+K220/MAX(L220,0.000001)))</f>
        <v>72.3948905857026</v>
      </c>
      <c r="N220" s="30" t="n">
        <f aca="false">AVERAGE(E201:E220)</f>
        <v>248.324</v>
      </c>
      <c r="O220" s="30" t="n">
        <f aca="false">AVERAGE(E171:E220)</f>
        <v>239.0984</v>
      </c>
      <c r="P220" s="30" t="n">
        <f aca="false">AVERAGE(E21:E220)</f>
        <v>229.0415</v>
      </c>
      <c r="Q220" s="30" t="n">
        <f aca="false">Q219+(2/13)*(E220-Q219)</f>
        <v>256.010640763997</v>
      </c>
      <c r="R220" s="30" t="n">
        <f aca="false">R219+(2/27)*(E220-R219)</f>
        <v>248.333901715077</v>
      </c>
      <c r="S220" s="33" t="n">
        <f aca="false">Q220-R220</f>
        <v>7.67673904891987</v>
      </c>
      <c r="T220" s="33" t="n">
        <f aca="false">T219+(2/10)*(S220-T219)</f>
        <v>6.23902464558509</v>
      </c>
      <c r="U220" s="33" t="n">
        <f aca="false">S220-T220</f>
        <v>1.43771440333478</v>
      </c>
      <c r="V220" s="32" t="str">
        <f aca="false">IF(M220="","",IF(M220&lt;Assumptions!$B$5,"BUY",IF(M220&gt;Assumptions!$B$4,"SELL","HOLD")))</f>
        <v>SELL</v>
      </c>
      <c r="W220" s="32" t="str">
        <f aca="false">IF(O220="","",IF(E220&gt;O220,"BUY","SELL"))</f>
        <v>BUY</v>
      </c>
      <c r="X220" s="32" t="str">
        <f aca="false">IF(T220="","",IF(S220&gt;T220,"BUY","SELL"))</f>
        <v>BUY</v>
      </c>
      <c r="Y220" s="34" t="n">
        <f aca="false">IF(OR(V220="",W220="",X220=""),"",IFERROR(IF(V220="BUY",1,IF(V220="SELL",-1,0))+IF(W220="BUY",1,IF(W220="SELL",-1,0))+IF(X220="BUY",1,IF(X220="SELL",-1,0)),0))</f>
        <v>1</v>
      </c>
      <c r="Z220" s="32" t="str">
        <f aca="false">IF(Y220="","",IF(Y220&gt;=2,"STRONG BUY",IF(Y220=1,"BUY",IF(Y220=0,"HOLD",IF(Y220=-1,"SELL","STRONG SELL")))))</f>
        <v>BUY</v>
      </c>
    </row>
    <row r="221" customFormat="false" ht="15" hidden="false" customHeight="false" outlineLevel="0" collapsed="false">
      <c r="A221" s="24" t="n">
        <v>46077</v>
      </c>
      <c r="B221" s="25" t="n">
        <v>258.07</v>
      </c>
      <c r="C221" s="25" t="n">
        <v>259.73</v>
      </c>
      <c r="D221" s="25" t="n">
        <v>258.07</v>
      </c>
      <c r="E221" s="25" t="n">
        <v>258.9</v>
      </c>
      <c r="F221" s="26" t="n">
        <v>9414879</v>
      </c>
      <c r="G221" s="27" t="n">
        <f aca="false">E221-E220</f>
        <v>-2.33000000000004</v>
      </c>
      <c r="H221" s="28" t="n">
        <f aca="false">G221/E220</f>
        <v>-0.00891934310760648</v>
      </c>
      <c r="I221" s="29" t="n">
        <f aca="false">MAX(G221,0)</f>
        <v>0</v>
      </c>
      <c r="J221" s="29" t="n">
        <f aca="false">MAX(-G221,0)</f>
        <v>2.33000000000004</v>
      </c>
      <c r="K221" s="29" t="n">
        <f aca="false">(K220*13+I221)/14</f>
        <v>1.52975279933078</v>
      </c>
      <c r="L221" s="29" t="n">
        <f aca="false">(L220*13+J221)/14</f>
        <v>0.749743126650702</v>
      </c>
      <c r="M221" s="31" t="n">
        <f aca="false">IF(L221=0,100,100-100/(1+K221/MAX(L221,0.000001)))</f>
        <v>67.10925787999</v>
      </c>
      <c r="N221" s="30" t="n">
        <f aca="false">AVERAGE(E202:E221)</f>
        <v>249.6525</v>
      </c>
      <c r="O221" s="30" t="n">
        <f aca="false">AVERAGE(E172:E221)</f>
        <v>239.5684</v>
      </c>
      <c r="P221" s="30" t="n">
        <f aca="false">AVERAGE(E22:E221)</f>
        <v>229.2055</v>
      </c>
      <c r="Q221" s="30" t="n">
        <f aca="false">Q220+(2/13)*(E221-Q220)</f>
        <v>256.455157569536</v>
      </c>
      <c r="R221" s="30" t="n">
        <f aca="false">R220+(2/27)*(E221-R220)</f>
        <v>249.116575662108</v>
      </c>
      <c r="S221" s="33" t="n">
        <f aca="false">Q221-R221</f>
        <v>7.33858190742745</v>
      </c>
      <c r="T221" s="33" t="n">
        <f aca="false">T220+(2/10)*(S221-T220)</f>
        <v>6.45893609795356</v>
      </c>
      <c r="U221" s="33" t="n">
        <f aca="false">S221-T221</f>
        <v>0.879645809473892</v>
      </c>
      <c r="V221" s="32" t="str">
        <f aca="false">IF(M221="","",IF(M221&lt;Assumptions!$B$5,"BUY",IF(M221&gt;Assumptions!$B$4,"SELL","HOLD")))</f>
        <v>HOLD</v>
      </c>
      <c r="W221" s="32" t="str">
        <f aca="false">IF(O221="","",IF(E221&gt;O221,"BUY","SELL"))</f>
        <v>BUY</v>
      </c>
      <c r="X221" s="32" t="str">
        <f aca="false">IF(T221="","",IF(S221&gt;T221,"BUY","SELL"))</f>
        <v>BUY</v>
      </c>
      <c r="Y221" s="34" t="n">
        <f aca="false">IF(OR(V221="",W221="",X221=""),"",IFERROR(IF(V221="BUY",1,IF(V221="SELL",-1,0))+IF(W221="BUY",1,IF(W221="SELL",-1,0))+IF(X221="BUY",1,IF(X221="SELL",-1,0)),0))</f>
        <v>2</v>
      </c>
      <c r="Z221" s="32" t="str">
        <f aca="false">IF(Y221="","",IF(Y221&gt;=2,"STRONG BUY",IF(Y221=1,"BUY",IF(Y221=0,"HOLD",IF(Y221=-1,"SELL","STRONG SELL")))))</f>
        <v>STRONG BUY</v>
      </c>
    </row>
    <row r="222" customFormat="false" ht="15" hidden="false" customHeight="false" outlineLevel="0" collapsed="false">
      <c r="A222" s="24" t="n">
        <v>46078</v>
      </c>
      <c r="B222" s="25" t="n">
        <v>255.51</v>
      </c>
      <c r="C222" s="25" t="n">
        <v>255.7</v>
      </c>
      <c r="D222" s="25" t="n">
        <v>255.38</v>
      </c>
      <c r="E222" s="25" t="n">
        <v>255.54</v>
      </c>
      <c r="F222" s="26" t="n">
        <v>9528253</v>
      </c>
      <c r="G222" s="27" t="n">
        <f aca="false">E222-E221</f>
        <v>-3.35999999999999</v>
      </c>
      <c r="H222" s="28" t="n">
        <f aca="false">G222/E221</f>
        <v>-0.0129779837775202</v>
      </c>
      <c r="I222" s="29" t="n">
        <f aca="false">MAX(G222,0)</f>
        <v>0</v>
      </c>
      <c r="J222" s="29" t="n">
        <f aca="false">MAX(-G222,0)</f>
        <v>3.35999999999999</v>
      </c>
      <c r="K222" s="29" t="n">
        <f aca="false">(K221*13+I222)/14</f>
        <v>1.42048474223572</v>
      </c>
      <c r="L222" s="29" t="n">
        <f aca="false">(L221*13+J222)/14</f>
        <v>0.936190046175651</v>
      </c>
      <c r="M222" s="31" t="n">
        <f aca="false">IF(L222=0,100,100-100/(1+K222/MAX(L222,0.000001)))</f>
        <v>60.2749581410537</v>
      </c>
      <c r="N222" s="30" t="n">
        <f aca="false">AVERAGE(E203:E222)</f>
        <v>250.6975</v>
      </c>
      <c r="O222" s="30" t="n">
        <f aca="false">AVERAGE(E173:E222)</f>
        <v>239.8824</v>
      </c>
      <c r="P222" s="30" t="n">
        <f aca="false">AVERAGE(E23:E222)</f>
        <v>229.3522</v>
      </c>
      <c r="Q222" s="30" t="n">
        <f aca="false">Q221+(2/13)*(E222-Q221)</f>
        <v>256.3143640973</v>
      </c>
      <c r="R222" s="30" t="n">
        <f aca="false">R221+(2/27)*(E222-R221)</f>
        <v>249.592384872323</v>
      </c>
      <c r="S222" s="33" t="n">
        <f aca="false">Q222-R222</f>
        <v>6.72197922497696</v>
      </c>
      <c r="T222" s="33" t="n">
        <f aca="false">T221+(2/10)*(S222-T221)</f>
        <v>6.51154472335824</v>
      </c>
      <c r="U222" s="33" t="n">
        <f aca="false">S222-T222</f>
        <v>0.210434501618721</v>
      </c>
      <c r="V222" s="32" t="str">
        <f aca="false">IF(M222="","",IF(M222&lt;Assumptions!$B$5,"BUY",IF(M222&gt;Assumptions!$B$4,"SELL","HOLD")))</f>
        <v>HOLD</v>
      </c>
      <c r="W222" s="32" t="str">
        <f aca="false">IF(O222="","",IF(E222&gt;O222,"BUY","SELL"))</f>
        <v>BUY</v>
      </c>
      <c r="X222" s="32" t="str">
        <f aca="false">IF(T222="","",IF(S222&gt;T222,"BUY","SELL"))</f>
        <v>BUY</v>
      </c>
      <c r="Y222" s="34" t="n">
        <f aca="false">IF(OR(V222="",W222="",X222=""),"",IFERROR(IF(V222="BUY",1,IF(V222="SELL",-1,0))+IF(W222="BUY",1,IF(W222="SELL",-1,0))+IF(X222="BUY",1,IF(X222="SELL",-1,0)),0))</f>
        <v>2</v>
      </c>
      <c r="Z222" s="32" t="str">
        <f aca="false">IF(Y222="","",IF(Y222&gt;=2,"STRONG BUY",IF(Y222=1,"BUY",IF(Y222=0,"HOLD",IF(Y222=-1,"SELL","STRONG SELL")))))</f>
        <v>STRONG BUY</v>
      </c>
    </row>
    <row r="223" customFormat="false" ht="15" hidden="false" customHeight="false" outlineLevel="0" collapsed="false">
      <c r="A223" s="24" t="n">
        <v>46079</v>
      </c>
      <c r="B223" s="25" t="n">
        <v>253.42</v>
      </c>
      <c r="C223" s="25" t="n">
        <v>254.94</v>
      </c>
      <c r="D223" s="25" t="n">
        <v>253.42</v>
      </c>
      <c r="E223" s="25" t="n">
        <v>254.18</v>
      </c>
      <c r="F223" s="26" t="n">
        <v>6314274</v>
      </c>
      <c r="G223" s="27" t="n">
        <f aca="false">E223-E222</f>
        <v>-1.35999999999999</v>
      </c>
      <c r="H223" s="28" t="n">
        <f aca="false">G223/E222</f>
        <v>-0.00532206308210059</v>
      </c>
      <c r="I223" s="29" t="n">
        <f aca="false">MAX(G223,0)</f>
        <v>0</v>
      </c>
      <c r="J223" s="29" t="n">
        <f aca="false">MAX(-G223,0)</f>
        <v>1.35999999999999</v>
      </c>
      <c r="K223" s="29" t="n">
        <f aca="false">(K222*13+I223)/14</f>
        <v>1.31902154636174</v>
      </c>
      <c r="L223" s="29" t="n">
        <f aca="false">(L222*13+J223)/14</f>
        <v>0.966462185734532</v>
      </c>
      <c r="M223" s="31" t="n">
        <f aca="false">IF(L223=0,100,100-100/(1+K223/MAX(L223,0.000001)))</f>
        <v>57.7130140039071</v>
      </c>
      <c r="N223" s="30" t="n">
        <f aca="false">AVERAGE(E204:E223)</f>
        <v>251.5485</v>
      </c>
      <c r="O223" s="30" t="n">
        <f aca="false">AVERAGE(E174:E223)</f>
        <v>240.137</v>
      </c>
      <c r="P223" s="30" t="n">
        <f aca="false">AVERAGE(E24:E223)</f>
        <v>229.50475</v>
      </c>
      <c r="Q223" s="30" t="n">
        <f aca="false">Q222+(2/13)*(E223-Q222)</f>
        <v>255.986000390023</v>
      </c>
      <c r="R223" s="30" t="n">
        <f aca="false">R222+(2/27)*(E223-R222)</f>
        <v>249.932208215114</v>
      </c>
      <c r="S223" s="33" t="n">
        <f aca="false">Q223-R223</f>
        <v>6.05379217490918</v>
      </c>
      <c r="T223" s="33" t="n">
        <f aca="false">T222+(2/10)*(S223-T222)</f>
        <v>6.41999421366843</v>
      </c>
      <c r="U223" s="33" t="n">
        <f aca="false">S223-T223</f>
        <v>-0.366202038759252</v>
      </c>
      <c r="V223" s="32" t="str">
        <f aca="false">IF(M223="","",IF(M223&lt;Assumptions!$B$5,"BUY",IF(M223&gt;Assumptions!$B$4,"SELL","HOLD")))</f>
        <v>HOLD</v>
      </c>
      <c r="W223" s="32" t="str">
        <f aca="false">IF(O223="","",IF(E223&gt;O223,"BUY","SELL"))</f>
        <v>BUY</v>
      </c>
      <c r="X223" s="32" t="str">
        <f aca="false">IF(T223="","",IF(S223&gt;T223,"BUY","SELL"))</f>
        <v>SELL</v>
      </c>
      <c r="Y223" s="34" t="n">
        <f aca="false">IF(OR(V223="",W223="",X223=""),"",IFERROR(IF(V223="BUY",1,IF(V223="SELL",-1,0))+IF(W223="BUY",1,IF(W223="SELL",-1,0))+IF(X223="BUY",1,IF(X223="SELL",-1,0)),0))</f>
        <v>0</v>
      </c>
      <c r="Z223" s="32" t="str">
        <f aca="false">IF(Y223="","",IF(Y223&gt;=2,"STRONG BUY",IF(Y223=1,"BUY",IF(Y223=0,"HOLD",IF(Y223=-1,"SELL","STRONG SELL")))))</f>
        <v>HOLD</v>
      </c>
    </row>
    <row r="224" customFormat="false" ht="15" hidden="false" customHeight="false" outlineLevel="0" collapsed="false">
      <c r="A224" s="24" t="n">
        <v>46080</v>
      </c>
      <c r="B224" s="25" t="n">
        <v>251.01</v>
      </c>
      <c r="C224" s="25" t="n">
        <v>251.31</v>
      </c>
      <c r="D224" s="25" t="n">
        <v>250.27</v>
      </c>
      <c r="E224" s="25" t="n">
        <v>250.79</v>
      </c>
      <c r="F224" s="26" t="n">
        <v>6303645</v>
      </c>
      <c r="G224" s="27" t="n">
        <f aca="false">E224-E223</f>
        <v>-3.39000000000002</v>
      </c>
      <c r="H224" s="28" t="n">
        <f aca="false">G224/E223</f>
        <v>-0.0133370052718546</v>
      </c>
      <c r="I224" s="29" t="n">
        <f aca="false">MAX(G224,0)</f>
        <v>0</v>
      </c>
      <c r="J224" s="29" t="n">
        <f aca="false">MAX(-G224,0)</f>
        <v>3.39000000000002</v>
      </c>
      <c r="K224" s="29" t="n">
        <f aca="false">(K223*13+I224)/14</f>
        <v>1.22480572162162</v>
      </c>
      <c r="L224" s="29" t="n">
        <f aca="false">(L223*13+J224)/14</f>
        <v>1.13957202961064</v>
      </c>
      <c r="M224" s="31" t="n">
        <f aca="false">IF(L224=0,100,100-100/(1+K224/MAX(L224,0.000001)))</f>
        <v>51.8024550426969</v>
      </c>
      <c r="N224" s="30" t="n">
        <f aca="false">AVERAGE(E205:E224)</f>
        <v>252.221</v>
      </c>
      <c r="O224" s="30" t="n">
        <f aca="false">AVERAGE(E175:E224)</f>
        <v>240.3886</v>
      </c>
      <c r="P224" s="30" t="n">
        <f aca="false">AVERAGE(E25:E224)</f>
        <v>229.63725</v>
      </c>
      <c r="Q224" s="30" t="n">
        <f aca="false">Q223+(2/13)*(E224-Q223)</f>
        <v>255.186615714635</v>
      </c>
      <c r="R224" s="30" t="n">
        <f aca="false">R223+(2/27)*(E224-R223)</f>
        <v>249.995748347327</v>
      </c>
      <c r="S224" s="33" t="n">
        <f aca="false">Q224-R224</f>
        <v>5.19086736730728</v>
      </c>
      <c r="T224" s="33" t="n">
        <f aca="false">T223+(2/10)*(S224-T223)</f>
        <v>6.1741688443962</v>
      </c>
      <c r="U224" s="33" t="n">
        <f aca="false">S224-T224</f>
        <v>-0.983301477088921</v>
      </c>
      <c r="V224" s="32" t="str">
        <f aca="false">IF(M224="","",IF(M224&lt;Assumptions!$B$5,"BUY",IF(M224&gt;Assumptions!$B$4,"SELL","HOLD")))</f>
        <v>HOLD</v>
      </c>
      <c r="W224" s="32" t="str">
        <f aca="false">IF(O224="","",IF(E224&gt;O224,"BUY","SELL"))</f>
        <v>BUY</v>
      </c>
      <c r="X224" s="32" t="str">
        <f aca="false">IF(T224="","",IF(S224&gt;T224,"BUY","SELL"))</f>
        <v>SELL</v>
      </c>
      <c r="Y224" s="34" t="n">
        <f aca="false">IF(OR(V224="",W224="",X224=""),"",IFERROR(IF(V224="BUY",1,IF(V224="SELL",-1,0))+IF(W224="BUY",1,IF(W224="SELL",-1,0))+IF(X224="BUY",1,IF(X224="SELL",-1,0)),0))</f>
        <v>0</v>
      </c>
      <c r="Z224" s="32" t="str">
        <f aca="false">IF(Y224="","",IF(Y224&gt;=2,"STRONG BUY",IF(Y224=1,"BUY",IF(Y224=0,"HOLD",IF(Y224=-1,"SELL","STRONG SELL")))))</f>
        <v>HOLD</v>
      </c>
    </row>
    <row r="225" customFormat="false" ht="15" hidden="false" customHeight="false" outlineLevel="0" collapsed="false">
      <c r="A225" s="24" t="n">
        <v>46083</v>
      </c>
      <c r="B225" s="25" t="n">
        <v>252.68</v>
      </c>
      <c r="C225" s="25" t="n">
        <v>254.02</v>
      </c>
      <c r="D225" s="25" t="n">
        <v>252.68</v>
      </c>
      <c r="E225" s="25" t="n">
        <v>253.35</v>
      </c>
      <c r="F225" s="26" t="n">
        <v>6858755</v>
      </c>
      <c r="G225" s="27" t="n">
        <f aca="false">E225-E224</f>
        <v>2.56</v>
      </c>
      <c r="H225" s="28" t="n">
        <f aca="false">G225/E224</f>
        <v>0.0102077435304438</v>
      </c>
      <c r="I225" s="29" t="n">
        <f aca="false">MAX(G225,0)</f>
        <v>2.56</v>
      </c>
      <c r="J225" s="29" t="n">
        <f aca="false">MAX(-G225,0)</f>
        <v>0</v>
      </c>
      <c r="K225" s="29" t="n">
        <f aca="false">(K224*13+I225)/14</f>
        <v>1.32017674150579</v>
      </c>
      <c r="L225" s="29" t="n">
        <f aca="false">(L224*13+J225)/14</f>
        <v>1.05817402749559</v>
      </c>
      <c r="M225" s="31" t="n">
        <f aca="false">IF(L225=0,100,100-100/(1+K225/MAX(L225,0.000001)))</f>
        <v>55.5080755417798</v>
      </c>
      <c r="N225" s="30" t="n">
        <f aca="false">AVERAGE(E206:E225)</f>
        <v>252.961</v>
      </c>
      <c r="O225" s="30" t="n">
        <f aca="false">AVERAGE(E176:E225)</f>
        <v>240.682</v>
      </c>
      <c r="P225" s="30" t="n">
        <f aca="false">AVERAGE(E26:E225)</f>
        <v>229.7962</v>
      </c>
      <c r="Q225" s="30" t="n">
        <f aca="false">Q224+(2/13)*(E225-Q224)</f>
        <v>254.904059450845</v>
      </c>
      <c r="R225" s="30" t="n">
        <f aca="false">R224+(2/27)*(E225-R224)</f>
        <v>250.24421143271</v>
      </c>
      <c r="S225" s="33" t="n">
        <f aca="false">Q225-R225</f>
        <v>4.6598480181342</v>
      </c>
      <c r="T225" s="33" t="n">
        <f aca="false">T224+(2/10)*(S225-T224)</f>
        <v>5.8713046791438</v>
      </c>
      <c r="U225" s="33" t="n">
        <f aca="false">S225-T225</f>
        <v>-1.2114566610096</v>
      </c>
      <c r="V225" s="32" t="str">
        <f aca="false">IF(M225="","",IF(M225&lt;Assumptions!$B$5,"BUY",IF(M225&gt;Assumptions!$B$4,"SELL","HOLD")))</f>
        <v>HOLD</v>
      </c>
      <c r="W225" s="32" t="str">
        <f aca="false">IF(O225="","",IF(E225&gt;O225,"BUY","SELL"))</f>
        <v>BUY</v>
      </c>
      <c r="X225" s="32" t="str">
        <f aca="false">IF(T225="","",IF(S225&gt;T225,"BUY","SELL"))</f>
        <v>SELL</v>
      </c>
      <c r="Y225" s="34" t="n">
        <f aca="false">IF(OR(V225="",W225="",X225=""),"",IFERROR(IF(V225="BUY",1,IF(V225="SELL",-1,0))+IF(W225="BUY",1,IF(W225="SELL",-1,0))+IF(X225="BUY",1,IF(X225="SELL",-1,0)),0))</f>
        <v>0</v>
      </c>
      <c r="Z225" s="32" t="str">
        <f aca="false">IF(Y225="","",IF(Y225&gt;=2,"STRONG BUY",IF(Y225=1,"BUY",IF(Y225=0,"HOLD",IF(Y225=-1,"SELL","STRONG SELL")))))</f>
        <v>HOLD</v>
      </c>
    </row>
    <row r="226" customFormat="false" ht="15" hidden="false" customHeight="false" outlineLevel="0" collapsed="false">
      <c r="A226" s="24" t="n">
        <v>46084</v>
      </c>
      <c r="B226" s="25" t="n">
        <v>257.49</v>
      </c>
      <c r="C226" s="25" t="n">
        <v>260.88</v>
      </c>
      <c r="D226" s="25" t="n">
        <v>255.46</v>
      </c>
      <c r="E226" s="25" t="n">
        <v>258.17</v>
      </c>
      <c r="F226" s="26" t="n">
        <v>9511900</v>
      </c>
      <c r="G226" s="27" t="n">
        <f aca="false">E226-E225</f>
        <v>4.82000000000002</v>
      </c>
      <c r="H226" s="28" t="n">
        <f aca="false">G226/E225</f>
        <v>0.0190250641405172</v>
      </c>
      <c r="I226" s="29" t="n">
        <f aca="false">MAX(G226,0)</f>
        <v>4.82000000000002</v>
      </c>
      <c r="J226" s="29" t="n">
        <f aca="false">MAX(-G226,0)</f>
        <v>0</v>
      </c>
      <c r="K226" s="29" t="n">
        <f aca="false">(K225*13+I226)/14</f>
        <v>1.57016411711252</v>
      </c>
      <c r="L226" s="29" t="n">
        <f aca="false">(L225*13+J226)/14</f>
        <v>0.982590168388764</v>
      </c>
      <c r="M226" s="31" t="n">
        <f aca="false">IF(L226=0,100,100-100/(1+K226/MAX(L226,0.000001)))</f>
        <v>61.5086272122029</v>
      </c>
      <c r="N226" s="30" t="n">
        <f aca="false">AVERAGE(E207:E226)</f>
        <v>253.953</v>
      </c>
      <c r="O226" s="30" t="n">
        <f aca="false">AVERAGE(E177:E226)</f>
        <v>241.1236</v>
      </c>
      <c r="P226" s="30" t="n">
        <f aca="false">AVERAGE(E27:E226)</f>
        <v>229.9897</v>
      </c>
      <c r="Q226" s="30" t="n">
        <f aca="false">Q225+(2/13)*(E226-Q225)</f>
        <v>255.406511843022</v>
      </c>
      <c r="R226" s="30" t="n">
        <f aca="false">R225+(2/27)*(E226-R225)</f>
        <v>250.831306882139</v>
      </c>
      <c r="S226" s="33" t="n">
        <f aca="false">Q226-R226</f>
        <v>4.5752049608831</v>
      </c>
      <c r="T226" s="33" t="n">
        <f aca="false">T225+(2/10)*(S226-T225)</f>
        <v>5.61208473549166</v>
      </c>
      <c r="U226" s="33" t="n">
        <f aca="false">S226-T226</f>
        <v>-1.03687977460856</v>
      </c>
      <c r="V226" s="32" t="str">
        <f aca="false">IF(M226="","",IF(M226&lt;Assumptions!$B$5,"BUY",IF(M226&gt;Assumptions!$B$4,"SELL","HOLD")))</f>
        <v>HOLD</v>
      </c>
      <c r="W226" s="32" t="str">
        <f aca="false">IF(O226="","",IF(E226&gt;O226,"BUY","SELL"))</f>
        <v>BUY</v>
      </c>
      <c r="X226" s="32" t="str">
        <f aca="false">IF(T226="","",IF(S226&gt;T226,"BUY","SELL"))</f>
        <v>SELL</v>
      </c>
      <c r="Y226" s="34" t="n">
        <f aca="false">IF(OR(V226="",W226="",X226=""),"",IFERROR(IF(V226="BUY",1,IF(V226="SELL",-1,0))+IF(W226="BUY",1,IF(W226="SELL",-1,0))+IF(X226="BUY",1,IF(X226="SELL",-1,0)),0))</f>
        <v>0</v>
      </c>
      <c r="Z226" s="32" t="str">
        <f aca="false">IF(Y226="","",IF(Y226&gt;=2,"STRONG BUY",IF(Y226=1,"BUY",IF(Y226=0,"HOLD",IF(Y226=-1,"SELL","STRONG SELL")))))</f>
        <v>HOLD</v>
      </c>
    </row>
    <row r="227" customFormat="false" ht="15" hidden="false" customHeight="false" outlineLevel="0" collapsed="false">
      <c r="A227" s="24" t="n">
        <v>46085</v>
      </c>
      <c r="B227" s="25" t="n">
        <v>259.96</v>
      </c>
      <c r="C227" s="25" t="n">
        <v>260.39</v>
      </c>
      <c r="D227" s="25" t="n">
        <v>259.85</v>
      </c>
      <c r="E227" s="25" t="n">
        <v>260.12</v>
      </c>
      <c r="F227" s="26" t="n">
        <v>7371225</v>
      </c>
      <c r="G227" s="27" t="n">
        <f aca="false">E227-E226</f>
        <v>1.94999999999999</v>
      </c>
      <c r="H227" s="28" t="n">
        <f aca="false">G227/E226</f>
        <v>0.00755316264476891</v>
      </c>
      <c r="I227" s="29" t="n">
        <f aca="false">MAX(G227,0)</f>
        <v>1.94999999999999</v>
      </c>
      <c r="J227" s="29" t="n">
        <f aca="false">MAX(-G227,0)</f>
        <v>0</v>
      </c>
      <c r="K227" s="29" t="n">
        <f aca="false">(K226*13+I227)/14</f>
        <v>1.59729525160448</v>
      </c>
      <c r="L227" s="29" t="n">
        <f aca="false">(L226*13+J227)/14</f>
        <v>0.912405156360996</v>
      </c>
      <c r="M227" s="31" t="n">
        <f aca="false">IF(L227=0,100,100-100/(1+K227/MAX(L227,0.000001)))</f>
        <v>63.6448576306106</v>
      </c>
      <c r="N227" s="30" t="n">
        <f aca="false">AVERAGE(E208:E227)</f>
        <v>254.9455</v>
      </c>
      <c r="O227" s="30" t="n">
        <f aca="false">AVERAGE(E178:E227)</f>
        <v>241.6046</v>
      </c>
      <c r="P227" s="30" t="n">
        <f aca="false">AVERAGE(E28:E227)</f>
        <v>230.1816</v>
      </c>
      <c r="Q227" s="30" t="n">
        <f aca="false">Q226+(2/13)*(E227-Q226)</f>
        <v>256.131663867173</v>
      </c>
      <c r="R227" s="30" t="n">
        <f aca="false">R226+(2/27)*(E227-R226)</f>
        <v>251.519358224203</v>
      </c>
      <c r="S227" s="33" t="n">
        <f aca="false">Q227-R227</f>
        <v>4.61230564296974</v>
      </c>
      <c r="T227" s="33" t="n">
        <f aca="false">T226+(2/10)*(S227-T226)</f>
        <v>5.41212891698728</v>
      </c>
      <c r="U227" s="33" t="n">
        <f aca="false">S227-T227</f>
        <v>-0.799823274017531</v>
      </c>
      <c r="V227" s="32" t="str">
        <f aca="false">IF(M227="","",IF(M227&lt;Assumptions!$B$5,"BUY",IF(M227&gt;Assumptions!$B$4,"SELL","HOLD")))</f>
        <v>HOLD</v>
      </c>
      <c r="W227" s="32" t="str">
        <f aca="false">IF(O227="","",IF(E227&gt;O227,"BUY","SELL"))</f>
        <v>BUY</v>
      </c>
      <c r="X227" s="32" t="str">
        <f aca="false">IF(T227="","",IF(S227&gt;T227,"BUY","SELL"))</f>
        <v>SELL</v>
      </c>
      <c r="Y227" s="34" t="n">
        <f aca="false">IF(OR(V227="",W227="",X227=""),"",IFERROR(IF(V227="BUY",1,IF(V227="SELL",-1,0))+IF(W227="BUY",1,IF(W227="SELL",-1,0))+IF(X227="BUY",1,IF(X227="SELL",-1,0)),0))</f>
        <v>0</v>
      </c>
      <c r="Z227" s="32" t="str">
        <f aca="false">IF(Y227="","",IF(Y227&gt;=2,"STRONG BUY",IF(Y227=1,"BUY",IF(Y227=0,"HOLD",IF(Y227=-1,"SELL","STRONG SELL")))))</f>
        <v>HOLD</v>
      </c>
    </row>
    <row r="228" customFormat="false" ht="15" hidden="false" customHeight="false" outlineLevel="0" collapsed="false">
      <c r="A228" s="24" t="n">
        <v>46086</v>
      </c>
      <c r="B228" s="25" t="n">
        <v>254.99</v>
      </c>
      <c r="C228" s="25" t="n">
        <v>257.57</v>
      </c>
      <c r="D228" s="25" t="n">
        <v>254.81</v>
      </c>
      <c r="E228" s="25" t="n">
        <v>256.19</v>
      </c>
      <c r="F228" s="26" t="n">
        <v>9238279</v>
      </c>
      <c r="G228" s="27" t="n">
        <f aca="false">E228-E227</f>
        <v>-3.93000000000001</v>
      </c>
      <c r="H228" s="28" t="n">
        <f aca="false">G228/E227</f>
        <v>-0.0151084115023835</v>
      </c>
      <c r="I228" s="29" t="n">
        <f aca="false">MAX(G228,0)</f>
        <v>0</v>
      </c>
      <c r="J228" s="29" t="n">
        <f aca="false">MAX(-G228,0)</f>
        <v>3.93000000000001</v>
      </c>
      <c r="K228" s="29" t="n">
        <f aca="false">(K227*13+I228)/14</f>
        <v>1.48320273363273</v>
      </c>
      <c r="L228" s="29" t="n">
        <f aca="false">(L227*13+J228)/14</f>
        <v>1.12794764519235</v>
      </c>
      <c r="M228" s="31" t="n">
        <f aca="false">IF(L228=0,100,100-100/(1+K228/MAX(L228,0.000001)))</f>
        <v>56.8026547096117</v>
      </c>
      <c r="N228" s="30" t="n">
        <f aca="false">AVERAGE(E209:E228)</f>
        <v>255.8575</v>
      </c>
      <c r="O228" s="30" t="n">
        <f aca="false">AVERAGE(E179:E228)</f>
        <v>242.019</v>
      </c>
      <c r="P228" s="30" t="n">
        <f aca="false">AVERAGE(E29:E228)</f>
        <v>230.354</v>
      </c>
      <c r="Q228" s="30" t="n">
        <f aca="false">Q227+(2/13)*(E228-Q227)</f>
        <v>256.140638656839</v>
      </c>
      <c r="R228" s="30" t="n">
        <f aca="false">R227+(2/27)*(E228-R227)</f>
        <v>251.865331689077</v>
      </c>
      <c r="S228" s="33" t="n">
        <f aca="false">Q228-R228</f>
        <v>4.27530696776162</v>
      </c>
      <c r="T228" s="33" t="n">
        <f aca="false">T227+(2/10)*(S228-T227)</f>
        <v>5.18476452714214</v>
      </c>
      <c r="U228" s="33" t="n">
        <f aca="false">S228-T228</f>
        <v>-0.909457559380522</v>
      </c>
      <c r="V228" s="32" t="str">
        <f aca="false">IF(M228="","",IF(M228&lt;Assumptions!$B$5,"BUY",IF(M228&gt;Assumptions!$B$4,"SELL","HOLD")))</f>
        <v>HOLD</v>
      </c>
      <c r="W228" s="32" t="str">
        <f aca="false">IF(O228="","",IF(E228&gt;O228,"BUY","SELL"))</f>
        <v>BUY</v>
      </c>
      <c r="X228" s="32" t="str">
        <f aca="false">IF(T228="","",IF(S228&gt;T228,"BUY","SELL"))</f>
        <v>SELL</v>
      </c>
      <c r="Y228" s="34" t="n">
        <f aca="false">IF(OR(V228="",W228="",X228=""),"",IFERROR(IF(V228="BUY",1,IF(V228="SELL",-1,0))+IF(W228="BUY",1,IF(W228="SELL",-1,0))+IF(X228="BUY",1,IF(X228="SELL",-1,0)),0))</f>
        <v>0</v>
      </c>
      <c r="Z228" s="32" t="str">
        <f aca="false">IF(Y228="","",IF(Y228&gt;=2,"STRONG BUY",IF(Y228=1,"BUY",IF(Y228=0,"HOLD",IF(Y228=-1,"SELL","STRONG SELL")))))</f>
        <v>HOLD</v>
      </c>
    </row>
    <row r="229" customFormat="false" ht="15" hidden="false" customHeight="false" outlineLevel="0" collapsed="false">
      <c r="A229" s="24" t="n">
        <v>46087</v>
      </c>
      <c r="B229" s="25" t="n">
        <v>257.09</v>
      </c>
      <c r="C229" s="25" t="n">
        <v>257.9</v>
      </c>
      <c r="D229" s="25" t="n">
        <v>255.7</v>
      </c>
      <c r="E229" s="25" t="n">
        <v>256.8</v>
      </c>
      <c r="F229" s="26" t="n">
        <v>7574150</v>
      </c>
      <c r="G229" s="27" t="n">
        <f aca="false">E229-E228</f>
        <v>0.610000000000014</v>
      </c>
      <c r="H229" s="28" t="n">
        <f aca="false">G229/E228</f>
        <v>0.00238104531792815</v>
      </c>
      <c r="I229" s="29" t="n">
        <f aca="false">MAX(G229,0)</f>
        <v>0.610000000000014</v>
      </c>
      <c r="J229" s="29" t="n">
        <f aca="false">MAX(-G229,0)</f>
        <v>0</v>
      </c>
      <c r="K229" s="29" t="n">
        <f aca="false">(K228*13+I229)/14</f>
        <v>1.42083110980182</v>
      </c>
      <c r="L229" s="29" t="n">
        <f aca="false">(L228*13+J229)/14</f>
        <v>1.04737995625004</v>
      </c>
      <c r="M229" s="31" t="n">
        <f aca="false">IF(L229=0,100,100-100/(1+K229/MAX(L229,0.000001)))</f>
        <v>57.5652191720611</v>
      </c>
      <c r="N229" s="30" t="n">
        <f aca="false">AVERAGE(E210:E229)</f>
        <v>256.7455</v>
      </c>
      <c r="O229" s="30" t="n">
        <f aca="false">AVERAGE(E180:E229)</f>
        <v>242.4746</v>
      </c>
      <c r="P229" s="30" t="n">
        <f aca="false">AVERAGE(E30:E229)</f>
        <v>230.51885</v>
      </c>
      <c r="Q229" s="30" t="n">
        <f aca="false">Q228+(2/13)*(E229-Q228)</f>
        <v>256.242078863479</v>
      </c>
      <c r="R229" s="30" t="n">
        <f aca="false">R228+(2/27)*(E229-R228)</f>
        <v>252.230862675071</v>
      </c>
      <c r="S229" s="33" t="n">
        <f aca="false">Q229-R229</f>
        <v>4.01121618840756</v>
      </c>
      <c r="T229" s="33" t="n">
        <f aca="false">T228+(2/10)*(S229-T228)</f>
        <v>4.95005485939523</v>
      </c>
      <c r="U229" s="33" t="n">
        <f aca="false">S229-T229</f>
        <v>-0.938838670987669</v>
      </c>
      <c r="V229" s="32" t="str">
        <f aca="false">IF(M229="","",IF(M229&lt;Assumptions!$B$5,"BUY",IF(M229&gt;Assumptions!$B$4,"SELL","HOLD")))</f>
        <v>HOLD</v>
      </c>
      <c r="W229" s="32" t="str">
        <f aca="false">IF(O229="","",IF(E229&gt;O229,"BUY","SELL"))</f>
        <v>BUY</v>
      </c>
      <c r="X229" s="32" t="str">
        <f aca="false">IF(T229="","",IF(S229&gt;T229,"BUY","SELL"))</f>
        <v>SELL</v>
      </c>
      <c r="Y229" s="34" t="n">
        <f aca="false">IF(OR(V229="",W229="",X229=""),"",IFERROR(IF(V229="BUY",1,IF(V229="SELL",-1,0))+IF(W229="BUY",1,IF(W229="SELL",-1,0))+IF(X229="BUY",1,IF(X229="SELL",-1,0)),0))</f>
        <v>0</v>
      </c>
      <c r="Z229" s="32" t="str">
        <f aca="false">IF(Y229="","",IF(Y229&gt;=2,"STRONG BUY",IF(Y229=1,"BUY",IF(Y229=0,"HOLD",IF(Y229=-1,"SELL","STRONG SELL")))))</f>
        <v>HOLD</v>
      </c>
    </row>
    <row r="230" customFormat="false" ht="15" hidden="false" customHeight="false" outlineLevel="0" collapsed="false">
      <c r="A230" s="24" t="n">
        <v>46090</v>
      </c>
      <c r="B230" s="25" t="n">
        <v>254.73</v>
      </c>
      <c r="C230" s="25" t="n">
        <v>255.24</v>
      </c>
      <c r="D230" s="25" t="n">
        <v>253.58</v>
      </c>
      <c r="E230" s="25" t="n">
        <v>254.41</v>
      </c>
      <c r="F230" s="26" t="n">
        <v>6190589</v>
      </c>
      <c r="G230" s="27" t="n">
        <f aca="false">E230-E229</f>
        <v>-2.39000000000002</v>
      </c>
      <c r="H230" s="28" t="n">
        <f aca="false">G230/E229</f>
        <v>-0.00930685358255457</v>
      </c>
      <c r="I230" s="29" t="n">
        <f aca="false">MAX(G230,0)</f>
        <v>0</v>
      </c>
      <c r="J230" s="29" t="n">
        <f aca="false">MAX(-G230,0)</f>
        <v>2.39000000000002</v>
      </c>
      <c r="K230" s="29" t="n">
        <f aca="false">(K229*13+I230)/14</f>
        <v>1.31934317338741</v>
      </c>
      <c r="L230" s="29" t="n">
        <f aca="false">(L229*13+J230)/14</f>
        <v>1.14328138794647</v>
      </c>
      <c r="M230" s="31" t="n">
        <f aca="false">IF(L230=0,100,100-100/(1+K230/MAX(L230,0.000001)))</f>
        <v>53.5746777686968</v>
      </c>
      <c r="N230" s="30" t="n">
        <f aca="false">AVERAGE(E211:E230)</f>
        <v>257.3085</v>
      </c>
      <c r="O230" s="30" t="n">
        <f aca="false">AVERAGE(E181:E230)</f>
        <v>242.8024</v>
      </c>
      <c r="P230" s="30" t="n">
        <f aca="false">AVERAGE(E31:E230)</f>
        <v>230.68235</v>
      </c>
      <c r="Q230" s="30" t="n">
        <f aca="false">Q229+(2/13)*(E230-Q229)</f>
        <v>255.96022057679</v>
      </c>
      <c r="R230" s="30" t="n">
        <f aca="false">R229+(2/27)*(E230-R229)</f>
        <v>252.392280254696</v>
      </c>
      <c r="S230" s="33" t="n">
        <f aca="false">Q230-R230</f>
        <v>3.56794032209416</v>
      </c>
      <c r="T230" s="33" t="n">
        <f aca="false">T229+(2/10)*(S230-T229)</f>
        <v>4.67363195193501</v>
      </c>
      <c r="U230" s="33" t="n">
        <f aca="false">S230-T230</f>
        <v>-1.10569162984085</v>
      </c>
      <c r="V230" s="32" t="str">
        <f aca="false">IF(M230="","",IF(M230&lt;Assumptions!$B$5,"BUY",IF(M230&gt;Assumptions!$B$4,"SELL","HOLD")))</f>
        <v>HOLD</v>
      </c>
      <c r="W230" s="32" t="str">
        <f aca="false">IF(O230="","",IF(E230&gt;O230,"BUY","SELL"))</f>
        <v>BUY</v>
      </c>
      <c r="X230" s="32" t="str">
        <f aca="false">IF(T230="","",IF(S230&gt;T230,"BUY","SELL"))</f>
        <v>SELL</v>
      </c>
      <c r="Y230" s="34" t="n">
        <f aca="false">IF(OR(V230="",W230="",X230=""),"",IFERROR(IF(V230="BUY",1,IF(V230="SELL",-1,0))+IF(W230="BUY",1,IF(W230="SELL",-1,0))+IF(X230="BUY",1,IF(X230="SELL",-1,0)),0))</f>
        <v>0</v>
      </c>
      <c r="Z230" s="32" t="str">
        <f aca="false">IF(Y230="","",IF(Y230&gt;=2,"STRONG BUY",IF(Y230=1,"BUY",IF(Y230=0,"HOLD",IF(Y230=-1,"SELL","STRONG SELL")))))</f>
        <v>HOLD</v>
      </c>
    </row>
    <row r="231" customFormat="false" ht="15" hidden="false" customHeight="false" outlineLevel="0" collapsed="false">
      <c r="A231" s="24" t="n">
        <v>46091</v>
      </c>
      <c r="B231" s="25" t="n">
        <v>254.73</v>
      </c>
      <c r="C231" s="25" t="n">
        <v>257.08</v>
      </c>
      <c r="D231" s="25" t="n">
        <v>253.36</v>
      </c>
      <c r="E231" s="25" t="n">
        <v>255.22</v>
      </c>
      <c r="F231" s="26" t="n">
        <v>4486836</v>
      </c>
      <c r="G231" s="27" t="n">
        <f aca="false">E231-E230</f>
        <v>0.810000000000002</v>
      </c>
      <c r="H231" s="28" t="n">
        <f aca="false">G231/E230</f>
        <v>0.00318383711332103</v>
      </c>
      <c r="I231" s="29" t="n">
        <f aca="false">MAX(G231,0)</f>
        <v>0.810000000000002</v>
      </c>
      <c r="J231" s="29" t="n">
        <f aca="false">MAX(-G231,0)</f>
        <v>0</v>
      </c>
      <c r="K231" s="29" t="n">
        <f aca="false">(K230*13+I231)/14</f>
        <v>1.28296151814545</v>
      </c>
      <c r="L231" s="29" t="n">
        <f aca="false">(L230*13+J231)/14</f>
        <v>1.06161843166458</v>
      </c>
      <c r="M231" s="31" t="n">
        <f aca="false">IF(L231=0,100,100-100/(1+K231/MAX(L231,0.000001)))</f>
        <v>54.7203143253615</v>
      </c>
      <c r="N231" s="30" t="n">
        <f aca="false">AVERAGE(E212:E231)</f>
        <v>257.6395</v>
      </c>
      <c r="O231" s="30" t="n">
        <f aca="false">AVERAGE(E182:E231)</f>
        <v>243.1578</v>
      </c>
      <c r="P231" s="30" t="n">
        <f aca="false">AVERAGE(E32:E231)</f>
        <v>230.83385</v>
      </c>
      <c r="Q231" s="30" t="n">
        <f aca="false">Q230+(2/13)*(E231-Q230)</f>
        <v>255.846340488053</v>
      </c>
      <c r="R231" s="30" t="n">
        <f aca="false">R230+(2/27)*(E231-R230)</f>
        <v>252.60174097657</v>
      </c>
      <c r="S231" s="33" t="n">
        <f aca="false">Q231-R231</f>
        <v>3.24459951148287</v>
      </c>
      <c r="T231" s="33" t="n">
        <f aca="false">T230+(2/10)*(S231-T230)</f>
        <v>4.38782546384459</v>
      </c>
      <c r="U231" s="33" t="n">
        <f aca="false">S231-T231</f>
        <v>-1.14322595236171</v>
      </c>
      <c r="V231" s="32" t="str">
        <f aca="false">IF(M231="","",IF(M231&lt;Assumptions!$B$5,"BUY",IF(M231&gt;Assumptions!$B$4,"SELL","HOLD")))</f>
        <v>HOLD</v>
      </c>
      <c r="W231" s="32" t="str">
        <f aca="false">IF(O231="","",IF(E231&gt;O231,"BUY","SELL"))</f>
        <v>BUY</v>
      </c>
      <c r="X231" s="32" t="str">
        <f aca="false">IF(T231="","",IF(S231&gt;T231,"BUY","SELL"))</f>
        <v>SELL</v>
      </c>
      <c r="Y231" s="34" t="n">
        <f aca="false">IF(OR(V231="",W231="",X231=""),"",IFERROR(IF(V231="BUY",1,IF(V231="SELL",-1,0))+IF(W231="BUY",1,IF(W231="SELL",-1,0))+IF(X231="BUY",1,IF(X231="SELL",-1,0)),0))</f>
        <v>0</v>
      </c>
      <c r="Z231" s="32" t="str">
        <f aca="false">IF(Y231="","",IF(Y231&gt;=2,"STRONG BUY",IF(Y231=1,"BUY",IF(Y231=0,"HOLD",IF(Y231=-1,"SELL","STRONG SELL")))))</f>
        <v>HOLD</v>
      </c>
    </row>
    <row r="232" customFormat="false" ht="15" hidden="false" customHeight="false" outlineLevel="0" collapsed="false">
      <c r="A232" s="24" t="n">
        <v>46092</v>
      </c>
      <c r="B232" s="25" t="n">
        <v>252.72</v>
      </c>
      <c r="C232" s="25" t="n">
        <v>253.16</v>
      </c>
      <c r="D232" s="25" t="n">
        <v>252.72</v>
      </c>
      <c r="E232" s="25" t="n">
        <v>252.94</v>
      </c>
      <c r="F232" s="26" t="n">
        <v>4461146</v>
      </c>
      <c r="G232" s="27" t="n">
        <f aca="false">E232-E231</f>
        <v>-2.28</v>
      </c>
      <c r="H232" s="28" t="n">
        <f aca="false">G232/E231</f>
        <v>-0.00893346916385864</v>
      </c>
      <c r="I232" s="29" t="n">
        <f aca="false">MAX(G232,0)</f>
        <v>0</v>
      </c>
      <c r="J232" s="29" t="n">
        <f aca="false">MAX(-G232,0)</f>
        <v>2.28</v>
      </c>
      <c r="K232" s="29" t="n">
        <f aca="false">(K231*13+I232)/14</f>
        <v>1.19132140970649</v>
      </c>
      <c r="L232" s="29" t="n">
        <f aca="false">(L231*13+J232)/14</f>
        <v>1.14864568654568</v>
      </c>
      <c r="M232" s="31" t="n">
        <f aca="false">IF(L232=0,100,100-100/(1+K232/MAX(L232,0.000001)))</f>
        <v>50.9118872489524</v>
      </c>
      <c r="N232" s="30" t="n">
        <f aca="false">AVERAGE(E213:E232)</f>
        <v>257.7085</v>
      </c>
      <c r="O232" s="30" t="n">
        <f aca="false">AVERAGE(E183:E232)</f>
        <v>243.5438</v>
      </c>
      <c r="P232" s="30" t="n">
        <f aca="false">AVERAGE(E33:E232)</f>
        <v>230.976</v>
      </c>
      <c r="Q232" s="30" t="n">
        <f aca="false">Q231+(2/13)*(E232-Q231)</f>
        <v>255.399211182199</v>
      </c>
      <c r="R232" s="30" t="n">
        <f aca="false">R231+(2/27)*(E232-R231)</f>
        <v>252.626797200528</v>
      </c>
      <c r="S232" s="33" t="n">
        <f aca="false">Q232-R232</f>
        <v>2.77241398167081</v>
      </c>
      <c r="T232" s="33" t="n">
        <f aca="false">T231+(2/10)*(S232-T231)</f>
        <v>4.06474316740983</v>
      </c>
      <c r="U232" s="33" t="n">
        <f aca="false">S232-T232</f>
        <v>-1.29232918573902</v>
      </c>
      <c r="V232" s="32" t="str">
        <f aca="false">IF(M232="","",IF(M232&lt;Assumptions!$B$5,"BUY",IF(M232&gt;Assumptions!$B$4,"SELL","HOLD")))</f>
        <v>HOLD</v>
      </c>
      <c r="W232" s="32" t="str">
        <f aca="false">IF(O232="","",IF(E232&gt;O232,"BUY","SELL"))</f>
        <v>BUY</v>
      </c>
      <c r="X232" s="32" t="str">
        <f aca="false">IF(T232="","",IF(S232&gt;T232,"BUY","SELL"))</f>
        <v>SELL</v>
      </c>
      <c r="Y232" s="34" t="n">
        <f aca="false">IF(OR(V232="",W232="",X232=""),"",IFERROR(IF(V232="BUY",1,IF(V232="SELL",-1,0))+IF(W232="BUY",1,IF(W232="SELL",-1,0))+IF(X232="BUY",1,IF(X232="SELL",-1,0)),0))</f>
        <v>0</v>
      </c>
      <c r="Z232" s="32" t="str">
        <f aca="false">IF(Y232="","",IF(Y232&gt;=2,"STRONG BUY",IF(Y232=1,"BUY",IF(Y232=0,"HOLD",IF(Y232=-1,"SELL","STRONG SELL")))))</f>
        <v>HOLD</v>
      </c>
    </row>
    <row r="233" customFormat="false" ht="15" hidden="false" customHeight="false" outlineLevel="0" collapsed="false">
      <c r="A233" s="24" t="n">
        <v>46093</v>
      </c>
      <c r="B233" s="25" t="n">
        <v>256.13</v>
      </c>
      <c r="C233" s="25" t="n">
        <v>256.28</v>
      </c>
      <c r="D233" s="25" t="n">
        <v>255.16</v>
      </c>
      <c r="E233" s="25" t="n">
        <v>255.72</v>
      </c>
      <c r="F233" s="26" t="n">
        <v>7483304</v>
      </c>
      <c r="G233" s="27" t="n">
        <f aca="false">E233-E232</f>
        <v>2.78</v>
      </c>
      <c r="H233" s="28" t="n">
        <f aca="false">G233/E232</f>
        <v>0.0109907487941804</v>
      </c>
      <c r="I233" s="29" t="n">
        <f aca="false">MAX(G233,0)</f>
        <v>2.78</v>
      </c>
      <c r="J233" s="29" t="n">
        <f aca="false">MAX(-G233,0)</f>
        <v>0</v>
      </c>
      <c r="K233" s="29" t="n">
        <f aca="false">(K232*13+I233)/14</f>
        <v>1.30479845187031</v>
      </c>
      <c r="L233" s="29" t="n">
        <f aca="false">(L232*13+J233)/14</f>
        <v>1.06659956607813</v>
      </c>
      <c r="M233" s="31" t="n">
        <f aca="false">IF(L233=0,100,100-100/(1+K233/MAX(L233,0.000001)))</f>
        <v>55.0223303719856</v>
      </c>
      <c r="N233" s="30" t="n">
        <f aca="false">AVERAGE(E214:E233)</f>
        <v>257.7115</v>
      </c>
      <c r="O233" s="30" t="n">
        <f aca="false">AVERAGE(E184:E233)</f>
        <v>243.9654</v>
      </c>
      <c r="P233" s="30" t="n">
        <f aca="false">AVERAGE(E34:E233)</f>
        <v>231.15585</v>
      </c>
      <c r="Q233" s="30" t="n">
        <f aca="false">Q232+(2/13)*(E233-Q232)</f>
        <v>255.448563308014</v>
      </c>
      <c r="R233" s="30" t="n">
        <f aca="false">R232+(2/27)*(E233-R232)</f>
        <v>252.855923333822</v>
      </c>
      <c r="S233" s="33" t="n">
        <f aca="false">Q233-R233</f>
        <v>2.59263997419217</v>
      </c>
      <c r="T233" s="33" t="n">
        <f aca="false">T232+(2/10)*(S233-T232)</f>
        <v>3.7703225287663</v>
      </c>
      <c r="U233" s="33" t="n">
        <f aca="false">S233-T233</f>
        <v>-1.17768255457413</v>
      </c>
      <c r="V233" s="32" t="str">
        <f aca="false">IF(M233="","",IF(M233&lt;Assumptions!$B$5,"BUY",IF(M233&gt;Assumptions!$B$4,"SELL","HOLD")))</f>
        <v>HOLD</v>
      </c>
      <c r="W233" s="32" t="str">
        <f aca="false">IF(O233="","",IF(E233&gt;O233,"BUY","SELL"))</f>
        <v>BUY</v>
      </c>
      <c r="X233" s="32" t="str">
        <f aca="false">IF(T233="","",IF(S233&gt;T233,"BUY","SELL"))</f>
        <v>SELL</v>
      </c>
      <c r="Y233" s="34" t="n">
        <f aca="false">IF(OR(V233="",W233="",X233=""),"",IFERROR(IF(V233="BUY",1,IF(V233="SELL",-1,0))+IF(W233="BUY",1,IF(W233="SELL",-1,0))+IF(X233="BUY",1,IF(X233="SELL",-1,0)),0))</f>
        <v>0</v>
      </c>
      <c r="Z233" s="32" t="str">
        <f aca="false">IF(Y233="","",IF(Y233&gt;=2,"STRONG BUY",IF(Y233=1,"BUY",IF(Y233=0,"HOLD",IF(Y233=-1,"SELL","STRONG SELL")))))</f>
        <v>HOLD</v>
      </c>
    </row>
    <row r="234" customFormat="false" ht="15" hidden="false" customHeight="false" outlineLevel="0" collapsed="false">
      <c r="A234" s="24" t="n">
        <v>46094</v>
      </c>
      <c r="B234" s="25" t="n">
        <v>258.18</v>
      </c>
      <c r="C234" s="25" t="n">
        <v>258.18</v>
      </c>
      <c r="D234" s="25" t="n">
        <v>257.28</v>
      </c>
      <c r="E234" s="25" t="n">
        <v>257.73</v>
      </c>
      <c r="F234" s="26" t="n">
        <v>7240730</v>
      </c>
      <c r="G234" s="27" t="n">
        <f aca="false">E234-E233</f>
        <v>2.01000000000002</v>
      </c>
      <c r="H234" s="28" t="n">
        <f aca="false">G234/E233</f>
        <v>0.00786015954950735</v>
      </c>
      <c r="I234" s="29" t="n">
        <f aca="false">MAX(G234,0)</f>
        <v>2.01000000000002</v>
      </c>
      <c r="J234" s="29" t="n">
        <f aca="false">MAX(-G234,0)</f>
        <v>0</v>
      </c>
      <c r="K234" s="29" t="n">
        <f aca="false">(K233*13+I234)/14</f>
        <v>1.35516999102243</v>
      </c>
      <c r="L234" s="29" t="n">
        <f aca="false">(L233*13+J234)/14</f>
        <v>0.990413882786837</v>
      </c>
      <c r="M234" s="31" t="n">
        <f aca="false">IF(L234=0,100,100-100/(1+K234/MAX(L234,0.000001)))</f>
        <v>57.7753797744872</v>
      </c>
      <c r="N234" s="30" t="n">
        <f aca="false">AVERAGE(E215:E234)</f>
        <v>257.74</v>
      </c>
      <c r="O234" s="30" t="n">
        <f aca="false">AVERAGE(E185:E234)</f>
        <v>244.3912</v>
      </c>
      <c r="P234" s="30" t="n">
        <f aca="false">AVERAGE(E35:E234)</f>
        <v>231.3564</v>
      </c>
      <c r="Q234" s="30" t="n">
        <f aca="false">Q233+(2/13)*(E234-Q233)</f>
        <v>255.79955356832</v>
      </c>
      <c r="R234" s="30" t="n">
        <f aca="false">R233+(2/27)*(E234-R233)</f>
        <v>253.216966049835</v>
      </c>
      <c r="S234" s="33" t="n">
        <f aca="false">Q234-R234</f>
        <v>2.58258751848447</v>
      </c>
      <c r="T234" s="33" t="n">
        <f aca="false">T233+(2/10)*(S234-T233)</f>
        <v>3.53277552670993</v>
      </c>
      <c r="U234" s="33" t="n">
        <f aca="false">S234-T234</f>
        <v>-0.95018800822546</v>
      </c>
      <c r="V234" s="32" t="str">
        <f aca="false">IF(M234="","",IF(M234&lt;Assumptions!$B$5,"BUY",IF(M234&gt;Assumptions!$B$4,"SELL","HOLD")))</f>
        <v>HOLD</v>
      </c>
      <c r="W234" s="32" t="str">
        <f aca="false">IF(O234="","",IF(E234&gt;O234,"BUY","SELL"))</f>
        <v>BUY</v>
      </c>
      <c r="X234" s="32" t="str">
        <f aca="false">IF(T234="","",IF(S234&gt;T234,"BUY","SELL"))</f>
        <v>SELL</v>
      </c>
      <c r="Y234" s="34" t="n">
        <f aca="false">IF(OR(V234="",W234="",X234=""),"",IFERROR(IF(V234="BUY",1,IF(V234="SELL",-1,0))+IF(W234="BUY",1,IF(W234="SELL",-1,0))+IF(X234="BUY",1,IF(X234="SELL",-1,0)),0))</f>
        <v>0</v>
      </c>
      <c r="Z234" s="32" t="str">
        <f aca="false">IF(Y234="","",IF(Y234&gt;=2,"STRONG BUY",IF(Y234=1,"BUY",IF(Y234=0,"HOLD",IF(Y234=-1,"SELL","STRONG SELL")))))</f>
        <v>HOLD</v>
      </c>
    </row>
    <row r="235" customFormat="false" ht="15" hidden="false" customHeight="false" outlineLevel="0" collapsed="false">
      <c r="A235" s="24" t="n">
        <v>46097</v>
      </c>
      <c r="B235" s="25" t="n">
        <v>256.45</v>
      </c>
      <c r="C235" s="25" t="n">
        <v>257.25</v>
      </c>
      <c r="D235" s="25" t="n">
        <v>256.45</v>
      </c>
      <c r="E235" s="25" t="n">
        <v>256.85</v>
      </c>
      <c r="F235" s="26" t="n">
        <v>9561240</v>
      </c>
      <c r="G235" s="27" t="n">
        <f aca="false">E235-E234</f>
        <v>-0.879999999999996</v>
      </c>
      <c r="H235" s="28" t="n">
        <f aca="false">G235/E234</f>
        <v>-0.0034144259496372</v>
      </c>
      <c r="I235" s="29" t="n">
        <f aca="false">MAX(G235,0)</f>
        <v>0</v>
      </c>
      <c r="J235" s="29" t="n">
        <f aca="false">MAX(-G235,0)</f>
        <v>0.879999999999996</v>
      </c>
      <c r="K235" s="29" t="n">
        <f aca="false">(K234*13+I235)/14</f>
        <v>1.25837213452083</v>
      </c>
      <c r="L235" s="29" t="n">
        <f aca="false">(L234*13+J235)/14</f>
        <v>0.982527176873491</v>
      </c>
      <c r="M235" s="31" t="n">
        <f aca="false">IF(L235=0,100,100-100/(1+K235/MAX(L235,0.000001)))</f>
        <v>56.1547825072896</v>
      </c>
      <c r="N235" s="30" t="n">
        <f aca="false">AVERAGE(E216:E235)</f>
        <v>257.5735</v>
      </c>
      <c r="O235" s="30" t="n">
        <f aca="false">AVERAGE(E186:E235)</f>
        <v>244.7962</v>
      </c>
      <c r="P235" s="30" t="n">
        <f aca="false">AVERAGE(E36:E235)</f>
        <v>231.56905</v>
      </c>
      <c r="Q235" s="30" t="n">
        <f aca="false">Q234+(2/13)*(E235-Q234)</f>
        <v>255.961160711655</v>
      </c>
      <c r="R235" s="30" t="n">
        <f aca="false">R234+(2/27)*(E235-R234)</f>
        <v>253.486079675773</v>
      </c>
      <c r="S235" s="33" t="n">
        <f aca="false">Q235-R235</f>
        <v>2.47508103588177</v>
      </c>
      <c r="T235" s="33" t="n">
        <f aca="false">T234+(2/10)*(S235-T234)</f>
        <v>3.3212366285443</v>
      </c>
      <c r="U235" s="33" t="n">
        <f aca="false">S235-T235</f>
        <v>-0.846155592662529</v>
      </c>
      <c r="V235" s="32" t="str">
        <f aca="false">IF(M235="","",IF(M235&lt;Assumptions!$B$5,"BUY",IF(M235&gt;Assumptions!$B$4,"SELL","HOLD")))</f>
        <v>HOLD</v>
      </c>
      <c r="W235" s="32" t="str">
        <f aca="false">IF(O235="","",IF(E235&gt;O235,"BUY","SELL"))</f>
        <v>BUY</v>
      </c>
      <c r="X235" s="32" t="str">
        <f aca="false">IF(T235="","",IF(S235&gt;T235,"BUY","SELL"))</f>
        <v>SELL</v>
      </c>
      <c r="Y235" s="34" t="n">
        <f aca="false">IF(OR(V235="",W235="",X235=""),"",IFERROR(IF(V235="BUY",1,IF(V235="SELL",-1,0))+IF(W235="BUY",1,IF(W235="SELL",-1,0))+IF(X235="BUY",1,IF(X235="SELL",-1,0)),0))</f>
        <v>0</v>
      </c>
      <c r="Z235" s="32" t="str">
        <f aca="false">IF(Y235="","",IF(Y235&gt;=2,"STRONG BUY",IF(Y235=1,"BUY",IF(Y235=0,"HOLD",IF(Y235=-1,"SELL","STRONG SELL")))))</f>
        <v>HOLD</v>
      </c>
    </row>
    <row r="236" customFormat="false" ht="15" hidden="false" customHeight="false" outlineLevel="0" collapsed="false">
      <c r="A236" s="24" t="n">
        <v>46098</v>
      </c>
      <c r="B236" s="25" t="n">
        <v>258.53</v>
      </c>
      <c r="C236" s="25" t="n">
        <v>258.53</v>
      </c>
      <c r="D236" s="25" t="n">
        <v>258.09</v>
      </c>
      <c r="E236" s="25" t="n">
        <v>258.31</v>
      </c>
      <c r="F236" s="26" t="n">
        <v>7235257</v>
      </c>
      <c r="G236" s="27" t="n">
        <f aca="false">E236-E235</f>
        <v>1.45999999999998</v>
      </c>
      <c r="H236" s="28" t="n">
        <f aca="false">G236/E235</f>
        <v>0.00568425150866256</v>
      </c>
      <c r="I236" s="29" t="n">
        <f aca="false">MAX(G236,0)</f>
        <v>1.45999999999998</v>
      </c>
      <c r="J236" s="29" t="n">
        <f aca="false">MAX(-G236,0)</f>
        <v>0</v>
      </c>
      <c r="K236" s="29" t="n">
        <f aca="false">(K235*13+I236)/14</f>
        <v>1.2727741249122</v>
      </c>
      <c r="L236" s="29" t="n">
        <f aca="false">(L235*13+J236)/14</f>
        <v>0.91234666423967</v>
      </c>
      <c r="M236" s="31" t="n">
        <f aca="false">IF(L236=0,100,100-100/(1+K236/MAX(L236,0.000001)))</f>
        <v>58.2473120584886</v>
      </c>
      <c r="N236" s="30" t="n">
        <f aca="false">AVERAGE(E217:E236)</f>
        <v>257.1975</v>
      </c>
      <c r="O236" s="30" t="n">
        <f aca="false">AVERAGE(E187:E236)</f>
        <v>245.27</v>
      </c>
      <c r="P236" s="30" t="n">
        <f aca="false">AVERAGE(E37:E236)</f>
        <v>231.806</v>
      </c>
      <c r="Q236" s="30" t="n">
        <f aca="false">Q235+(2/13)*(E236-Q235)</f>
        <v>256.32252060217</v>
      </c>
      <c r="R236" s="30" t="n">
        <f aca="false">R235+(2/27)*(E236-R235)</f>
        <v>253.843407107198</v>
      </c>
      <c r="S236" s="33" t="n">
        <f aca="false">Q236-R236</f>
        <v>2.47911349497215</v>
      </c>
      <c r="T236" s="33" t="n">
        <f aca="false">T235+(2/10)*(S236-T235)</f>
        <v>3.15281200182987</v>
      </c>
      <c r="U236" s="33" t="n">
        <f aca="false">S236-T236</f>
        <v>-0.673698506857718</v>
      </c>
      <c r="V236" s="32" t="str">
        <f aca="false">IF(M236="","",IF(M236&lt;Assumptions!$B$5,"BUY",IF(M236&gt;Assumptions!$B$4,"SELL","HOLD")))</f>
        <v>HOLD</v>
      </c>
      <c r="W236" s="32" t="str">
        <f aca="false">IF(O236="","",IF(E236&gt;O236,"BUY","SELL"))</f>
        <v>BUY</v>
      </c>
      <c r="X236" s="32" t="str">
        <f aca="false">IF(T236="","",IF(S236&gt;T236,"BUY","SELL"))</f>
        <v>SELL</v>
      </c>
      <c r="Y236" s="34" t="n">
        <f aca="false">IF(OR(V236="",W236="",X236=""),"",IFERROR(IF(V236="BUY",1,IF(V236="SELL",-1,0))+IF(W236="BUY",1,IF(W236="SELL",-1,0))+IF(X236="BUY",1,IF(X236="SELL",-1,0)),0))</f>
        <v>0</v>
      </c>
      <c r="Z236" s="32" t="str">
        <f aca="false">IF(Y236="","",IF(Y236&gt;=2,"STRONG BUY",IF(Y236=1,"BUY",IF(Y236=0,"HOLD",IF(Y236=-1,"SELL","STRONG SELL")))))</f>
        <v>HOLD</v>
      </c>
    </row>
    <row r="237" customFormat="false" ht="15" hidden="false" customHeight="false" outlineLevel="0" collapsed="false">
      <c r="A237" s="24" t="n">
        <v>46099</v>
      </c>
      <c r="B237" s="25" t="n">
        <v>257.35</v>
      </c>
      <c r="C237" s="25" t="n">
        <v>259.69</v>
      </c>
      <c r="D237" s="25" t="n">
        <v>257.35</v>
      </c>
      <c r="E237" s="25" t="n">
        <v>258.52</v>
      </c>
      <c r="F237" s="26" t="n">
        <v>7422345</v>
      </c>
      <c r="G237" s="27" t="n">
        <f aca="false">E237-E236</f>
        <v>0.20999999999998</v>
      </c>
      <c r="H237" s="28" t="n">
        <f aca="false">G237/E236</f>
        <v>0.000812976655955943</v>
      </c>
      <c r="I237" s="29" t="n">
        <f aca="false">MAX(G237,0)</f>
        <v>0.20999999999998</v>
      </c>
      <c r="J237" s="29" t="n">
        <f aca="false">MAX(-G237,0)</f>
        <v>0</v>
      </c>
      <c r="K237" s="29" t="n">
        <f aca="false">(K236*13+I237)/14</f>
        <v>1.19686168741847</v>
      </c>
      <c r="L237" s="29" t="n">
        <f aca="false">(L236*13+J237)/14</f>
        <v>0.847179045365408</v>
      </c>
      <c r="M237" s="31" t="n">
        <f aca="false">IF(L237=0,100,100-100/(1+K237/MAX(L237,0.000001)))</f>
        <v>58.5537102183089</v>
      </c>
      <c r="N237" s="30" t="n">
        <f aca="false">AVERAGE(E218:E237)</f>
        <v>256.8385</v>
      </c>
      <c r="O237" s="30" t="n">
        <f aca="false">AVERAGE(E188:E237)</f>
        <v>245.7698</v>
      </c>
      <c r="P237" s="30" t="n">
        <f aca="false">AVERAGE(E38:E237)</f>
        <v>232.03795</v>
      </c>
      <c r="Q237" s="30" t="n">
        <f aca="false">Q236+(2/13)*(E237-Q236)</f>
        <v>256.660594355682</v>
      </c>
      <c r="R237" s="30" t="n">
        <f aca="false">R236+(2/27)*(E237-R236)</f>
        <v>254.189821395553</v>
      </c>
      <c r="S237" s="33" t="n">
        <f aca="false">Q237-R237</f>
        <v>2.47077296012876</v>
      </c>
      <c r="T237" s="33" t="n">
        <f aca="false">T236+(2/10)*(S237-T236)</f>
        <v>3.01640419348965</v>
      </c>
      <c r="U237" s="33" t="n">
        <f aca="false">S237-T237</f>
        <v>-0.545631233360893</v>
      </c>
      <c r="V237" s="32" t="str">
        <f aca="false">IF(M237="","",IF(M237&lt;Assumptions!$B$5,"BUY",IF(M237&gt;Assumptions!$B$4,"SELL","HOLD")))</f>
        <v>HOLD</v>
      </c>
      <c r="W237" s="32" t="str">
        <f aca="false">IF(O237="","",IF(E237&gt;O237,"BUY","SELL"))</f>
        <v>BUY</v>
      </c>
      <c r="X237" s="32" t="str">
        <f aca="false">IF(T237="","",IF(S237&gt;T237,"BUY","SELL"))</f>
        <v>SELL</v>
      </c>
      <c r="Y237" s="34" t="n">
        <f aca="false">IF(OR(V237="",W237="",X237=""),"",IFERROR(IF(V237="BUY",1,IF(V237="SELL",-1,0))+IF(W237="BUY",1,IF(W237="SELL",-1,0))+IF(X237="BUY",1,IF(X237="SELL",-1,0)),0))</f>
        <v>0</v>
      </c>
      <c r="Z237" s="32" t="str">
        <f aca="false">IF(Y237="","",IF(Y237&gt;=2,"STRONG BUY",IF(Y237=1,"BUY",IF(Y237=0,"HOLD",IF(Y237=-1,"SELL","STRONG SELL")))))</f>
        <v>HOLD</v>
      </c>
    </row>
    <row r="238" customFormat="false" ht="15" hidden="false" customHeight="false" outlineLevel="0" collapsed="false">
      <c r="A238" s="24" t="n">
        <v>46100</v>
      </c>
      <c r="B238" s="25" t="n">
        <v>262.78</v>
      </c>
      <c r="C238" s="25" t="n">
        <v>264.24</v>
      </c>
      <c r="D238" s="25" t="n">
        <v>262.78</v>
      </c>
      <c r="E238" s="25" t="n">
        <v>263.51</v>
      </c>
      <c r="F238" s="26" t="n">
        <v>11502512</v>
      </c>
      <c r="G238" s="27" t="n">
        <f aca="false">E238-E237</f>
        <v>4.99000000000001</v>
      </c>
      <c r="H238" s="28" t="n">
        <f aca="false">G238/E237</f>
        <v>0.0193021816493889</v>
      </c>
      <c r="I238" s="29" t="n">
        <f aca="false">MAX(G238,0)</f>
        <v>4.99000000000001</v>
      </c>
      <c r="J238" s="29" t="n">
        <f aca="false">MAX(-G238,0)</f>
        <v>0</v>
      </c>
      <c r="K238" s="29" t="n">
        <f aca="false">(K237*13+I238)/14</f>
        <v>1.46780013831715</v>
      </c>
      <c r="L238" s="29" t="n">
        <f aca="false">(L237*13+J238)/14</f>
        <v>0.786666256410736</v>
      </c>
      <c r="M238" s="31" t="n">
        <f aca="false">IF(L238=0,100,100-100/(1+K238/MAX(L238,0.000001)))</f>
        <v>65.1063214670057</v>
      </c>
      <c r="N238" s="30" t="n">
        <f aca="false">AVERAGE(E219:E238)</f>
        <v>256.9575</v>
      </c>
      <c r="O238" s="30" t="n">
        <f aca="false">AVERAGE(E189:E238)</f>
        <v>246.399</v>
      </c>
      <c r="P238" s="30" t="n">
        <f aca="false">AVERAGE(E39:E238)</f>
        <v>232.29045</v>
      </c>
      <c r="Q238" s="30" t="n">
        <f aca="false">Q237+(2/13)*(E238-Q237)</f>
        <v>257.714349070192</v>
      </c>
      <c r="R238" s="30" t="n">
        <f aca="false">R237+(2/27)*(E238-R237)</f>
        <v>254.880204995883</v>
      </c>
      <c r="S238" s="33" t="n">
        <f aca="false">Q238-R238</f>
        <v>2.83414407430979</v>
      </c>
      <c r="T238" s="33" t="n">
        <f aca="false">T237+(2/10)*(S238-T237)</f>
        <v>2.97995216965368</v>
      </c>
      <c r="U238" s="33" t="n">
        <f aca="false">S238-T238</f>
        <v>-0.145808095343886</v>
      </c>
      <c r="V238" s="32" t="str">
        <f aca="false">IF(M238="","",IF(M238&lt;Assumptions!$B$5,"BUY",IF(M238&gt;Assumptions!$B$4,"SELL","HOLD")))</f>
        <v>HOLD</v>
      </c>
      <c r="W238" s="32" t="str">
        <f aca="false">IF(O238="","",IF(E238&gt;O238,"BUY","SELL"))</f>
        <v>BUY</v>
      </c>
      <c r="X238" s="32" t="str">
        <f aca="false">IF(T238="","",IF(S238&gt;T238,"BUY","SELL"))</f>
        <v>SELL</v>
      </c>
      <c r="Y238" s="34" t="n">
        <f aca="false">IF(OR(V238="",W238="",X238=""),"",IFERROR(IF(V238="BUY",1,IF(V238="SELL",-1,0))+IF(W238="BUY",1,IF(W238="SELL",-1,0))+IF(X238="BUY",1,IF(X238="SELL",-1,0)),0))</f>
        <v>0</v>
      </c>
      <c r="Z238" s="32" t="str">
        <f aca="false">IF(Y238="","",IF(Y238&gt;=2,"STRONG BUY",IF(Y238=1,"BUY",IF(Y238=0,"HOLD",IF(Y238=-1,"SELL","STRONG SELL")))))</f>
        <v>HOLD</v>
      </c>
    </row>
    <row r="239" customFormat="false" ht="15" hidden="false" customHeight="false" outlineLevel="0" collapsed="false">
      <c r="A239" s="24" t="n">
        <v>46101</v>
      </c>
      <c r="B239" s="25" t="n">
        <v>256.49</v>
      </c>
      <c r="C239" s="25" t="n">
        <v>259.67</v>
      </c>
      <c r="D239" s="25" t="n">
        <v>256.49</v>
      </c>
      <c r="E239" s="25" t="n">
        <v>258.08</v>
      </c>
      <c r="F239" s="26" t="n">
        <v>2010853</v>
      </c>
      <c r="G239" s="27" t="n">
        <f aca="false">E239-E238</f>
        <v>-5.43000000000001</v>
      </c>
      <c r="H239" s="28" t="n">
        <f aca="false">G239/E238</f>
        <v>-0.0206064285985352</v>
      </c>
      <c r="I239" s="29" t="n">
        <f aca="false">MAX(G239,0)</f>
        <v>0</v>
      </c>
      <c r="J239" s="29" t="n">
        <f aca="false">MAX(-G239,0)</f>
        <v>5.43000000000001</v>
      </c>
      <c r="K239" s="29" t="n">
        <f aca="false">(K238*13+I239)/14</f>
        <v>1.3629572712945</v>
      </c>
      <c r="L239" s="29" t="n">
        <f aca="false">(L238*13+J239)/14</f>
        <v>1.1183329523814</v>
      </c>
      <c r="M239" s="31" t="n">
        <f aca="false">IF(L239=0,100,100-100/(1+K239/MAX(L239,0.000001)))</f>
        <v>54.929377397673</v>
      </c>
      <c r="N239" s="30" t="n">
        <f aca="false">AVERAGE(E220:E239)</f>
        <v>256.828</v>
      </c>
      <c r="O239" s="30" t="n">
        <f aca="false">AVERAGE(E190:E239)</f>
        <v>246.9448</v>
      </c>
      <c r="P239" s="30" t="n">
        <f aca="false">AVERAGE(E40:E239)</f>
        <v>232.50875</v>
      </c>
      <c r="Q239" s="30" t="n">
        <f aca="false">Q238+(2/13)*(E239-Q238)</f>
        <v>257.770603059394</v>
      </c>
      <c r="R239" s="30" t="n">
        <f aca="false">R238+(2/27)*(E239-R238)</f>
        <v>255.117226848039</v>
      </c>
      <c r="S239" s="33" t="n">
        <f aca="false">Q239-R239</f>
        <v>2.6533762113541</v>
      </c>
      <c r="T239" s="33" t="n">
        <f aca="false">T238+(2/10)*(S239-T238)</f>
        <v>2.91463697799376</v>
      </c>
      <c r="U239" s="33" t="n">
        <f aca="false">S239-T239</f>
        <v>-0.261260766639661</v>
      </c>
      <c r="V239" s="32" t="str">
        <f aca="false">IF(M239="","",IF(M239&lt;Assumptions!$B$5,"BUY",IF(M239&gt;Assumptions!$B$4,"SELL","HOLD")))</f>
        <v>HOLD</v>
      </c>
      <c r="W239" s="32" t="str">
        <f aca="false">IF(O239="","",IF(E239&gt;O239,"BUY","SELL"))</f>
        <v>BUY</v>
      </c>
      <c r="X239" s="32" t="str">
        <f aca="false">IF(T239="","",IF(S239&gt;T239,"BUY","SELL"))</f>
        <v>SELL</v>
      </c>
      <c r="Y239" s="34" t="n">
        <f aca="false">IF(OR(V239="",W239="",X239=""),"",IFERROR(IF(V239="BUY",1,IF(V239="SELL",-1,0))+IF(W239="BUY",1,IF(W239="SELL",-1,0))+IF(X239="BUY",1,IF(X239="SELL",-1,0)),0))</f>
        <v>0</v>
      </c>
      <c r="Z239" s="32" t="str">
        <f aca="false">IF(Y239="","",IF(Y239&gt;=2,"STRONG BUY",IF(Y239=1,"BUY",IF(Y239=0,"HOLD",IF(Y239=-1,"SELL","STRONG SELL")))))</f>
        <v>HOLD</v>
      </c>
    </row>
    <row r="240" customFormat="false" ht="15" hidden="false" customHeight="false" outlineLevel="0" collapsed="false">
      <c r="A240" s="24" t="n">
        <v>46104</v>
      </c>
      <c r="B240" s="25" t="n">
        <v>259.44</v>
      </c>
      <c r="C240" s="25" t="n">
        <v>261.64</v>
      </c>
      <c r="D240" s="25" t="n">
        <v>256.92</v>
      </c>
      <c r="E240" s="25" t="n">
        <v>259.28</v>
      </c>
      <c r="F240" s="26" t="n">
        <v>15503183</v>
      </c>
      <c r="G240" s="27" t="n">
        <f aca="false">E240-E239</f>
        <v>1.19999999999999</v>
      </c>
      <c r="H240" s="28" t="n">
        <f aca="false">G240/E239</f>
        <v>0.00464972101673895</v>
      </c>
      <c r="I240" s="29" t="n">
        <f aca="false">MAX(G240,0)</f>
        <v>1.19999999999999</v>
      </c>
      <c r="J240" s="29" t="n">
        <f aca="false">MAX(-G240,0)</f>
        <v>0</v>
      </c>
      <c r="K240" s="29" t="n">
        <f aca="false">(K239*13+I240)/14</f>
        <v>1.35131746620203</v>
      </c>
      <c r="L240" s="29" t="n">
        <f aca="false">(L239*13+J240)/14</f>
        <v>1.0384520272113</v>
      </c>
      <c r="M240" s="31" t="n">
        <f aca="false">IF(L240=0,100,100-100/(1+K240/MAX(L240,0.000001)))</f>
        <v>56.5459334017999</v>
      </c>
      <c r="N240" s="30" t="n">
        <f aca="false">AVERAGE(E221:E240)</f>
        <v>256.7305</v>
      </c>
      <c r="O240" s="30" t="n">
        <f aca="false">AVERAGE(E191:E240)</f>
        <v>247.5496</v>
      </c>
      <c r="P240" s="30" t="n">
        <f aca="false">AVERAGE(E41:E240)</f>
        <v>232.7416</v>
      </c>
      <c r="Q240" s="30" t="n">
        <f aca="false">Q239+(2/13)*(E240-Q239)</f>
        <v>258.002817973333</v>
      </c>
      <c r="R240" s="30" t="n">
        <f aca="false">R239+(2/27)*(E240-R239)</f>
        <v>255.425580414851</v>
      </c>
      <c r="S240" s="33" t="n">
        <f aca="false">Q240-R240</f>
        <v>2.57723755848167</v>
      </c>
      <c r="T240" s="33" t="n">
        <f aca="false">T239+(2/10)*(S240-T239)</f>
        <v>2.84715709409134</v>
      </c>
      <c r="U240" s="33" t="n">
        <f aca="false">S240-T240</f>
        <v>-0.269919535609673</v>
      </c>
      <c r="V240" s="32" t="str">
        <f aca="false">IF(M240="","",IF(M240&lt;Assumptions!$B$5,"BUY",IF(M240&gt;Assumptions!$B$4,"SELL","HOLD")))</f>
        <v>HOLD</v>
      </c>
      <c r="W240" s="32" t="str">
        <f aca="false">IF(O240="","",IF(E240&gt;O240,"BUY","SELL"))</f>
        <v>BUY</v>
      </c>
      <c r="X240" s="32" t="str">
        <f aca="false">IF(T240="","",IF(S240&gt;T240,"BUY","SELL"))</f>
        <v>SELL</v>
      </c>
      <c r="Y240" s="34" t="n">
        <f aca="false">IF(OR(V240="",W240="",X240=""),"",IFERROR(IF(V240="BUY",1,IF(V240="SELL",-1,0))+IF(W240="BUY",1,IF(W240="SELL",-1,0))+IF(X240="BUY",1,IF(X240="SELL",-1,0)),0))</f>
        <v>0</v>
      </c>
      <c r="Z240" s="32" t="str">
        <f aca="false">IF(Y240="","",IF(Y240&gt;=2,"STRONG BUY",IF(Y240=1,"BUY",IF(Y240=0,"HOLD",IF(Y240=-1,"SELL","STRONG SELL")))))</f>
        <v>HOLD</v>
      </c>
    </row>
    <row r="241" customFormat="false" ht="15" hidden="false" customHeight="false" outlineLevel="0" collapsed="false">
      <c r="A241" s="24" t="n">
        <v>46105</v>
      </c>
      <c r="B241" s="25" t="n">
        <v>262.55</v>
      </c>
      <c r="C241" s="25" t="n">
        <v>264.74</v>
      </c>
      <c r="D241" s="25" t="n">
        <v>261.02</v>
      </c>
      <c r="E241" s="25" t="n">
        <v>262.88</v>
      </c>
      <c r="F241" s="26" t="n">
        <v>11732161</v>
      </c>
      <c r="G241" s="27" t="n">
        <f aca="false">E241-E240</f>
        <v>3.60000000000002</v>
      </c>
      <c r="H241" s="28" t="n">
        <f aca="false">G241/E240</f>
        <v>0.013884603517433</v>
      </c>
      <c r="I241" s="29" t="n">
        <f aca="false">MAX(G241,0)</f>
        <v>3.60000000000002</v>
      </c>
      <c r="J241" s="29" t="n">
        <f aca="false">MAX(-G241,0)</f>
        <v>0</v>
      </c>
      <c r="K241" s="29" t="n">
        <f aca="false">(K240*13+I241)/14</f>
        <v>1.5119376471876</v>
      </c>
      <c r="L241" s="29" t="n">
        <f aca="false">(L240*13+J241)/14</f>
        <v>0.964276882410491</v>
      </c>
      <c r="M241" s="31" t="n">
        <f aca="false">IF(L241=0,100,100-100/(1+K241/MAX(L241,0.000001)))</f>
        <v>61.0584272531912</v>
      </c>
      <c r="N241" s="30" t="n">
        <f aca="false">AVERAGE(E222:E241)</f>
        <v>256.9295</v>
      </c>
      <c r="O241" s="30" t="n">
        <f aca="false">AVERAGE(E192:E241)</f>
        <v>248.237</v>
      </c>
      <c r="P241" s="30" t="n">
        <f aca="false">AVERAGE(E42:E241)</f>
        <v>232.9861</v>
      </c>
      <c r="Q241" s="30" t="n">
        <f aca="false">Q240+(2/13)*(E241-Q240)</f>
        <v>258.753153669743</v>
      </c>
      <c r="R241" s="30" t="n">
        <f aca="false">R240+(2/27)*(E241-R240)</f>
        <v>255.977759643381</v>
      </c>
      <c r="S241" s="33" t="n">
        <f aca="false">Q241-R241</f>
        <v>2.77539402636242</v>
      </c>
      <c r="T241" s="33" t="n">
        <f aca="false">T240+(2/10)*(S241-T240)</f>
        <v>2.83280448054556</v>
      </c>
      <c r="U241" s="33" t="n">
        <f aca="false">S241-T241</f>
        <v>-0.0574104541831382</v>
      </c>
      <c r="V241" s="32" t="str">
        <f aca="false">IF(M241="","",IF(M241&lt;Assumptions!$B$5,"BUY",IF(M241&gt;Assumptions!$B$4,"SELL","HOLD")))</f>
        <v>HOLD</v>
      </c>
      <c r="W241" s="32" t="str">
        <f aca="false">IF(O241="","",IF(E241&gt;O241,"BUY","SELL"))</f>
        <v>BUY</v>
      </c>
      <c r="X241" s="32" t="str">
        <f aca="false">IF(T241="","",IF(S241&gt;T241,"BUY","SELL"))</f>
        <v>SELL</v>
      </c>
      <c r="Y241" s="34" t="n">
        <f aca="false">IF(OR(V241="",W241="",X241=""),"",IFERROR(IF(V241="BUY",1,IF(V241="SELL",-1,0))+IF(W241="BUY",1,IF(W241="SELL",-1,0))+IF(X241="BUY",1,IF(X241="SELL",-1,0)),0))</f>
        <v>0</v>
      </c>
      <c r="Z241" s="32" t="str">
        <f aca="false">IF(Y241="","",IF(Y241&gt;=2,"STRONG BUY",IF(Y241=1,"BUY",IF(Y241=0,"HOLD",IF(Y241=-1,"SELL","STRONG SELL")))))</f>
        <v>HOLD</v>
      </c>
    </row>
    <row r="242" customFormat="false" ht="15" hidden="false" customHeight="false" outlineLevel="0" collapsed="false">
      <c r="A242" s="24" t="n">
        <v>46106</v>
      </c>
      <c r="B242" s="25" t="n">
        <v>262.63</v>
      </c>
      <c r="C242" s="25" t="n">
        <v>262.63</v>
      </c>
      <c r="D242" s="25" t="n">
        <v>261.07</v>
      </c>
      <c r="E242" s="25" t="n">
        <v>261.85</v>
      </c>
      <c r="F242" s="26" t="n">
        <v>10615571</v>
      </c>
      <c r="G242" s="27" t="n">
        <f aca="false">E242-E241</f>
        <v>-1.02999999999997</v>
      </c>
      <c r="H242" s="28" t="n">
        <f aca="false">G242/E241</f>
        <v>-0.00391813755325614</v>
      </c>
      <c r="I242" s="29" t="n">
        <f aca="false">MAX(G242,0)</f>
        <v>0</v>
      </c>
      <c r="J242" s="29" t="n">
        <f aca="false">MAX(-G242,0)</f>
        <v>1.02999999999997</v>
      </c>
      <c r="K242" s="29" t="n">
        <f aca="false">(K241*13+I242)/14</f>
        <v>1.40394210095992</v>
      </c>
      <c r="L242" s="29" t="n">
        <f aca="false">(L241*13+J242)/14</f>
        <v>0.96897139080974</v>
      </c>
      <c r="M242" s="31" t="n">
        <f aca="false">IF(L242=0,100,100-100/(1+K242/MAX(L242,0.000001)))</f>
        <v>59.1653301238931</v>
      </c>
      <c r="N242" s="30" t="n">
        <f aca="false">AVERAGE(E223:E242)</f>
        <v>257.245</v>
      </c>
      <c r="O242" s="30" t="n">
        <f aca="false">AVERAGE(E193:E242)</f>
        <v>248.971</v>
      </c>
      <c r="P242" s="30" t="n">
        <f aca="false">AVERAGE(E43:E242)</f>
        <v>233.2425</v>
      </c>
      <c r="Q242" s="30" t="n">
        <f aca="false">Q241+(2/13)*(E242-Q241)</f>
        <v>259.229591566706</v>
      </c>
      <c r="R242" s="30" t="n">
        <f aca="false">R241+(2/27)*(E242-R241)</f>
        <v>256.412740410538</v>
      </c>
      <c r="S242" s="33" t="n">
        <f aca="false">Q242-R242</f>
        <v>2.81685115616801</v>
      </c>
      <c r="T242" s="33" t="n">
        <f aca="false">T241+(2/10)*(S242-T241)</f>
        <v>2.82961381567005</v>
      </c>
      <c r="U242" s="33" t="n">
        <f aca="false">S242-T242</f>
        <v>-0.012762659502036</v>
      </c>
      <c r="V242" s="32" t="str">
        <f aca="false">IF(M242="","",IF(M242&lt;Assumptions!$B$5,"BUY",IF(M242&gt;Assumptions!$B$4,"SELL","HOLD")))</f>
        <v>HOLD</v>
      </c>
      <c r="W242" s="32" t="str">
        <f aca="false">IF(O242="","",IF(E242&gt;O242,"BUY","SELL"))</f>
        <v>BUY</v>
      </c>
      <c r="X242" s="32" t="str">
        <f aca="false">IF(T242="","",IF(S242&gt;T242,"BUY","SELL"))</f>
        <v>SELL</v>
      </c>
      <c r="Y242" s="34" t="n">
        <f aca="false">IF(OR(V242="",W242="",X242=""),"",IFERROR(IF(V242="BUY",1,IF(V242="SELL",-1,0))+IF(W242="BUY",1,IF(W242="SELL",-1,0))+IF(X242="BUY",1,IF(X242="SELL",-1,0)),0))</f>
        <v>0</v>
      </c>
      <c r="Z242" s="32" t="str">
        <f aca="false">IF(Y242="","",IF(Y242&gt;=2,"STRONG BUY",IF(Y242=1,"BUY",IF(Y242=0,"HOLD",IF(Y242=-1,"SELL","STRONG SELL")))))</f>
        <v>HOLD</v>
      </c>
    </row>
    <row r="243" customFormat="false" ht="15" hidden="false" customHeight="false" outlineLevel="0" collapsed="false">
      <c r="A243" s="24" t="n">
        <v>46107</v>
      </c>
      <c r="B243" s="25" t="n">
        <v>260.49</v>
      </c>
      <c r="C243" s="25" t="n">
        <v>260.49</v>
      </c>
      <c r="D243" s="25" t="n">
        <v>260.39</v>
      </c>
      <c r="E243" s="25" t="n">
        <v>260.44</v>
      </c>
      <c r="F243" s="26" t="n">
        <v>10620562</v>
      </c>
      <c r="G243" s="27" t="n">
        <f aca="false">E243-E242</f>
        <v>-1.41000000000003</v>
      </c>
      <c r="H243" s="28" t="n">
        <f aca="false">G243/E242</f>
        <v>-0.00538476226847441</v>
      </c>
      <c r="I243" s="29" t="n">
        <f aca="false">MAX(G243,0)</f>
        <v>0</v>
      </c>
      <c r="J243" s="29" t="n">
        <f aca="false">MAX(-G243,0)</f>
        <v>1.41000000000003</v>
      </c>
      <c r="K243" s="29" t="n">
        <f aca="false">(K242*13+I243)/14</f>
        <v>1.30366052231992</v>
      </c>
      <c r="L243" s="29" t="n">
        <f aca="false">(L242*13+J243)/14</f>
        <v>1.00047343432333</v>
      </c>
      <c r="M243" s="31" t="n">
        <f aca="false">IF(L243=0,100,100-100/(1+K243/MAX(L243,0.000001)))</f>
        <v>56.579198382161</v>
      </c>
      <c r="N243" s="30" t="n">
        <f aca="false">AVERAGE(E224:E243)</f>
        <v>257.558</v>
      </c>
      <c r="O243" s="30" t="n">
        <f aca="false">AVERAGE(E194:E243)</f>
        <v>249.6642</v>
      </c>
      <c r="P243" s="30" t="n">
        <f aca="false">AVERAGE(E44:E243)</f>
        <v>233.4973</v>
      </c>
      <c r="Q243" s="30" t="n">
        <f aca="false">Q242+(2/13)*(E243-Q242)</f>
        <v>259.415808248751</v>
      </c>
      <c r="R243" s="30" t="n">
        <f aca="false">R242+(2/27)*(E243-R242)</f>
        <v>256.711055935683</v>
      </c>
      <c r="S243" s="33" t="n">
        <f aca="false">Q243-R243</f>
        <v>2.7047523130679</v>
      </c>
      <c r="T243" s="33" t="n">
        <f aca="false">T242+(2/10)*(S243-T242)</f>
        <v>2.80464151514962</v>
      </c>
      <c r="U243" s="33" t="n">
        <f aca="false">S243-T243</f>
        <v>-0.0998892020817199</v>
      </c>
      <c r="V243" s="32" t="str">
        <f aca="false">IF(M243="","",IF(M243&lt;Assumptions!$B$5,"BUY",IF(M243&gt;Assumptions!$B$4,"SELL","HOLD")))</f>
        <v>HOLD</v>
      </c>
      <c r="W243" s="32" t="str">
        <f aca="false">IF(O243="","",IF(E243&gt;O243,"BUY","SELL"))</f>
        <v>BUY</v>
      </c>
      <c r="X243" s="32" t="str">
        <f aca="false">IF(T243="","",IF(S243&gt;T243,"BUY","SELL"))</f>
        <v>SELL</v>
      </c>
      <c r="Y243" s="34" t="n">
        <f aca="false">IF(OR(V243="",W243="",X243=""),"",IFERROR(IF(V243="BUY",1,IF(V243="SELL",-1,0))+IF(W243="BUY",1,IF(W243="SELL",-1,0))+IF(X243="BUY",1,IF(X243="SELL",-1,0)),0))</f>
        <v>0</v>
      </c>
      <c r="Z243" s="32" t="str">
        <f aca="false">IF(Y243="","",IF(Y243&gt;=2,"STRONG BUY",IF(Y243=1,"BUY",IF(Y243=0,"HOLD",IF(Y243=-1,"SELL","STRONG SELL")))))</f>
        <v>HOLD</v>
      </c>
    </row>
    <row r="244" customFormat="false" ht="15" hidden="false" customHeight="false" outlineLevel="0" collapsed="false">
      <c r="A244" s="24" t="n">
        <v>46108</v>
      </c>
      <c r="B244" s="25" t="n">
        <v>260.79</v>
      </c>
      <c r="C244" s="25" t="n">
        <v>263.17</v>
      </c>
      <c r="D244" s="25" t="n">
        <v>258.77</v>
      </c>
      <c r="E244" s="25" t="n">
        <v>260.97</v>
      </c>
      <c r="F244" s="26" t="n">
        <v>6238454</v>
      </c>
      <c r="G244" s="27" t="n">
        <f aca="false">E244-E243</f>
        <v>0.53000000000003</v>
      </c>
      <c r="H244" s="28" t="n">
        <f aca="false">G244/E243</f>
        <v>0.00203501766241756</v>
      </c>
      <c r="I244" s="29" t="n">
        <f aca="false">MAX(G244,0)</f>
        <v>0.53000000000003</v>
      </c>
      <c r="J244" s="29" t="n">
        <f aca="false">MAX(-G244,0)</f>
        <v>0</v>
      </c>
      <c r="K244" s="29" t="n">
        <f aca="false">(K243*13+I244)/14</f>
        <v>1.24839905643993</v>
      </c>
      <c r="L244" s="29" t="n">
        <f aca="false">(L243*13+J244)/14</f>
        <v>0.929011046157379</v>
      </c>
      <c r="M244" s="31" t="n">
        <f aca="false">IF(L244=0,100,100-100/(1+K244/MAX(L244,0.000001)))</f>
        <v>57.334126214937</v>
      </c>
      <c r="N244" s="30" t="n">
        <f aca="false">AVERAGE(E225:E244)</f>
        <v>258.067</v>
      </c>
      <c r="O244" s="30" t="n">
        <f aca="false">AVERAGE(E195:E244)</f>
        <v>250.4062</v>
      </c>
      <c r="P244" s="30" t="n">
        <f aca="false">AVERAGE(E45:E244)</f>
        <v>233.75645</v>
      </c>
      <c r="Q244" s="30" t="n">
        <f aca="false">Q243+(2/13)*(E244-Q243)</f>
        <v>259.65491467202</v>
      </c>
      <c r="R244" s="30" t="n">
        <f aca="false">R243+(2/27)*(E244-R243)</f>
        <v>257.026533273781</v>
      </c>
      <c r="S244" s="33" t="n">
        <f aca="false">Q244-R244</f>
        <v>2.62838139823941</v>
      </c>
      <c r="T244" s="33" t="n">
        <f aca="false">T243+(2/10)*(S244-T243)</f>
        <v>2.76938949176758</v>
      </c>
      <c r="U244" s="33" t="n">
        <f aca="false">S244-T244</f>
        <v>-0.141008093528166</v>
      </c>
      <c r="V244" s="32" t="str">
        <f aca="false">IF(M244="","",IF(M244&lt;Assumptions!$B$5,"BUY",IF(M244&gt;Assumptions!$B$4,"SELL","HOLD")))</f>
        <v>HOLD</v>
      </c>
      <c r="W244" s="32" t="str">
        <f aca="false">IF(O244="","",IF(E244&gt;O244,"BUY","SELL"))</f>
        <v>BUY</v>
      </c>
      <c r="X244" s="32" t="str">
        <f aca="false">IF(T244="","",IF(S244&gt;T244,"BUY","SELL"))</f>
        <v>SELL</v>
      </c>
      <c r="Y244" s="34" t="n">
        <f aca="false">IF(OR(V244="",W244="",X244=""),"",IFERROR(IF(V244="BUY",1,IF(V244="SELL",-1,0))+IF(W244="BUY",1,IF(W244="SELL",-1,0))+IF(X244="BUY",1,IF(X244="SELL",-1,0)),0))</f>
        <v>0</v>
      </c>
      <c r="Z244" s="32" t="str">
        <f aca="false">IF(Y244="","",IF(Y244&gt;=2,"STRONG BUY",IF(Y244=1,"BUY",IF(Y244=0,"HOLD",IF(Y244=-1,"SELL","STRONG SELL")))))</f>
        <v>HOLD</v>
      </c>
    </row>
    <row r="245" customFormat="false" ht="15" hidden="false" customHeight="false" outlineLevel="0" collapsed="false">
      <c r="A245" s="24" t="n">
        <v>46111</v>
      </c>
      <c r="B245" s="25" t="n">
        <v>258.32</v>
      </c>
      <c r="C245" s="25" t="n">
        <v>258.42</v>
      </c>
      <c r="D245" s="25" t="n">
        <v>258.32</v>
      </c>
      <c r="E245" s="25" t="n">
        <v>258.37</v>
      </c>
      <c r="F245" s="26" t="n">
        <v>5209912</v>
      </c>
      <c r="G245" s="27" t="n">
        <f aca="false">E245-E244</f>
        <v>-2.60000000000002</v>
      </c>
      <c r="H245" s="28" t="n">
        <f aca="false">G245/E244</f>
        <v>-0.00996283097674071</v>
      </c>
      <c r="I245" s="29" t="n">
        <f aca="false">MAX(G245,0)</f>
        <v>0</v>
      </c>
      <c r="J245" s="29" t="n">
        <f aca="false">MAX(-G245,0)</f>
        <v>2.60000000000002</v>
      </c>
      <c r="K245" s="29" t="n">
        <f aca="false">(K244*13+I245)/14</f>
        <v>1.15922769526565</v>
      </c>
      <c r="L245" s="29" t="n">
        <f aca="false">(L244*13+J245)/14</f>
        <v>1.04836740000328</v>
      </c>
      <c r="M245" s="31" t="n">
        <f aca="false">IF(L245=0,100,100-100/(1+K245/MAX(L245,0.000001)))</f>
        <v>52.510883800656</v>
      </c>
      <c r="N245" s="30" t="n">
        <f aca="false">AVERAGE(E226:E245)</f>
        <v>258.318</v>
      </c>
      <c r="O245" s="30" t="n">
        <f aca="false">AVERAGE(E196:E245)</f>
        <v>251.0524</v>
      </c>
      <c r="P245" s="30" t="n">
        <f aca="false">AVERAGE(E46:E245)</f>
        <v>234.00905</v>
      </c>
      <c r="Q245" s="30" t="n">
        <f aca="false">Q244+(2/13)*(E245-Q244)</f>
        <v>259.457235491709</v>
      </c>
      <c r="R245" s="30" t="n">
        <f aca="false">R244+(2/27)*(E245-R244)</f>
        <v>257.126049327575</v>
      </c>
      <c r="S245" s="33" t="n">
        <f aca="false">Q245-R245</f>
        <v>2.33118616413464</v>
      </c>
      <c r="T245" s="33" t="n">
        <f aca="false">T244+(2/10)*(S245-T244)</f>
        <v>2.68174882624099</v>
      </c>
      <c r="U245" s="33" t="n">
        <f aca="false">S245-T245</f>
        <v>-0.350562662106354</v>
      </c>
      <c r="V245" s="32" t="str">
        <f aca="false">IF(M245="","",IF(M245&lt;Assumptions!$B$5,"BUY",IF(M245&gt;Assumptions!$B$4,"SELL","HOLD")))</f>
        <v>HOLD</v>
      </c>
      <c r="W245" s="32" t="str">
        <f aca="false">IF(O245="","",IF(E245&gt;O245,"BUY","SELL"))</f>
        <v>BUY</v>
      </c>
      <c r="X245" s="32" t="str">
        <f aca="false">IF(T245="","",IF(S245&gt;T245,"BUY","SELL"))</f>
        <v>SELL</v>
      </c>
      <c r="Y245" s="34" t="n">
        <f aca="false">IF(OR(V245="",W245="",X245=""),"",IFERROR(IF(V245="BUY",1,IF(V245="SELL",-1,0))+IF(W245="BUY",1,IF(W245="SELL",-1,0))+IF(X245="BUY",1,IF(X245="SELL",-1,0)),0))</f>
        <v>0</v>
      </c>
      <c r="Z245" s="32" t="str">
        <f aca="false">IF(Y245="","",IF(Y245&gt;=2,"STRONG BUY",IF(Y245=1,"BUY",IF(Y245=0,"HOLD",IF(Y245=-1,"SELL","STRONG SELL")))))</f>
        <v>HOLD</v>
      </c>
    </row>
    <row r="246" customFormat="false" ht="15" hidden="false" customHeight="false" outlineLevel="0" collapsed="false">
      <c r="A246" s="24" t="n">
        <v>46112</v>
      </c>
      <c r="B246" s="25" t="n">
        <v>256.87</v>
      </c>
      <c r="C246" s="25" t="n">
        <v>256.97</v>
      </c>
      <c r="D246" s="25" t="n">
        <v>256.79</v>
      </c>
      <c r="E246" s="25" t="n">
        <v>256.88</v>
      </c>
      <c r="F246" s="26" t="n">
        <v>11879632</v>
      </c>
      <c r="G246" s="27" t="n">
        <f aca="false">E246-E245</f>
        <v>-1.49000000000001</v>
      </c>
      <c r="H246" s="28" t="n">
        <f aca="false">G246/E245</f>
        <v>-0.00576692340442005</v>
      </c>
      <c r="I246" s="29" t="n">
        <f aca="false">MAX(G246,0)</f>
        <v>0</v>
      </c>
      <c r="J246" s="29" t="n">
        <f aca="false">MAX(-G246,0)</f>
        <v>1.49000000000001</v>
      </c>
      <c r="K246" s="29" t="n">
        <f aca="false">(K245*13+I246)/14</f>
        <v>1.07642571703239</v>
      </c>
      <c r="L246" s="29" t="n">
        <f aca="false">(L245*13+J246)/14</f>
        <v>1.07991258571733</v>
      </c>
      <c r="M246" s="31" t="n">
        <f aca="false">IF(L246=0,100,100-100/(1+K246/MAX(L246,0.000001)))</f>
        <v>49.9191483850076</v>
      </c>
      <c r="N246" s="30" t="n">
        <f aca="false">AVERAGE(E227:E246)</f>
        <v>258.2535</v>
      </c>
      <c r="O246" s="30" t="n">
        <f aca="false">AVERAGE(E197:E246)</f>
        <v>251.6494</v>
      </c>
      <c r="P246" s="30" t="n">
        <f aca="false">AVERAGE(E47:E246)</f>
        <v>234.25295</v>
      </c>
      <c r="Q246" s="30" t="n">
        <f aca="false">Q245+(2/13)*(E246-Q245)</f>
        <v>259.060737723754</v>
      </c>
      <c r="R246" s="30" t="n">
        <f aca="false">R245+(2/27)*(E246-R245)</f>
        <v>257.107823451458</v>
      </c>
      <c r="S246" s="33" t="n">
        <f aca="false">Q246-R246</f>
        <v>1.95291427229603</v>
      </c>
      <c r="T246" s="33" t="n">
        <f aca="false">T245+(2/10)*(S246-T245)</f>
        <v>2.535981915452</v>
      </c>
      <c r="U246" s="33" t="n">
        <f aca="false">S246-T246</f>
        <v>-0.58306764315597</v>
      </c>
      <c r="V246" s="32" t="str">
        <f aca="false">IF(M246="","",IF(M246&lt;Assumptions!$B$5,"BUY",IF(M246&gt;Assumptions!$B$4,"SELL","HOLD")))</f>
        <v>HOLD</v>
      </c>
      <c r="W246" s="32" t="str">
        <f aca="false">IF(O246="","",IF(E246&gt;O246,"BUY","SELL"))</f>
        <v>BUY</v>
      </c>
      <c r="X246" s="32" t="str">
        <f aca="false">IF(T246="","",IF(S246&gt;T246,"BUY","SELL"))</f>
        <v>SELL</v>
      </c>
      <c r="Y246" s="34" t="n">
        <f aca="false">IF(OR(V246="",W246="",X246=""),"",IFERROR(IF(V246="BUY",1,IF(V246="SELL",-1,0))+IF(W246="BUY",1,IF(W246="SELL",-1,0))+IF(X246="BUY",1,IF(X246="SELL",-1,0)),0))</f>
        <v>0</v>
      </c>
      <c r="Z246" s="32" t="str">
        <f aca="false">IF(Y246="","",IF(Y246&gt;=2,"STRONG BUY",IF(Y246=1,"BUY",IF(Y246=0,"HOLD",IF(Y246=-1,"SELL","STRONG SELL")))))</f>
        <v>HOLD</v>
      </c>
    </row>
    <row r="247" customFormat="false" ht="15" hidden="false" customHeight="false" outlineLevel="0" collapsed="false">
      <c r="A247" s="24" t="n">
        <v>46113</v>
      </c>
      <c r="B247" s="25" t="n">
        <v>254.35</v>
      </c>
      <c r="C247" s="25" t="n">
        <v>254.35</v>
      </c>
      <c r="D247" s="25" t="n">
        <v>253.71</v>
      </c>
      <c r="E247" s="25" t="n">
        <v>254.03</v>
      </c>
      <c r="F247" s="26" t="n">
        <v>11669005</v>
      </c>
      <c r="G247" s="27" t="n">
        <f aca="false">E247-E246</f>
        <v>-2.84999999999999</v>
      </c>
      <c r="H247" s="28" t="n">
        <f aca="false">G247/E246</f>
        <v>-0.011094674556213</v>
      </c>
      <c r="I247" s="29" t="n">
        <f aca="false">MAX(G247,0)</f>
        <v>0</v>
      </c>
      <c r="J247" s="29" t="n">
        <f aca="false">MAX(-G247,0)</f>
        <v>2.84999999999999</v>
      </c>
      <c r="K247" s="29" t="n">
        <f aca="false">(K246*13+I247)/14</f>
        <v>0.99953816581579</v>
      </c>
      <c r="L247" s="29" t="n">
        <f aca="false">(L246*13+J247)/14</f>
        <v>1.20634740102324</v>
      </c>
      <c r="M247" s="31" t="n">
        <f aca="false">IF(L247=0,100,100-100/(1+K247/MAX(L247,0.000001)))</f>
        <v>45.3123308317439</v>
      </c>
      <c r="N247" s="30" t="n">
        <f aca="false">AVERAGE(E228:E247)</f>
        <v>257.949</v>
      </c>
      <c r="O247" s="30" t="n">
        <f aca="false">AVERAGE(E198:E247)</f>
        <v>252.1132</v>
      </c>
      <c r="P247" s="30" t="n">
        <f aca="false">AVERAGE(E48:E247)</f>
        <v>234.48275</v>
      </c>
      <c r="Q247" s="30" t="n">
        <f aca="false">Q246+(2/13)*(E247-Q246)</f>
        <v>258.286778073946</v>
      </c>
      <c r="R247" s="30" t="n">
        <f aca="false">R246+(2/27)*(E247-R246)</f>
        <v>256.879836529128</v>
      </c>
      <c r="S247" s="33" t="n">
        <f aca="false">Q247-R247</f>
        <v>1.40694154481793</v>
      </c>
      <c r="T247" s="33" t="n">
        <f aca="false">T246+(2/10)*(S247-T246)</f>
        <v>2.31017384132518</v>
      </c>
      <c r="U247" s="33" t="n">
        <f aca="false">S247-T247</f>
        <v>-0.903232296507257</v>
      </c>
      <c r="V247" s="32" t="str">
        <f aca="false">IF(M247="","",IF(M247&lt;Assumptions!$B$5,"BUY",IF(M247&gt;Assumptions!$B$4,"SELL","HOLD")))</f>
        <v>HOLD</v>
      </c>
      <c r="W247" s="32" t="str">
        <f aca="false">IF(O247="","",IF(E247&gt;O247,"BUY","SELL"))</f>
        <v>BUY</v>
      </c>
      <c r="X247" s="32" t="str">
        <f aca="false">IF(T247="","",IF(S247&gt;T247,"BUY","SELL"))</f>
        <v>SELL</v>
      </c>
      <c r="Y247" s="34" t="n">
        <f aca="false">IF(OR(V247="",W247="",X247=""),"",IFERROR(IF(V247="BUY",1,IF(V247="SELL",-1,0))+IF(W247="BUY",1,IF(W247="SELL",-1,0))+IF(X247="BUY",1,IF(X247="SELL",-1,0)),0))</f>
        <v>0</v>
      </c>
      <c r="Z247" s="32" t="str">
        <f aca="false">IF(Y247="","",IF(Y247&gt;=2,"STRONG BUY",IF(Y247=1,"BUY",IF(Y247=0,"HOLD",IF(Y247=-1,"SELL","STRONG SELL")))))</f>
        <v>HOLD</v>
      </c>
    </row>
    <row r="248" customFormat="false" ht="15" hidden="false" customHeight="false" outlineLevel="0" collapsed="false">
      <c r="A248" s="24" t="n">
        <v>46114</v>
      </c>
      <c r="B248" s="25" t="n">
        <v>251.83</v>
      </c>
      <c r="C248" s="25" t="n">
        <v>255.29</v>
      </c>
      <c r="D248" s="25" t="n">
        <v>251.83</v>
      </c>
      <c r="E248" s="25" t="n">
        <v>253.56</v>
      </c>
      <c r="F248" s="26" t="n">
        <v>5835621</v>
      </c>
      <c r="G248" s="27" t="n">
        <f aca="false">E248-E247</f>
        <v>-0.469999999999999</v>
      </c>
      <c r="H248" s="28" t="n">
        <f aca="false">G248/E247</f>
        <v>-0.00185017517616029</v>
      </c>
      <c r="I248" s="29" t="n">
        <f aca="false">MAX(G248,0)</f>
        <v>0</v>
      </c>
      <c r="J248" s="29" t="n">
        <f aca="false">MAX(-G248,0)</f>
        <v>0.469999999999999</v>
      </c>
      <c r="K248" s="29" t="n">
        <f aca="false">(K247*13+I248)/14</f>
        <v>0.928142582543233</v>
      </c>
      <c r="L248" s="29" t="n">
        <f aca="false">(L247*13+J248)/14</f>
        <v>1.15375115809301</v>
      </c>
      <c r="M248" s="31" t="n">
        <f aca="false">IF(L248=0,100,100-100/(1+K248/MAX(L248,0.000001)))</f>
        <v>44.5816500826592</v>
      </c>
      <c r="N248" s="30" t="n">
        <f aca="false">AVERAGE(E229:E248)</f>
        <v>257.8175</v>
      </c>
      <c r="O248" s="30" t="n">
        <f aca="false">AVERAGE(E199:E248)</f>
        <v>252.636</v>
      </c>
      <c r="P248" s="30" t="n">
        <f aca="false">AVERAGE(E49:E248)</f>
        <v>234.7047</v>
      </c>
      <c r="Q248" s="30" t="n">
        <f aca="false">Q247+(2/13)*(E248-Q247)</f>
        <v>257.559581447185</v>
      </c>
      <c r="R248" s="30" t="n">
        <f aca="false">R247+(2/27)*(E248-R247)</f>
        <v>256.633922712155</v>
      </c>
      <c r="S248" s="33" t="n">
        <f aca="false">Q248-R248</f>
        <v>0.925658735029515</v>
      </c>
      <c r="T248" s="33" t="n">
        <f aca="false">T247+(2/10)*(S248-T247)</f>
        <v>2.03327082006605</v>
      </c>
      <c r="U248" s="33" t="n">
        <f aca="false">S248-T248</f>
        <v>-1.10761208503653</v>
      </c>
      <c r="V248" s="32" t="str">
        <f aca="false">IF(M248="","",IF(M248&lt;Assumptions!$B$5,"BUY",IF(M248&gt;Assumptions!$B$4,"SELL","HOLD")))</f>
        <v>HOLD</v>
      </c>
      <c r="W248" s="32" t="str">
        <f aca="false">IF(O248="","",IF(E248&gt;O248,"BUY","SELL"))</f>
        <v>BUY</v>
      </c>
      <c r="X248" s="32" t="str">
        <f aca="false">IF(T248="","",IF(S248&gt;T248,"BUY","SELL"))</f>
        <v>SELL</v>
      </c>
      <c r="Y248" s="34" t="n">
        <f aca="false">IF(OR(V248="",W248="",X248=""),"",IFERROR(IF(V248="BUY",1,IF(V248="SELL",-1,0))+IF(W248="BUY",1,IF(W248="SELL",-1,0))+IF(X248="BUY",1,IF(X248="SELL",-1,0)),0))</f>
        <v>0</v>
      </c>
      <c r="Z248" s="32" t="str">
        <f aca="false">IF(Y248="","",IF(Y248&gt;=2,"STRONG BUY",IF(Y248=1,"BUY",IF(Y248=0,"HOLD",IF(Y248=-1,"SELL","STRONG SELL")))))</f>
        <v>HOLD</v>
      </c>
    </row>
    <row r="249" customFormat="false" ht="15" hidden="false" customHeight="false" outlineLevel="0" collapsed="false">
      <c r="A249" s="24" t="n">
        <v>46115</v>
      </c>
      <c r="B249" s="25" t="n">
        <v>247.13</v>
      </c>
      <c r="C249" s="25" t="n">
        <v>248.51</v>
      </c>
      <c r="D249" s="25" t="n">
        <v>247.13</v>
      </c>
      <c r="E249" s="25" t="n">
        <v>247.82</v>
      </c>
      <c r="F249" s="26" t="n">
        <v>6521919</v>
      </c>
      <c r="G249" s="27" t="n">
        <f aca="false">E249-E248</f>
        <v>-5.74000000000001</v>
      </c>
      <c r="H249" s="28" t="n">
        <f aca="false">G249/E248</f>
        <v>-0.0226376400063102</v>
      </c>
      <c r="I249" s="29" t="n">
        <f aca="false">MAX(G249,0)</f>
        <v>0</v>
      </c>
      <c r="J249" s="29" t="n">
        <f aca="false">MAX(-G249,0)</f>
        <v>5.74000000000001</v>
      </c>
      <c r="K249" s="29" t="n">
        <f aca="false">(K248*13+I249)/14</f>
        <v>0.861846683790145</v>
      </c>
      <c r="L249" s="29" t="n">
        <f aca="false">(L248*13+J249)/14</f>
        <v>1.48134036108636</v>
      </c>
      <c r="M249" s="31" t="n">
        <f aca="false">IF(L249=0,100,100-100/(1+K249/MAX(L249,0.000001)))</f>
        <v>36.7809597477339</v>
      </c>
      <c r="N249" s="30" t="n">
        <f aca="false">AVERAGE(E230:E249)</f>
        <v>257.3685</v>
      </c>
      <c r="O249" s="30" t="n">
        <f aca="false">AVERAGE(E200:E249)</f>
        <v>252.9724</v>
      </c>
      <c r="P249" s="30" t="n">
        <f aca="false">AVERAGE(E50:E249)</f>
        <v>234.89435</v>
      </c>
      <c r="Q249" s="30" t="n">
        <f aca="false">Q248+(2/13)*(E249-Q248)</f>
        <v>256.061184301464</v>
      </c>
      <c r="R249" s="30" t="n">
        <f aca="false">R248+(2/27)*(E249-R248)</f>
        <v>255.981039548292</v>
      </c>
      <c r="S249" s="33" t="n">
        <f aca="false">Q249-R249</f>
        <v>0.0801447531721067</v>
      </c>
      <c r="T249" s="33" t="n">
        <f aca="false">T248+(2/10)*(S249-T248)</f>
        <v>1.64264560668726</v>
      </c>
      <c r="U249" s="33" t="n">
        <f aca="false">S249-T249</f>
        <v>-1.56250085351515</v>
      </c>
      <c r="V249" s="32" t="str">
        <f aca="false">IF(M249="","",IF(M249&lt;Assumptions!$B$5,"BUY",IF(M249&gt;Assumptions!$B$4,"SELL","HOLD")))</f>
        <v>HOLD</v>
      </c>
      <c r="W249" s="32" t="str">
        <f aca="false">IF(O249="","",IF(E249&gt;O249,"BUY","SELL"))</f>
        <v>SELL</v>
      </c>
      <c r="X249" s="32" t="str">
        <f aca="false">IF(T249="","",IF(S249&gt;T249,"BUY","SELL"))</f>
        <v>SELL</v>
      </c>
      <c r="Y249" s="34" t="n">
        <f aca="false">IF(OR(V249="",W249="",X249=""),"",IFERROR(IF(V249="BUY",1,IF(V249="SELL",-1,0))+IF(W249="BUY",1,IF(W249="SELL",-1,0))+IF(X249="BUY",1,IF(X249="SELL",-1,0)),0))</f>
        <v>-2</v>
      </c>
      <c r="Z249" s="32" t="str">
        <f aca="false">IF(Y249="","",IF(Y249&gt;=2,"STRONG BUY",IF(Y249=1,"BUY",IF(Y249=0,"HOLD",IF(Y249=-1,"SELL","STRONG SELL")))))</f>
        <v>STRONG SELL</v>
      </c>
    </row>
    <row r="250" customFormat="false" ht="15" hidden="false" customHeight="false" outlineLevel="0" collapsed="false">
      <c r="A250" s="24" t="n">
        <v>46118</v>
      </c>
      <c r="B250" s="25" t="n">
        <v>246.26</v>
      </c>
      <c r="C250" s="25" t="n">
        <v>247.2</v>
      </c>
      <c r="D250" s="25" t="n">
        <v>245.22</v>
      </c>
      <c r="E250" s="25" t="n">
        <v>246.21</v>
      </c>
      <c r="F250" s="26" t="n">
        <v>7023152</v>
      </c>
      <c r="G250" s="27" t="n">
        <f aca="false">E250-E249</f>
        <v>-1.60999999999999</v>
      </c>
      <c r="H250" s="28" t="n">
        <f aca="false">G250/E249</f>
        <v>-0.00649665079493175</v>
      </c>
      <c r="I250" s="29" t="n">
        <f aca="false">MAX(G250,0)</f>
        <v>0</v>
      </c>
      <c r="J250" s="29" t="n">
        <f aca="false">MAX(-G250,0)</f>
        <v>1.60999999999999</v>
      </c>
      <c r="K250" s="29" t="n">
        <f aca="false">(K249*13+I250)/14</f>
        <v>0.800286206376563</v>
      </c>
      <c r="L250" s="29" t="n">
        <f aca="false">(L249*13+J250)/14</f>
        <v>1.49053033529448</v>
      </c>
      <c r="M250" s="31" t="n">
        <f aca="false">IF(L250=0,100,100-100/(1+K250/MAX(L250,0.000001)))</f>
        <v>34.934539358302</v>
      </c>
      <c r="N250" s="30" t="n">
        <f aca="false">AVERAGE(E231:E250)</f>
        <v>256.9585</v>
      </c>
      <c r="O250" s="30" t="n">
        <f aca="false">AVERAGE(E201:E250)</f>
        <v>253.282</v>
      </c>
      <c r="P250" s="30" t="n">
        <f aca="false">AVERAGE(E51:E250)</f>
        <v>235.06475</v>
      </c>
      <c r="Q250" s="30" t="n">
        <f aca="false">Q249+(2/13)*(E250-Q249)</f>
        <v>254.545617485854</v>
      </c>
      <c r="R250" s="30" t="n">
        <f aca="false">R249+(2/27)*(E250-R249)</f>
        <v>255.257258841011</v>
      </c>
      <c r="S250" s="33" t="n">
        <f aca="false">Q250-R250</f>
        <v>-0.711641355156871</v>
      </c>
      <c r="T250" s="33" t="n">
        <f aca="false">T249+(2/10)*(S250-T249)</f>
        <v>1.17178821431843</v>
      </c>
      <c r="U250" s="33" t="n">
        <f aca="false">S250-T250</f>
        <v>-1.88342956947531</v>
      </c>
      <c r="V250" s="32" t="str">
        <f aca="false">IF(M250="","",IF(M250&lt;Assumptions!$B$5,"BUY",IF(M250&gt;Assumptions!$B$4,"SELL","HOLD")))</f>
        <v>HOLD</v>
      </c>
      <c r="W250" s="32" t="str">
        <f aca="false">IF(O250="","",IF(E250&gt;O250,"BUY","SELL"))</f>
        <v>SELL</v>
      </c>
      <c r="X250" s="32" t="str">
        <f aca="false">IF(T250="","",IF(S250&gt;T250,"BUY","SELL"))</f>
        <v>SELL</v>
      </c>
      <c r="Y250" s="34" t="n">
        <f aca="false">IF(OR(V250="",W250="",X250=""),"",IFERROR(IF(V250="BUY",1,IF(V250="SELL",-1,0))+IF(W250="BUY",1,IF(W250="SELL",-1,0))+IF(X250="BUY",1,IF(X250="SELL",-1,0)),0))</f>
        <v>-2</v>
      </c>
      <c r="Z250" s="32" t="str">
        <f aca="false">IF(Y250="","",IF(Y250&gt;=2,"STRONG BUY",IF(Y250=1,"BUY",IF(Y250=0,"HOLD",IF(Y250=-1,"SELL","STRONG SELL")))))</f>
        <v>STRONG SELL</v>
      </c>
    </row>
    <row r="251" customFormat="false" ht="15" hidden="false" customHeight="false" outlineLevel="0" collapsed="false">
      <c r="A251" s="24" t="n">
        <v>46119</v>
      </c>
      <c r="B251" s="25" t="n">
        <v>247.33</v>
      </c>
      <c r="C251" s="25" t="n">
        <v>250.33</v>
      </c>
      <c r="D251" s="25" t="n">
        <v>245.17</v>
      </c>
      <c r="E251" s="25" t="n">
        <v>247.75</v>
      </c>
      <c r="F251" s="26" t="n">
        <v>11111723</v>
      </c>
      <c r="G251" s="27" t="n">
        <f aca="false">E251-E250</f>
        <v>1.53999999999999</v>
      </c>
      <c r="H251" s="28" t="n">
        <f aca="false">G251/E250</f>
        <v>0.00625482311847607</v>
      </c>
      <c r="I251" s="29" t="n">
        <f aca="false">MAX(G251,0)</f>
        <v>1.53999999999999</v>
      </c>
      <c r="J251" s="29" t="n">
        <f aca="false">MAX(-G251,0)</f>
        <v>0</v>
      </c>
      <c r="K251" s="29" t="n">
        <f aca="false">(K250*13+I251)/14</f>
        <v>0.853122905921094</v>
      </c>
      <c r="L251" s="29" t="n">
        <f aca="false">(L250*13+J251)/14</f>
        <v>1.38406388277345</v>
      </c>
      <c r="M251" s="31" t="n">
        <f aca="false">IF(L251=0,100,100-100/(1+K251/MAX(L251,0.000001)))</f>
        <v>38.1337360935747</v>
      </c>
      <c r="N251" s="30" t="n">
        <f aca="false">AVERAGE(E232:E251)</f>
        <v>256.585</v>
      </c>
      <c r="O251" s="30" t="n">
        <f aca="false">AVERAGE(E202:E251)</f>
        <v>253.5904</v>
      </c>
      <c r="P251" s="30" t="n">
        <f aca="false">AVERAGE(E52:E251)</f>
        <v>235.24835</v>
      </c>
      <c r="Q251" s="30" t="n">
        <f aca="false">Q250+(2/13)*(E251-Q250)</f>
        <v>253.500137872646</v>
      </c>
      <c r="R251" s="30" t="n">
        <f aca="false">R250+(2/27)*(E251-R250)</f>
        <v>254.701165593529</v>
      </c>
      <c r="S251" s="33" t="n">
        <f aca="false">Q251-R251</f>
        <v>-1.20102772088293</v>
      </c>
      <c r="T251" s="33" t="n">
        <f aca="false">T250+(2/10)*(S251-T250)</f>
        <v>0.697225027278161</v>
      </c>
      <c r="U251" s="33" t="n">
        <f aca="false">S251-T251</f>
        <v>-1.89825274816109</v>
      </c>
      <c r="V251" s="32" t="str">
        <f aca="false">IF(M251="","",IF(M251&lt;Assumptions!$B$5,"BUY",IF(M251&gt;Assumptions!$B$4,"SELL","HOLD")))</f>
        <v>HOLD</v>
      </c>
      <c r="W251" s="32" t="str">
        <f aca="false">IF(O251="","",IF(E251&gt;O251,"BUY","SELL"))</f>
        <v>SELL</v>
      </c>
      <c r="X251" s="32" t="str">
        <f aca="false">IF(T251="","",IF(S251&gt;T251,"BUY","SELL"))</f>
        <v>SELL</v>
      </c>
      <c r="Y251" s="34" t="n">
        <f aca="false">IF(OR(V251="",W251="",X251=""),"",IFERROR(IF(V251="BUY",1,IF(V251="SELL",-1,0))+IF(W251="BUY",1,IF(W251="SELL",-1,0))+IF(X251="BUY",1,IF(X251="SELL",-1,0)),0))</f>
        <v>-2</v>
      </c>
      <c r="Z251" s="32" t="str">
        <f aca="false">IF(Y251="","",IF(Y251&gt;=2,"STRONG BUY",IF(Y251=1,"BUY",IF(Y251=0,"HOLD",IF(Y251=-1,"SELL","STRONG SELL")))))</f>
        <v>STRONG SELL</v>
      </c>
    </row>
    <row r="252" customFormat="false" ht="15" hidden="false" customHeight="false" outlineLevel="0" collapsed="false">
      <c r="A252" s="24" t="n">
        <v>46120</v>
      </c>
      <c r="B252" s="25" t="n">
        <v>246.82</v>
      </c>
      <c r="C252" s="25" t="n">
        <v>246.82</v>
      </c>
      <c r="D252" s="25" t="n">
        <v>246.68</v>
      </c>
      <c r="E252" s="25" t="n">
        <v>246.75</v>
      </c>
      <c r="F252" s="26" t="n">
        <v>6996108</v>
      </c>
      <c r="G252" s="27" t="n">
        <f aca="false">E252-E251</f>
        <v>-1</v>
      </c>
      <c r="H252" s="28" t="n">
        <f aca="false">G252/E251</f>
        <v>-0.00403632694248234</v>
      </c>
      <c r="I252" s="29" t="n">
        <f aca="false">MAX(G252,0)</f>
        <v>0</v>
      </c>
      <c r="J252" s="29" t="n">
        <f aca="false">MAX(-G252,0)</f>
        <v>1</v>
      </c>
      <c r="K252" s="29" t="n">
        <f aca="false">(K251*13+I252)/14</f>
        <v>0.792185555498159</v>
      </c>
      <c r="L252" s="29" t="n">
        <f aca="false">(L251*13+J252)/14</f>
        <v>1.35663074828963</v>
      </c>
      <c r="M252" s="31" t="n">
        <f aca="false">IF(L252=0,100,100-100/(1+K252/MAX(L252,0.000001)))</f>
        <v>36.8661366772836</v>
      </c>
      <c r="N252" s="30" t="n">
        <f aca="false">AVERAGE(E233:E252)</f>
        <v>256.2755</v>
      </c>
      <c r="O252" s="30" t="n">
        <f aca="false">AVERAGE(E203:E252)</f>
        <v>253.8326</v>
      </c>
      <c r="P252" s="30" t="n">
        <f aca="false">AVERAGE(E53:E252)</f>
        <v>235.41925</v>
      </c>
      <c r="Q252" s="30" t="n">
        <f aca="false">Q251+(2/13)*(E252-Q251)</f>
        <v>252.461655123008</v>
      </c>
      <c r="R252" s="30" t="n">
        <f aca="false">R251+(2/27)*(E252-R251)</f>
        <v>254.112190364379</v>
      </c>
      <c r="S252" s="33" t="n">
        <f aca="false">Q252-R252</f>
        <v>-1.65053524137048</v>
      </c>
      <c r="T252" s="33" t="n">
        <f aca="false">T251+(2/10)*(S252-T251)</f>
        <v>0.227672973548433</v>
      </c>
      <c r="U252" s="33" t="n">
        <f aca="false">S252-T252</f>
        <v>-1.87820821491891</v>
      </c>
      <c r="V252" s="32" t="str">
        <f aca="false">IF(M252="","",IF(M252&lt;Assumptions!$B$5,"BUY",IF(M252&gt;Assumptions!$B$4,"SELL","HOLD")))</f>
        <v>HOLD</v>
      </c>
      <c r="W252" s="32" t="str">
        <f aca="false">IF(O252="","",IF(E252&gt;O252,"BUY","SELL"))</f>
        <v>SELL</v>
      </c>
      <c r="X252" s="32" t="str">
        <f aca="false">IF(T252="","",IF(S252&gt;T252,"BUY","SELL"))</f>
        <v>SELL</v>
      </c>
      <c r="Y252" s="34" t="n">
        <f aca="false">IF(OR(V252="",W252="",X252=""),"",IFERROR(IF(V252="BUY",1,IF(V252="SELL",-1,0))+IF(W252="BUY",1,IF(W252="SELL",-1,0))+IF(X252="BUY",1,IF(X252="SELL",-1,0)),0))</f>
        <v>-2</v>
      </c>
      <c r="Z252" s="32" t="str">
        <f aca="false">IF(Y252="","",IF(Y252&gt;=2,"STRONG BUY",IF(Y252=1,"BUY",IF(Y252=0,"HOLD",IF(Y252=-1,"SELL","STRONG SELL")))))</f>
        <v>STRONG SELL</v>
      </c>
    </row>
    <row r="253" customFormat="false" ht="15" hidden="false" customHeight="false" outlineLevel="0" collapsed="false">
      <c r="A253" s="24" t="n">
        <v>46121</v>
      </c>
      <c r="B253" s="25" t="n">
        <v>245.44</v>
      </c>
      <c r="C253" s="25" t="n">
        <v>246.9</v>
      </c>
      <c r="D253" s="25" t="n">
        <v>244.42</v>
      </c>
      <c r="E253" s="25" t="n">
        <v>245.66</v>
      </c>
      <c r="F253" s="26" t="n">
        <v>4176099</v>
      </c>
      <c r="G253" s="27" t="n">
        <f aca="false">E253-E252</f>
        <v>-1.09</v>
      </c>
      <c r="H253" s="28" t="n">
        <f aca="false">G253/E252</f>
        <v>-0.00441742654508613</v>
      </c>
      <c r="I253" s="29" t="n">
        <f aca="false">MAX(G253,0)</f>
        <v>0</v>
      </c>
      <c r="J253" s="29" t="n">
        <f aca="false">MAX(-G253,0)</f>
        <v>1.09</v>
      </c>
      <c r="K253" s="29" t="n">
        <f aca="false">(K252*13+I253)/14</f>
        <v>0.735600872962576</v>
      </c>
      <c r="L253" s="29" t="n">
        <f aca="false">(L252*13+J253)/14</f>
        <v>1.33758569484037</v>
      </c>
      <c r="M253" s="31" t="n">
        <f aca="false">IF(L253=0,100,100-100/(1+K253/MAX(L253,0.000001)))</f>
        <v>35.4816534308404</v>
      </c>
      <c r="N253" s="30" t="n">
        <f aca="false">AVERAGE(E234:E253)</f>
        <v>255.7725</v>
      </c>
      <c r="O253" s="30" t="n">
        <f aca="false">AVERAGE(E204:E253)</f>
        <v>254.0026</v>
      </c>
      <c r="P253" s="30" t="n">
        <f aca="false">AVERAGE(E54:E253)</f>
        <v>235.58135</v>
      </c>
      <c r="Q253" s="30" t="n">
        <f aca="false">Q252+(2/13)*(E253-Q252)</f>
        <v>251.415246642545</v>
      </c>
      <c r="R253" s="30" t="n">
        <f aca="false">R252+(2/27)*(E253-R252)</f>
        <v>253.486102189239</v>
      </c>
      <c r="S253" s="33" t="n">
        <f aca="false">Q253-R253</f>
        <v>-2.07085554669411</v>
      </c>
      <c r="T253" s="33" t="n">
        <f aca="false">T252+(2/10)*(S253-T252)</f>
        <v>-0.232032730500074</v>
      </c>
      <c r="U253" s="33" t="n">
        <f aca="false">S253-T253</f>
        <v>-1.83882281619403</v>
      </c>
      <c r="V253" s="32" t="str">
        <f aca="false">IF(M253="","",IF(M253&lt;Assumptions!$B$5,"BUY",IF(M253&gt;Assumptions!$B$4,"SELL","HOLD")))</f>
        <v>HOLD</v>
      </c>
      <c r="W253" s="32" t="str">
        <f aca="false">IF(O253="","",IF(E253&gt;O253,"BUY","SELL"))</f>
        <v>SELL</v>
      </c>
      <c r="X253" s="32" t="str">
        <f aca="false">IF(T253="","",IF(S253&gt;T253,"BUY","SELL"))</f>
        <v>SELL</v>
      </c>
      <c r="Y253" s="34" t="n">
        <f aca="false">IF(OR(V253="",W253="",X253=""),"",IFERROR(IF(V253="BUY",1,IF(V253="SELL",-1,0))+IF(W253="BUY",1,IF(W253="SELL",-1,0))+IF(X253="BUY",1,IF(X253="SELL",-1,0)),0))</f>
        <v>-2</v>
      </c>
      <c r="Z253" s="32" t="str">
        <f aca="false">IF(Y253="","",IF(Y253&gt;=2,"STRONG BUY",IF(Y253=1,"BUY",IF(Y253=0,"HOLD",IF(Y253=-1,"SELL","STRONG SELL")))))</f>
        <v>STRONG SELL</v>
      </c>
    </row>
    <row r="254" customFormat="false" ht="15" hidden="false" customHeight="false" outlineLevel="0" collapsed="false">
      <c r="A254" s="24" t="n">
        <v>46122</v>
      </c>
      <c r="B254" s="25" t="n">
        <v>248.24</v>
      </c>
      <c r="C254" s="25" t="n">
        <v>249.04</v>
      </c>
      <c r="D254" s="25" t="n">
        <v>247.22</v>
      </c>
      <c r="E254" s="25" t="n">
        <v>248.13</v>
      </c>
      <c r="F254" s="26" t="n">
        <v>6767746</v>
      </c>
      <c r="G254" s="27" t="n">
        <f aca="false">E254-E253</f>
        <v>2.47</v>
      </c>
      <c r="H254" s="28" t="n">
        <f aca="false">G254/E253</f>
        <v>0.0100545469347879</v>
      </c>
      <c r="I254" s="29" t="n">
        <f aca="false">MAX(G254,0)</f>
        <v>2.47</v>
      </c>
      <c r="J254" s="29" t="n">
        <f aca="false">MAX(-G254,0)</f>
        <v>0</v>
      </c>
      <c r="K254" s="29" t="n">
        <f aca="false">(K253*13+I254)/14</f>
        <v>0.85948652489382</v>
      </c>
      <c r="L254" s="29" t="n">
        <f aca="false">(L253*13+J254)/14</f>
        <v>1.24204385949463</v>
      </c>
      <c r="M254" s="31" t="n">
        <f aca="false">IF(L254=0,100,100-100/(1+K254/MAX(L254,0.000001)))</f>
        <v>40.8981250653644</v>
      </c>
      <c r="N254" s="30" t="n">
        <f aca="false">AVERAGE(E235:E254)</f>
        <v>255.2925</v>
      </c>
      <c r="O254" s="30" t="n">
        <f aca="false">AVERAGE(E205:E254)</f>
        <v>254.2184</v>
      </c>
      <c r="P254" s="30" t="n">
        <f aca="false">AVERAGE(E55:E254)</f>
        <v>235.75285</v>
      </c>
      <c r="Q254" s="30" t="n">
        <f aca="false">Q253+(2/13)*(E254-Q253)</f>
        <v>250.909824082154</v>
      </c>
      <c r="R254" s="30" t="n">
        <f aca="false">R253+(2/27)*(E254-R253)</f>
        <v>253.089353878925</v>
      </c>
      <c r="S254" s="33" t="n">
        <f aca="false">Q254-R254</f>
        <v>-2.17952979677168</v>
      </c>
      <c r="T254" s="33" t="n">
        <f aca="false">T253+(2/10)*(S254-T253)</f>
        <v>-0.621532143754395</v>
      </c>
      <c r="U254" s="33" t="n">
        <f aca="false">S254-T254</f>
        <v>-1.55799765301728</v>
      </c>
      <c r="V254" s="32" t="str">
        <f aca="false">IF(M254="","",IF(M254&lt;Assumptions!$B$5,"BUY",IF(M254&gt;Assumptions!$B$4,"SELL","HOLD")))</f>
        <v>HOLD</v>
      </c>
      <c r="W254" s="32" t="str">
        <f aca="false">IF(O254="","",IF(E254&gt;O254,"BUY","SELL"))</f>
        <v>SELL</v>
      </c>
      <c r="X254" s="32" t="str">
        <f aca="false">IF(T254="","",IF(S254&gt;T254,"BUY","SELL"))</f>
        <v>SELL</v>
      </c>
      <c r="Y254" s="34" t="n">
        <f aca="false">IF(OR(V254="",W254="",X254=""),"",IFERROR(IF(V254="BUY",1,IF(V254="SELL",-1,0))+IF(W254="BUY",1,IF(W254="SELL",-1,0))+IF(X254="BUY",1,IF(X254="SELL",-1,0)),0))</f>
        <v>-2</v>
      </c>
      <c r="Z254" s="32" t="str">
        <f aca="false">IF(Y254="","",IF(Y254&gt;=2,"STRONG BUY",IF(Y254=1,"BUY",IF(Y254=0,"HOLD",IF(Y254=-1,"SELL","STRONG SELL")))))</f>
        <v>STRONG SELL</v>
      </c>
    </row>
  </sheetData>
  <mergeCells count="1">
    <mergeCell ref="A1:Z1"/>
  </mergeCells>
  <conditionalFormatting sqref="V3:V254">
    <cfRule type="cellIs" priority="2" operator="equal" aboveAverage="0" equalAverage="0" bottom="0" percent="0" rank="0" text="" dxfId="5">
      <formula>"BUY"</formula>
    </cfRule>
    <cfRule type="cellIs" priority="3" operator="equal" aboveAverage="0" equalAverage="0" bottom="0" percent="0" rank="0" text="" dxfId="6">
      <formula>"SELL"</formula>
    </cfRule>
    <cfRule type="cellIs" priority="4" operator="equal" aboveAverage="0" equalAverage="0" bottom="0" percent="0" rank="0" text="" dxfId="7">
      <formula>"HOLD"</formula>
    </cfRule>
  </conditionalFormatting>
  <conditionalFormatting sqref="W3:W254">
    <cfRule type="cellIs" priority="5" operator="equal" aboveAverage="0" equalAverage="0" bottom="0" percent="0" rank="0" text="" dxfId="5">
      <formula>"BUY"</formula>
    </cfRule>
    <cfRule type="cellIs" priority="6" operator="equal" aboveAverage="0" equalAverage="0" bottom="0" percent="0" rank="0" text="" dxfId="6">
      <formula>"SELL"</formula>
    </cfRule>
    <cfRule type="cellIs" priority="7" operator="equal" aboveAverage="0" equalAverage="0" bottom="0" percent="0" rank="0" text="" dxfId="7">
      <formula>"HOLD"</formula>
    </cfRule>
  </conditionalFormatting>
  <conditionalFormatting sqref="X3:X254">
    <cfRule type="cellIs" priority="8" operator="equal" aboveAverage="0" equalAverage="0" bottom="0" percent="0" rank="0" text="" dxfId="5">
      <formula>"BUY"</formula>
    </cfRule>
    <cfRule type="cellIs" priority="9" operator="equal" aboveAverage="0" equalAverage="0" bottom="0" percent="0" rank="0" text="" dxfId="6">
      <formula>"SELL"</formula>
    </cfRule>
    <cfRule type="cellIs" priority="10" operator="equal" aboveAverage="0" equalAverage="0" bottom="0" percent="0" rank="0" text="" dxfId="7">
      <formula>"HOLD"</formula>
    </cfRule>
  </conditionalFormatting>
  <conditionalFormatting sqref="Z3:Z254">
    <cfRule type="cellIs" priority="11" operator="equal" aboveAverage="0" equalAverage="0" bottom="0" percent="0" rank="0" text="" dxfId="8">
      <formula>"STRONG BUY"</formula>
    </cfRule>
    <cfRule type="cellIs" priority="12" operator="equal" aboveAverage="0" equalAverage="0" bottom="0" percent="0" rank="0" text="" dxfId="5">
      <formula>"BUY"</formula>
    </cfRule>
    <cfRule type="cellIs" priority="13" operator="equal" aboveAverage="0" equalAverage="0" bottom="0" percent="0" rank="0" text="" dxfId="7">
      <formula>"HOLD"</formula>
    </cfRule>
    <cfRule type="cellIs" priority="14" operator="equal" aboveAverage="0" equalAverage="0" bottom="0" percent="0" rank="0" text="" dxfId="6">
      <formula>"SELL"</formula>
    </cfRule>
    <cfRule type="cellIs" priority="15" operator="equal" aboveAverage="0" equalAverage="0" bottom="0" percent="0" rank="0" text="" dxfId="9">
      <formula>"STRONG SELL"</formula>
    </cfRule>
  </conditionalFormatting>
  <conditionalFormatting sqref="M3:M254">
    <cfRule type="cellIs" priority="16" operator="greaterThan" aboveAverage="0" equalAverage="0" bottom="0" percent="0" rank="0" text="" dxfId="10">
      <formula>70</formula>
    </cfRule>
    <cfRule type="cellIs" priority="17" operator="lessThan" aboveAverage="0" equalAverage="0" bottom="0" percent="0" rank="0" text="" dxfId="11">
      <formula>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2026-04-10T06:49:47Z</dcterms:created>
  <dc:creator>openpyxl</dc:creator>
  <dc:description/>
  <dc:language>en-US</dc:language>
  <cp:lastModifiedBy/>
  <dcterms:modified xsi:type="dcterms:W3CDTF">2026-04-10T13:50:01Z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