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ily" sheetId="2" state="visible" r:id="rId2"/>
    <sheet xmlns:r="http://schemas.openxmlformats.org/officeDocument/2006/relationships" name="Holdings" sheetId="3" state="visible" r:id="rId3"/>
    <sheet xmlns:r="http://schemas.openxmlformats.org/officeDocument/2006/relationships" name="Trade Log" sheetId="4" state="visible" r:id="rId4"/>
    <sheet xmlns:r="http://schemas.openxmlformats.org/officeDocument/2006/relationships" name="Equity Curve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9">
    <numFmt numFmtId="164" formatCode="\฿#,##0"/>
    <numFmt numFmtId="165" formatCode="\฿#,##0;&quot;(฿&quot;#,##0\);\-"/>
    <numFmt numFmtId="166" formatCode="yyyy\-mm\-dd"/>
    <numFmt numFmtId="167" formatCode="#,##0.00;\(#,##0.00\);\-"/>
    <numFmt numFmtId="168" formatCode="0.00%;\(0.00%\);\-"/>
    <numFmt numFmtId="169" formatCode="#,##0;\(#,##0\);\-"/>
    <numFmt numFmtId="170" formatCode="YYYY-MM-DD"/>
    <numFmt numFmtId="171" formatCode="#,##0.00;(#,##0.00);-"/>
    <numFmt numFmtId="172" formatCode="0.00%;(0.00%);-"/>
  </numFmts>
  <fonts count="2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color rgb="FFFFFFFF"/>
      <sz val="9"/>
    </font>
    <font>
      <name val="Arial"/>
      <charset val="1"/>
      <family val="0"/>
      <b val="1"/>
      <color rgb="FFFFFFFF"/>
      <sz val="13"/>
    </font>
    <font>
      <name val="Arial"/>
      <charset val="1"/>
      <family val="0"/>
      <i val="1"/>
      <color rgb="FF555555"/>
      <sz val="9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1F3864"/>
      <sz val="11"/>
    </font>
    <font>
      <name val="Arial"/>
      <charset val="1"/>
      <family val="0"/>
      <color rgb="FF000000"/>
      <sz val="11"/>
    </font>
    <font>
      <name val="Arial"/>
      <charset val="1"/>
      <family val="0"/>
      <b val="1"/>
      <color rgb="FF000000"/>
      <sz val="11"/>
    </font>
    <font>
      <name val="Arial"/>
      <charset val="1"/>
      <family val="0"/>
      <b val="1"/>
      <color rgb="FFC0392B"/>
      <sz val="11"/>
    </font>
    <font>
      <name val="Arial"/>
      <charset val="1"/>
      <family val="0"/>
      <color rgb="FFC0392B"/>
      <sz val="11"/>
    </font>
    <font>
      <name val="Arial"/>
      <charset val="1"/>
      <family val="0"/>
      <b val="1"/>
      <color rgb="FF1A7A4A"/>
      <sz val="11"/>
    </font>
    <font>
      <name val="Arial"/>
      <charset val="1"/>
      <family val="0"/>
      <color rgb="FF1A7A4A"/>
      <sz val="11"/>
    </font>
    <font>
      <name val="Arial"/>
      <charset val="1"/>
      <family val="0"/>
      <i val="1"/>
      <color rgb="FF888888"/>
      <sz val="9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DejaVu Sans"/>
      <family val="2"/>
      <b val="1"/>
      <color rgb="FF000000"/>
      <sz val="10"/>
    </font>
    <font>
      <name val="Arial"/>
      <b val="1"/>
      <color rgb="001A7A4A"/>
      <sz val="11"/>
    </font>
    <font>
      <name val="Arial"/>
      <color rgb="001A7A4A"/>
      <sz val="11"/>
    </font>
    <font>
      <name val="Arial"/>
      <b val="1"/>
      <color rgb="00C0392B"/>
      <sz val="11"/>
    </font>
    <font>
      <name val="Arial"/>
      <color rgb="00C0392B"/>
      <sz val="11"/>
    </font>
  </fonts>
  <fills count="10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86AB"/>
        <bgColor rgb="FF008080"/>
      </patternFill>
    </fill>
    <fill>
      <patternFill patternType="solid">
        <fgColor rgb="FFC0392B"/>
        <bgColor rgb="FF993366"/>
      </patternFill>
    </fill>
    <fill>
      <patternFill patternType="solid">
        <fgColor rgb="FF1A7A4A"/>
        <bgColor rgb="FF008080"/>
      </patternFill>
    </fill>
    <fill>
      <patternFill patternType="solid">
        <fgColor rgb="FFC9A227"/>
        <bgColor rgb="FF99CC0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9D9D9"/>
        <bgColor rgb="FFCCCC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7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center" vertical="bottom"/>
    </xf>
    <xf numFmtId="0" fontId="5" fillId="4" borderId="0" applyAlignment="1" pivotButton="0" quotePrefix="0" xfId="0">
      <alignment horizontal="center" vertical="bottom"/>
    </xf>
    <xf numFmtId="0" fontId="5" fillId="5" borderId="0" applyAlignment="1" pivotButton="0" quotePrefix="0" xfId="0">
      <alignment horizontal="center" vertical="bottom"/>
    </xf>
    <xf numFmtId="164" fontId="6" fillId="3" borderId="0" applyAlignment="1" pivotButton="0" quotePrefix="0" xfId="0">
      <alignment horizontal="center" vertical="center"/>
    </xf>
    <xf numFmtId="164" fontId="6" fillId="2" borderId="0" applyAlignment="1" pivotButton="0" quotePrefix="0" xfId="0">
      <alignment horizontal="center" vertical="center"/>
    </xf>
    <xf numFmtId="165" fontId="6" fillId="2" borderId="0" applyAlignment="1" pivotButton="0" quotePrefix="0" xfId="0">
      <alignment horizontal="center" vertical="center"/>
    </xf>
    <xf numFmtId="10" fontId="6" fillId="2" borderId="0" applyAlignment="1" pivotButton="0" quotePrefix="0" xfId="0">
      <alignment horizontal="center" vertical="center"/>
    </xf>
    <xf numFmtId="10" fontId="6" fillId="4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bottom"/>
    </xf>
    <xf numFmtId="0" fontId="8" fillId="2" borderId="0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166" fontId="10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4" fontId="10" fillId="7" borderId="1" applyAlignment="1" pivotButton="0" quotePrefix="0" xfId="0">
      <alignment horizontal="center" vertical="center"/>
    </xf>
    <xf numFmtId="4" fontId="11" fillId="7" borderId="1" applyAlignment="1" pivotButton="0" quotePrefix="0" xfId="0">
      <alignment horizontal="center" vertical="center"/>
    </xf>
    <xf numFmtId="167" fontId="12" fillId="7" borderId="1" applyAlignment="1" pivotButton="0" quotePrefix="0" xfId="0">
      <alignment horizontal="center" vertical="center"/>
    </xf>
    <xf numFmtId="168" fontId="13" fillId="7" borderId="1" applyAlignment="1" pivotButton="0" quotePrefix="0" xfId="0">
      <alignment horizontal="center" vertical="center"/>
    </xf>
    <xf numFmtId="168" fontId="10" fillId="7" borderId="1" applyAlignment="1" pivotButton="0" quotePrefix="0" xfId="0">
      <alignment horizontal="center" vertical="center"/>
    </xf>
    <xf numFmtId="166" fontId="10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4" fontId="10" fillId="8" borderId="1" applyAlignment="1" pivotButton="0" quotePrefix="0" xfId="0">
      <alignment horizontal="center" vertical="center"/>
    </xf>
    <xf numFmtId="4" fontId="11" fillId="8" borderId="1" applyAlignment="1" pivotButton="0" quotePrefix="0" xfId="0">
      <alignment horizontal="center" vertical="center"/>
    </xf>
    <xf numFmtId="167" fontId="12" fillId="8" borderId="1" applyAlignment="1" pivotButton="0" quotePrefix="0" xfId="0">
      <alignment horizontal="center" vertical="center"/>
    </xf>
    <xf numFmtId="168" fontId="13" fillId="8" borderId="1" applyAlignment="1" pivotButton="0" quotePrefix="0" xfId="0">
      <alignment horizontal="center" vertical="center"/>
    </xf>
    <xf numFmtId="168" fontId="10" fillId="8" borderId="1" applyAlignment="1" pivotButton="0" quotePrefix="0" xfId="0">
      <alignment horizontal="center" vertical="center"/>
    </xf>
    <xf numFmtId="167" fontId="14" fillId="7" borderId="1" applyAlignment="1" pivotButton="0" quotePrefix="0" xfId="0">
      <alignment horizontal="center" vertical="center"/>
    </xf>
    <xf numFmtId="168" fontId="15" fillId="7" borderId="1" applyAlignment="1" pivotButton="0" quotePrefix="0" xfId="0">
      <alignment horizontal="center" vertical="center"/>
    </xf>
    <xf numFmtId="0" fontId="16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general" vertical="bottom"/>
    </xf>
    <xf numFmtId="0" fontId="11" fillId="7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/>
    </xf>
    <xf numFmtId="3" fontId="10" fillId="7" borderId="1" applyAlignment="1" pivotButton="0" quotePrefix="0" xfId="0">
      <alignment horizontal="center" vertical="center"/>
    </xf>
    <xf numFmtId="3" fontId="11" fillId="7" borderId="1" applyAlignment="1" pivotButton="0" quotePrefix="0" xfId="0">
      <alignment horizontal="center" vertical="center"/>
    </xf>
    <xf numFmtId="169" fontId="14" fillId="7" borderId="1" applyAlignment="1" pivotButton="0" quotePrefix="0" xfId="0">
      <alignment horizontal="center" vertical="center"/>
    </xf>
    <xf numFmtId="4" fontId="13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3" fontId="10" fillId="8" borderId="1" applyAlignment="1" pivotButton="0" quotePrefix="0" xfId="0">
      <alignment horizontal="center" vertical="center"/>
    </xf>
    <xf numFmtId="3" fontId="11" fillId="8" borderId="1" applyAlignment="1" pivotButton="0" quotePrefix="0" xfId="0">
      <alignment horizontal="center" vertical="center"/>
    </xf>
    <xf numFmtId="169" fontId="14" fillId="8" borderId="1" applyAlignment="1" pivotButton="0" quotePrefix="0" xfId="0">
      <alignment horizontal="center" vertical="center"/>
    </xf>
    <xf numFmtId="168" fontId="15" fillId="8" borderId="1" applyAlignment="1" pivotButton="0" quotePrefix="0" xfId="0">
      <alignment horizontal="center" vertical="center"/>
    </xf>
    <xf numFmtId="4" fontId="13" fillId="8" borderId="1" applyAlignment="1" pivotButton="0" quotePrefix="0" xfId="0">
      <alignment horizontal="center" vertical="center"/>
    </xf>
    <xf numFmtId="169" fontId="12" fillId="7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3" fontId="11" fillId="9" borderId="1" applyAlignment="1" pivotButton="0" quotePrefix="0" xfId="0">
      <alignment horizontal="general" vertical="bottom"/>
    </xf>
    <xf numFmtId="169" fontId="14" fillId="9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14" fillId="7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166" fontId="10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center" vertical="bottom"/>
    </xf>
    <xf numFmtId="0" fontId="5" fillId="4" borderId="0" applyAlignment="1" pivotButton="0" quotePrefix="0" xfId="0">
      <alignment horizontal="center" vertical="bottom"/>
    </xf>
    <xf numFmtId="0" fontId="5" fillId="5" borderId="0" applyAlignment="1" pivotButton="0" quotePrefix="0" xfId="0">
      <alignment horizontal="center" vertical="bottom"/>
    </xf>
    <xf numFmtId="164" fontId="6" fillId="3" borderId="0" applyAlignment="1" pivotButton="0" quotePrefix="0" xfId="0">
      <alignment horizontal="center" vertical="center"/>
    </xf>
    <xf numFmtId="164" fontId="6" fillId="2" borderId="0" applyAlignment="1" pivotButton="0" quotePrefix="0" xfId="0">
      <alignment horizontal="center" vertical="center"/>
    </xf>
    <xf numFmtId="165" fontId="6" fillId="2" borderId="0" applyAlignment="1" pivotButton="0" quotePrefix="0" xfId="0">
      <alignment horizontal="center" vertical="center"/>
    </xf>
    <xf numFmtId="10" fontId="6" fillId="2" borderId="0" applyAlignment="1" pivotButton="0" quotePrefix="0" xfId="0">
      <alignment horizontal="center" vertical="center"/>
    </xf>
    <xf numFmtId="10" fontId="6" fillId="4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bottom"/>
    </xf>
    <xf numFmtId="0" fontId="8" fillId="2" borderId="0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170" fontId="10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4" fontId="10" fillId="7" borderId="1" applyAlignment="1" pivotButton="0" quotePrefix="0" xfId="0">
      <alignment horizontal="center" vertical="center"/>
    </xf>
    <xf numFmtId="4" fontId="11" fillId="7" borderId="1" applyAlignment="1" pivotButton="0" quotePrefix="0" xfId="0">
      <alignment horizontal="center" vertical="center"/>
    </xf>
    <xf numFmtId="171" fontId="21" fillId="7" borderId="1" applyAlignment="1" pivotButton="0" quotePrefix="0" xfId="0">
      <alignment horizontal="center" vertical="center"/>
    </xf>
    <xf numFmtId="172" fontId="22" fillId="7" borderId="1" applyAlignment="1" pivotButton="0" quotePrefix="0" xfId="0">
      <alignment horizontal="center" vertical="center"/>
    </xf>
    <xf numFmtId="172" fontId="10" fillId="7" borderId="1" applyAlignment="1" pivotButton="0" quotePrefix="0" xfId="0">
      <alignment horizontal="center" vertical="center"/>
    </xf>
    <xf numFmtId="170" fontId="10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4" fontId="10" fillId="8" borderId="1" applyAlignment="1" pivotButton="0" quotePrefix="0" xfId="0">
      <alignment horizontal="center" vertical="center"/>
    </xf>
    <xf numFmtId="4" fontId="11" fillId="8" borderId="1" applyAlignment="1" pivotButton="0" quotePrefix="0" xfId="0">
      <alignment horizontal="center" vertical="center"/>
    </xf>
    <xf numFmtId="171" fontId="23" fillId="8" borderId="1" applyAlignment="1" pivotButton="0" quotePrefix="0" xfId="0">
      <alignment horizontal="center" vertical="center"/>
    </xf>
    <xf numFmtId="172" fontId="24" fillId="8" borderId="1" applyAlignment="1" pivotButton="0" quotePrefix="0" xfId="0">
      <alignment horizontal="center" vertical="center"/>
    </xf>
    <xf numFmtId="172" fontId="10" fillId="8" borderId="1" applyAlignment="1" pivotButton="0" quotePrefix="0" xfId="0">
      <alignment horizontal="center" vertical="center"/>
    </xf>
    <xf numFmtId="0" fontId="16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general" vertical="bottom"/>
    </xf>
    <xf numFmtId="0" fontId="11" fillId="7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/>
    </xf>
    <xf numFmtId="3" fontId="10" fillId="7" borderId="1" applyAlignment="1" pivotButton="0" quotePrefix="0" xfId="0">
      <alignment horizontal="center" vertical="center"/>
    </xf>
    <xf numFmtId="3" fontId="11" fillId="7" borderId="1" applyAlignment="1" pivotButton="0" quotePrefix="0" xfId="0">
      <alignment horizontal="center" vertical="center"/>
    </xf>
    <xf numFmtId="169" fontId="14" fillId="7" borderId="1" applyAlignment="1" pivotButton="0" quotePrefix="0" xfId="0">
      <alignment horizontal="center" vertical="center"/>
    </xf>
    <xf numFmtId="168" fontId="15" fillId="7" borderId="1" applyAlignment="1" pivotButton="0" quotePrefix="0" xfId="0">
      <alignment horizontal="center" vertical="center"/>
    </xf>
    <xf numFmtId="4" fontId="13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3" fontId="10" fillId="8" borderId="1" applyAlignment="1" pivotButton="0" quotePrefix="0" xfId="0">
      <alignment horizontal="center" vertical="center"/>
    </xf>
    <xf numFmtId="3" fontId="11" fillId="8" borderId="1" applyAlignment="1" pivotButton="0" quotePrefix="0" xfId="0">
      <alignment horizontal="center" vertical="center"/>
    </xf>
    <xf numFmtId="169" fontId="14" fillId="8" borderId="1" applyAlignment="1" pivotButton="0" quotePrefix="0" xfId="0">
      <alignment horizontal="center" vertical="center"/>
    </xf>
    <xf numFmtId="168" fontId="15" fillId="8" borderId="1" applyAlignment="1" pivotButton="0" quotePrefix="0" xfId="0">
      <alignment horizontal="center" vertical="center"/>
    </xf>
    <xf numFmtId="4" fontId="13" fillId="8" borderId="1" applyAlignment="1" pivotButton="0" quotePrefix="0" xfId="0">
      <alignment horizontal="center" vertical="center"/>
    </xf>
    <xf numFmtId="169" fontId="12" fillId="7" borderId="1" applyAlignment="1" pivotButton="0" quotePrefix="0" xfId="0">
      <alignment horizontal="center" vertical="center"/>
    </xf>
    <xf numFmtId="168" fontId="13" fillId="7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3" fontId="11" fillId="9" borderId="1" applyAlignment="1" pivotButton="0" quotePrefix="0" xfId="0">
      <alignment horizontal="general" vertical="bottom"/>
    </xf>
    <xf numFmtId="169" fontId="14" fillId="9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6" fontId="10" fillId="7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166" fontId="10" fillId="8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170" fontId="10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7A4A"/>
      <rgbColor rgb="FFCCCCCC"/>
      <rgbColor rgb="FF878787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227"/>
      <rgbColor rgb="FFFF6600"/>
      <rgbColor rgb="FF555555"/>
      <rgbColor rgb="FF888888"/>
      <rgbColor rgb="FF1F3864"/>
      <rgbColor rgb="FF2E86AB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Portfolio Value vs Capital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'Equity Curve'!C4</f>
              <strCache>
                <ptCount val="1"/>
                <pt idx="0">
                  <v>Portfolio Value (฿)</v>
                </pt>
              </strCache>
            </strRef>
          </tx>
          <spPr>
            <a:solidFill xmlns:a="http://schemas.openxmlformats.org/drawingml/2006/main">
              <a:srgbClr val="2E86AB"/>
            </a:solidFill>
            <a:ln xmlns:a="http://schemas.openxmlformats.org/drawingml/2006/main" w="20160">
              <a:solidFill>
                <a:srgbClr val="2E86A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'Equity Curve'!$B$5:$B$7</f>
              <strCache>
                <ptCount val="3"/>
                <pt idx="0">
                  <v>2026-04-27</v>
                </pt>
                <pt idx="1">
                  <v>2026-04-28</v>
                </pt>
                <pt idx="2">
                  <v>2026-04-29</v>
                </pt>
              </strCache>
            </strRef>
          </cat>
          <val>
            <numRef>
              <f>'Equity Curve'!$C$5:$C$7</f>
              <numCache>
                <formatCode>#,##0</formatCode>
                <ptCount val="3"/>
                <pt idx="0">
                  <v>299297.82</v>
                </pt>
                <pt idx="1">
                  <v>299297.82</v>
                </pt>
                <pt idx="2">
                  <v>304153.82</v>
                </pt>
              </numCache>
            </numRef>
          </val>
          <smooth val="1"/>
        </ser>
        <ser>
          <idx val="1"/>
          <order val="1"/>
          <tx>
            <strRef>
              <f>'Equity Curve'!D4</f>
              <strCache>
                <ptCount val="1"/>
                <pt idx="0">
                  <v>Capital (฿)</v>
                </pt>
              </strCache>
            </strRef>
          </tx>
          <spPr>
            <a:solidFill xmlns:a="http://schemas.openxmlformats.org/drawingml/2006/main">
              <a:srgbClr val="D9D9D9"/>
            </a:solidFill>
            <a:ln xmlns:a="http://schemas.openxmlformats.org/drawingml/2006/main" w="12600">
              <a:solidFill>
                <a:srgbClr val="D9D9D9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'Equity Curve'!$B$5:$B$7</f>
              <strCache>
                <ptCount val="3"/>
                <pt idx="0">
                  <v>2026-04-27</v>
                </pt>
                <pt idx="1">
                  <v>2026-04-28</v>
                </pt>
                <pt idx="2">
                  <v>2026-04-29</v>
                </pt>
              </strCache>
            </strRef>
          </cat>
          <val>
            <numRef>
              <f>'Equity Curve'!$D$5:$D$7</f>
              <numCache>
                <formatCode>#,##0</formatCode>
                <ptCount val="3"/>
                <pt idx="0">
                  <v>300000</v>
                </pt>
                <pt idx="1">
                  <v>300000</v>
                </pt>
                <pt idx="2">
                  <v>300000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28496730"/>
        <axId val="42345707"/>
      </lineChart>
      <catAx>
        <axId val="28496730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Date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42345707"/>
        <crosses val="autoZero"/>
        <auto val="1"/>
        <lblAlgn val="ctr"/>
        <lblOffset val="100"/>
        <noMultiLvlLbl val="0"/>
      </catAx>
      <valAx>
        <axId val="42345707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Value (฿)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28496730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7</row>
      <rowOff>0</rowOff>
    </from>
    <to>
      <col>15</col>
      <colOff>78840</colOff>
      <row>33</row>
      <rowOff>86400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J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" customWidth="1" style="57" min="1" max="1"/>
    <col width="16" customWidth="1" style="57" min="2" max="10"/>
  </cols>
  <sheetData>
    <row r="1" ht="7.5" customHeight="1" s="58"/>
    <row r="2" ht="36" customHeight="1" s="58">
      <c r="B2" s="59" t="inlineStr">
        <is>
          <t>🇹🇭  SET Portfolio Tracker  —  New Model  (from 27 Apr 2026)</t>
        </is>
      </c>
    </row>
    <row r="3" ht="7.5" customHeight="1" s="58"/>
    <row r="4" ht="13.5" customHeight="1" s="58"/>
    <row r="5" ht="39.75" customHeight="1" s="58">
      <c r="B5" s="60" t="inlineStr">
        <is>
          <t>Capital</t>
        </is>
      </c>
      <c r="C5" s="61" t="inlineStr">
        <is>
          <t>Portfolio Value</t>
        </is>
      </c>
      <c r="D5" s="61" t="inlineStr">
        <is>
          <t>Total P&amp;L</t>
        </is>
      </c>
      <c r="E5" s="61" t="inlineStr">
        <is>
          <t>P&amp;L %</t>
        </is>
      </c>
      <c r="F5" s="62" t="inlineStr">
        <is>
          <t>Max Drawdown</t>
        </is>
      </c>
      <c r="G5" s="60" t="inlineStr">
        <is>
          <t>Trading Days</t>
        </is>
      </c>
      <c r="H5" s="63" t="inlineStr">
        <is>
          <t>Open Positions</t>
        </is>
      </c>
      <c r="I5" s="60" t="inlineStr">
        <is>
          <t>Cash</t>
        </is>
      </c>
    </row>
    <row r="6" ht="30" customHeight="1" s="58">
      <c r="B6" s="64" t="inlineStr">
        <is>
          <t>฿300,000</t>
        </is>
      </c>
      <c r="C6" s="65">
        <f>Daily!E4</f>
        <v/>
      </c>
      <c r="D6" s="66">
        <f>Daily!F4</f>
        <v/>
      </c>
      <c r="E6" s="67">
        <f>Daily!G4</f>
        <v/>
      </c>
      <c r="F6" s="68">
        <f>MIN(Daily!H:H)</f>
        <v/>
      </c>
      <c r="G6" s="69">
        <f>COUNTA(Daily!B:B)-1</f>
        <v/>
      </c>
      <c r="H6" s="70">
        <f>Holdings!B2</f>
        <v/>
      </c>
      <c r="I6" s="64">
        <f>Daily!D4</f>
        <v/>
      </c>
    </row>
    <row r="7" ht="9.75" customHeight="1" s="58"/>
    <row r="9" ht="15" customHeight="1" s="58">
      <c r="B9" s="71" t="inlineStr">
        <is>
          <t>Model start: 27 Apr 2026  |  Capital: ฿300,000  |  Max positions: 15  |  Position cap: ฿50,000  |  ATR trailing stop</t>
        </is>
      </c>
    </row>
  </sheetData>
  <mergeCells count="2">
    <mergeCell ref="B9:J9"/>
    <mergeCell ref="B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J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" customWidth="1" style="57" min="1" max="1"/>
    <col width="12" customWidth="1" style="57" min="2" max="2"/>
    <col width="10" customWidth="1" style="57" min="3" max="3"/>
    <col width="14" customWidth="1" style="57" min="4" max="6"/>
    <col width="10" customWidth="1" style="57" min="7" max="10"/>
  </cols>
  <sheetData>
    <row r="1" ht="7.5" customHeight="1" s="58"/>
    <row r="2" ht="31.5" customHeight="1" s="58">
      <c r="B2" s="72" t="inlineStr">
        <is>
          <t>Daily Performance — New Model (from 27 Apr 2026)</t>
        </is>
      </c>
    </row>
    <row r="3" ht="7.5" customHeight="1" s="58"/>
    <row r="4" ht="30" customHeight="1" s="58">
      <c r="B4" s="73" t="inlineStr">
        <is>
          <t>Date</t>
        </is>
      </c>
      <c r="C4" s="73" t="inlineStr">
        <is>
          <t>Day</t>
        </is>
      </c>
      <c r="D4" s="73" t="inlineStr">
        <is>
          <t>Cash (฿)</t>
        </is>
      </c>
      <c r="E4" s="73" t="inlineStr">
        <is>
          <t>Port Value (฿)</t>
        </is>
      </c>
      <c r="F4" s="73" t="inlineStr">
        <is>
          <t>P&amp;L (฿)</t>
        </is>
      </c>
      <c r="G4" s="73" t="inlineStr">
        <is>
          <t>P&amp;L %</t>
        </is>
      </c>
      <c r="H4" s="73" t="inlineStr">
        <is>
          <t>Drawdown %</t>
        </is>
      </c>
      <c r="I4" s="73" t="inlineStr">
        <is>
          <t># Holdings</t>
        </is>
      </c>
      <c r="J4" s="73" t="inlineStr">
        <is>
          <t>Trades</t>
        </is>
      </c>
    </row>
    <row r="5" ht="15" customHeight="1" s="58">
      <c r="B5" s="74" t="inlineStr">
        <is>
          <t>2026-04-27</t>
        </is>
      </c>
      <c r="C5" s="75" t="n">
        <v>1</v>
      </c>
      <c r="D5" s="76" t="n">
        <v>18423.82</v>
      </c>
      <c r="E5" s="77" t="n">
        <v>300230</v>
      </c>
      <c r="F5" s="78" t="n">
        <v>230</v>
      </c>
      <c r="G5" s="79" t="n">
        <v>0.000767</v>
      </c>
      <c r="H5" s="80" t="n">
        <v>0</v>
      </c>
      <c r="I5" s="75" t="n">
        <v>6</v>
      </c>
      <c r="J5" s="75" t="n">
        <v>6</v>
      </c>
    </row>
    <row r="6" ht="15" customHeight="1" s="58">
      <c r="B6" s="81" t="inlineStr">
        <is>
          <t>2026-04-28</t>
        </is>
      </c>
      <c r="C6" s="82" t="n">
        <v>2</v>
      </c>
      <c r="D6" s="83" t="n">
        <v>18423.82</v>
      </c>
      <c r="E6" s="84" t="n">
        <v>298808</v>
      </c>
      <c r="F6" s="85" t="n">
        <v>-1192</v>
      </c>
      <c r="G6" s="86" t="n">
        <v>-0.003973</v>
      </c>
      <c r="H6" s="87" t="n">
        <v>-0.004737</v>
      </c>
      <c r="I6" s="82" t="n">
        <v>6</v>
      </c>
      <c r="J6" s="82" t="n">
        <v>0</v>
      </c>
    </row>
    <row r="7" ht="15" customHeight="1" s="58">
      <c r="B7" s="74" t="inlineStr">
        <is>
          <t>2026-04-29</t>
        </is>
      </c>
      <c r="C7" s="75" t="n">
        <v>3</v>
      </c>
      <c r="D7" s="76" t="n">
        <v>18423.82</v>
      </c>
      <c r="E7" s="77" t="n">
        <v>304154</v>
      </c>
      <c r="F7" s="78" t="n">
        <v>4154</v>
      </c>
      <c r="G7" s="79" t="n">
        <v>0.013847</v>
      </c>
      <c r="H7" s="80" t="n">
        <v>0</v>
      </c>
      <c r="I7" s="75" t="n">
        <v>6</v>
      </c>
      <c r="J7" s="75" t="n">
        <v>0</v>
      </c>
    </row>
    <row r="9" ht="15" customHeight="1" s="58">
      <c r="B9" s="88" t="inlineStr">
        <is>
          <t>← Rows above are auto-updated by set_eod_report.py each trading day</t>
        </is>
      </c>
    </row>
  </sheetData>
  <mergeCells count="2">
    <mergeCell ref="B9:J9"/>
    <mergeCell ref="B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1:K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" customWidth="1" style="57" min="1" max="1"/>
    <col width="12" customWidth="1" style="57" min="2" max="2"/>
    <col width="14" customWidth="1" style="57" min="3" max="3"/>
    <col width="10" customWidth="1" style="57" min="4" max="4"/>
    <col width="12" customWidth="1" style="57" min="5" max="11"/>
  </cols>
  <sheetData>
    <row r="1" ht="7.5" customHeight="1" s="58">
      <c r="B1" s="89" t="n">
        <v>6</v>
      </c>
    </row>
    <row r="2" ht="31.5" customHeight="1" s="58">
      <c r="B2" s="72" t="inlineStr">
        <is>
          <t>Current Holdings (as of last EOD)</t>
        </is>
      </c>
    </row>
    <row r="3" ht="7.5" customHeight="1" s="58"/>
    <row r="4" ht="30" customHeight="1" s="58">
      <c r="B4" s="73" t="inlineStr">
        <is>
          <t>Ticker</t>
        </is>
      </c>
      <c r="C4" s="73" t="inlineStr">
        <is>
          <t>Name</t>
        </is>
      </c>
      <c r="D4" s="73" t="inlineStr">
        <is>
          <t>Shares</t>
        </is>
      </c>
      <c r="E4" s="73" t="inlineStr">
        <is>
          <t>Entry Price</t>
        </is>
      </c>
      <c r="F4" s="73" t="inlineStr">
        <is>
          <t>Last Price</t>
        </is>
      </c>
      <c r="G4" s="73" t="inlineStr">
        <is>
          <t>Position Value</t>
        </is>
      </c>
      <c r="H4" s="73" t="inlineStr">
        <is>
          <t>Unrealised P&amp;L</t>
        </is>
      </c>
      <c r="I4" s="73" t="inlineStr">
        <is>
          <t>P&amp;L %</t>
        </is>
      </c>
      <c r="J4" s="73" t="inlineStr">
        <is>
          <t>ATR Stop</t>
        </is>
      </c>
      <c r="K4" s="73" t="inlineStr">
        <is>
          <t>Days Held</t>
        </is>
      </c>
    </row>
    <row r="5" ht="15" customHeight="1" s="58">
      <c r="B5" s="90" t="inlineStr">
        <is>
          <t>AMATA.BK</t>
        </is>
      </c>
      <c r="C5" s="91" t="inlineStr">
        <is>
          <t>AMATA</t>
        </is>
      </c>
      <c r="D5" s="92" t="n">
        <v>2300</v>
      </c>
      <c r="E5" s="76" t="n">
        <v>20.3</v>
      </c>
      <c r="F5" s="76" t="n">
        <v>21</v>
      </c>
      <c r="G5" s="93" t="n">
        <v>48300</v>
      </c>
      <c r="H5" s="94" t="n">
        <v>1610</v>
      </c>
      <c r="I5" s="95" t="n">
        <v>0.0344827586206896</v>
      </c>
      <c r="J5" s="96" t="n">
        <v>18.68</v>
      </c>
      <c r="K5" s="75" t="n">
        <v>3</v>
      </c>
    </row>
    <row r="6" ht="15" customHeight="1" s="58">
      <c r="B6" s="97" t="inlineStr">
        <is>
          <t>CK.BK</t>
        </is>
      </c>
      <c r="C6" s="98" t="inlineStr">
        <is>
          <t>CK</t>
        </is>
      </c>
      <c r="D6" s="99" t="n">
        <v>2800</v>
      </c>
      <c r="E6" s="83" t="n">
        <v>16.5</v>
      </c>
      <c r="F6" s="83" t="n">
        <v>16.9</v>
      </c>
      <c r="G6" s="100" t="n">
        <v>47320</v>
      </c>
      <c r="H6" s="101" t="n">
        <v>1120</v>
      </c>
      <c r="I6" s="102" t="n">
        <v>0.0242424242424242</v>
      </c>
      <c r="J6" s="103" t="n">
        <v>15.18</v>
      </c>
      <c r="K6" s="82" t="n">
        <v>3</v>
      </c>
    </row>
    <row r="7" ht="15" customHeight="1" s="58">
      <c r="B7" s="90" t="inlineStr">
        <is>
          <t>TIDLOR.BK</t>
        </is>
      </c>
      <c r="C7" s="91" t="inlineStr">
        <is>
          <t>TIDLOR</t>
        </is>
      </c>
      <c r="D7" s="92" t="n">
        <v>2700</v>
      </c>
      <c r="E7" s="76" t="n">
        <v>17.4</v>
      </c>
      <c r="F7" s="76" t="n">
        <v>17.3</v>
      </c>
      <c r="G7" s="93" t="n">
        <v>46710</v>
      </c>
      <c r="H7" s="104" t="n">
        <v>-269.999999999994</v>
      </c>
      <c r="I7" s="105" t="n">
        <v>-0.00574712643678149</v>
      </c>
      <c r="J7" s="96" t="n">
        <v>16.01</v>
      </c>
      <c r="K7" s="75" t="n">
        <v>3</v>
      </c>
    </row>
    <row r="8" ht="15" customHeight="1" s="58">
      <c r="B8" s="97" t="inlineStr">
        <is>
          <t>WHA.BK</t>
        </is>
      </c>
      <c r="C8" s="98" t="inlineStr">
        <is>
          <t>WHA</t>
        </is>
      </c>
      <c r="D8" s="99" t="n">
        <v>10800</v>
      </c>
      <c r="E8" s="83" t="n">
        <v>4.38</v>
      </c>
      <c r="F8" s="83" t="n">
        <v>4.5</v>
      </c>
      <c r="G8" s="100" t="n">
        <v>48600</v>
      </c>
      <c r="H8" s="101" t="n">
        <v>1296</v>
      </c>
      <c r="I8" s="102" t="n">
        <v>0.0273972602739726</v>
      </c>
      <c r="J8" s="103" t="n">
        <v>4.03</v>
      </c>
      <c r="K8" s="82" t="n">
        <v>3</v>
      </c>
    </row>
    <row r="9" ht="15" customHeight="1" s="58">
      <c r="B9" s="90" t="inlineStr">
        <is>
          <t>KTC.BK</t>
        </is>
      </c>
      <c r="C9" s="91" t="inlineStr">
        <is>
          <t>KTC</t>
        </is>
      </c>
      <c r="D9" s="92" t="n">
        <v>1600</v>
      </c>
      <c r="E9" s="76" t="n">
        <v>29.25</v>
      </c>
      <c r="F9" s="76" t="n">
        <v>29.5</v>
      </c>
      <c r="G9" s="93" t="n">
        <v>47200</v>
      </c>
      <c r="H9" s="94" t="n">
        <v>400</v>
      </c>
      <c r="I9" s="95" t="n">
        <v>0.00854700854700855</v>
      </c>
      <c r="J9" s="96" t="n">
        <v>26.91</v>
      </c>
      <c r="K9" s="75" t="n">
        <v>3</v>
      </c>
    </row>
    <row r="10" ht="15" customHeight="1" s="58">
      <c r="B10" s="97" t="inlineStr">
        <is>
          <t>JASIF.BK</t>
        </is>
      </c>
      <c r="C10" s="98" t="inlineStr">
        <is>
          <t>JASIF</t>
        </is>
      </c>
      <c r="D10" s="99" t="n">
        <v>7000</v>
      </c>
      <c r="E10" s="83" t="n">
        <v>6.7</v>
      </c>
      <c r="F10" s="83" t="n">
        <v>6.8</v>
      </c>
      <c r="G10" s="100" t="n">
        <v>47600</v>
      </c>
      <c r="H10" s="101" t="n">
        <v>699.999999999998</v>
      </c>
      <c r="I10" s="102" t="n">
        <v>0.0149253731343283</v>
      </c>
      <c r="J10" s="103" t="n">
        <v>6.16</v>
      </c>
      <c r="K10" s="82" t="n">
        <v>3</v>
      </c>
    </row>
    <row r="11" ht="24" customHeight="1" s="58">
      <c r="B11" s="106" t="inlineStr">
        <is>
          <t>TOTAL</t>
        </is>
      </c>
      <c r="C11" s="106" t="n"/>
      <c r="D11" s="106">
        <f>SUM(D5:D10)</f>
        <v/>
      </c>
      <c r="E11" s="106" t="n"/>
      <c r="F11" s="106" t="n"/>
      <c r="G11" s="107">
        <f>SUM(G5:G10)</f>
        <v/>
      </c>
      <c r="H11" s="108">
        <f>SUM(H5:H10)</f>
        <v/>
      </c>
      <c r="I11" s="109" t="n"/>
      <c r="J11" s="109" t="n"/>
      <c r="K11" s="109" t="n"/>
    </row>
  </sheetData>
  <mergeCells count="1">
    <mergeCell ref="B2:K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2:J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" customWidth="1" style="57" min="1" max="1"/>
    <col width="12" customWidth="1" style="57" min="2" max="2"/>
    <col width="8" customWidth="1" style="57" min="3" max="3"/>
    <col width="12" customWidth="1" style="57" min="4" max="5"/>
    <col width="10" customWidth="1" style="57" min="6" max="6"/>
    <col width="12" customWidth="1" style="57" min="7" max="8"/>
    <col width="16" customWidth="1" style="57" min="9" max="9"/>
    <col width="10" customWidth="1" style="57" min="10" max="10"/>
  </cols>
  <sheetData>
    <row r="2" ht="31.5" customHeight="1" s="58">
      <c r="B2" s="72" t="inlineStr">
        <is>
          <t>Trade Log — New Model (from 27 Apr 2026)</t>
        </is>
      </c>
    </row>
    <row r="4" ht="30" customHeight="1" s="58">
      <c r="B4" s="73" t="inlineStr">
        <is>
          <t>Date</t>
        </is>
      </c>
      <c r="C4" s="73" t="inlineStr">
        <is>
          <t>Time</t>
        </is>
      </c>
      <c r="D4" s="73" t="inlineStr">
        <is>
          <t>Ticker</t>
        </is>
      </c>
      <c r="E4" s="73" t="inlineStr">
        <is>
          <t>Name</t>
        </is>
      </c>
      <c r="F4" s="73" t="inlineStr">
        <is>
          <t>Action</t>
        </is>
      </c>
      <c r="G4" s="73" t="inlineStr">
        <is>
          <t>Shares</t>
        </is>
      </c>
      <c r="H4" s="73" t="inlineStr">
        <is>
          <t>Price (฿)</t>
        </is>
      </c>
      <c r="I4" s="73" t="inlineStr">
        <is>
          <t>Value (฿)</t>
        </is>
      </c>
      <c r="J4" s="73" t="inlineStr">
        <is>
          <t>Reason</t>
        </is>
      </c>
    </row>
    <row r="5" ht="15" customHeight="1" s="58">
      <c r="B5" s="110" t="inlineStr">
        <is>
          <t>2026-04-27</t>
        </is>
      </c>
      <c r="C5" s="75" t="inlineStr">
        <is>
          <t>10:05</t>
        </is>
      </c>
      <c r="D5" s="90" t="inlineStr">
        <is>
          <t>AMATA.BK</t>
        </is>
      </c>
      <c r="E5" s="91" t="inlineStr">
        <is>
          <t>AMATA</t>
        </is>
      </c>
      <c r="F5" s="111" t="inlineStr">
        <is>
          <t>BUY</t>
        </is>
      </c>
      <c r="G5" s="92" t="n">
        <v>2300</v>
      </c>
      <c r="H5" s="76" t="n">
        <v>20.3</v>
      </c>
      <c r="I5" s="93" t="n">
        <v>46690</v>
      </c>
      <c r="J5" s="91" t="inlineStr">
        <is>
          <t>BUY (Day 1)</t>
        </is>
      </c>
    </row>
    <row r="6" ht="15" customHeight="1" s="58">
      <c r="B6" s="112" t="inlineStr">
        <is>
          <t>2026-04-27</t>
        </is>
      </c>
      <c r="C6" s="82" t="inlineStr">
        <is>
          <t>10:05</t>
        </is>
      </c>
      <c r="D6" s="97" t="inlineStr">
        <is>
          <t>CK.BK</t>
        </is>
      </c>
      <c r="E6" s="98" t="inlineStr">
        <is>
          <t>CK</t>
        </is>
      </c>
      <c r="F6" s="113" t="inlineStr">
        <is>
          <t>BUY</t>
        </is>
      </c>
      <c r="G6" s="99" t="n">
        <v>2800</v>
      </c>
      <c r="H6" s="83" t="n">
        <v>16.5</v>
      </c>
      <c r="I6" s="100" t="n">
        <v>46200</v>
      </c>
      <c r="J6" s="98" t="inlineStr">
        <is>
          <t>BUY (Day 1)</t>
        </is>
      </c>
    </row>
    <row r="7" ht="15" customHeight="1" s="58">
      <c r="B7" s="110" t="inlineStr">
        <is>
          <t>2026-04-27</t>
        </is>
      </c>
      <c r="C7" s="75" t="inlineStr">
        <is>
          <t>10:05</t>
        </is>
      </c>
      <c r="D7" s="90" t="inlineStr">
        <is>
          <t>TIDLOR.BK</t>
        </is>
      </c>
      <c r="E7" s="91" t="inlineStr">
        <is>
          <t>TIDLOR</t>
        </is>
      </c>
      <c r="F7" s="111" t="inlineStr">
        <is>
          <t>BUY</t>
        </is>
      </c>
      <c r="G7" s="92" t="n">
        <v>2700</v>
      </c>
      <c r="H7" s="76" t="n">
        <v>17.4</v>
      </c>
      <c r="I7" s="93" t="n">
        <v>46980</v>
      </c>
      <c r="J7" s="91" t="inlineStr">
        <is>
          <t>BUY (Day 1)</t>
        </is>
      </c>
    </row>
    <row r="8" ht="15" customHeight="1" s="58">
      <c r="B8" s="112" t="inlineStr">
        <is>
          <t>2026-04-27</t>
        </is>
      </c>
      <c r="C8" s="82" t="inlineStr">
        <is>
          <t>10:05</t>
        </is>
      </c>
      <c r="D8" s="97" t="inlineStr">
        <is>
          <t>WHA.BK</t>
        </is>
      </c>
      <c r="E8" s="98" t="inlineStr">
        <is>
          <t>WHA</t>
        </is>
      </c>
      <c r="F8" s="113" t="inlineStr">
        <is>
          <t>BUY</t>
        </is>
      </c>
      <c r="G8" s="99" t="n">
        <v>10800</v>
      </c>
      <c r="H8" s="83" t="n">
        <v>4.38</v>
      </c>
      <c r="I8" s="100" t="n">
        <v>47304</v>
      </c>
      <c r="J8" s="98" t="inlineStr">
        <is>
          <t>BUY (Day 1)</t>
        </is>
      </c>
    </row>
    <row r="9" ht="15" customHeight="1" s="58">
      <c r="B9" s="110" t="inlineStr">
        <is>
          <t>2026-04-27</t>
        </is>
      </c>
      <c r="C9" s="75" t="inlineStr">
        <is>
          <t>10:05</t>
        </is>
      </c>
      <c r="D9" s="90" t="inlineStr">
        <is>
          <t>KTC.BK</t>
        </is>
      </c>
      <c r="E9" s="91" t="inlineStr">
        <is>
          <t>KTC</t>
        </is>
      </c>
      <c r="F9" s="111" t="inlineStr">
        <is>
          <t>BUY</t>
        </is>
      </c>
      <c r="G9" s="92" t="n">
        <v>1600</v>
      </c>
      <c r="H9" s="76" t="n">
        <v>29.25</v>
      </c>
      <c r="I9" s="93" t="n">
        <v>46800</v>
      </c>
      <c r="J9" s="91" t="inlineStr">
        <is>
          <t>BUY (Day 1)</t>
        </is>
      </c>
    </row>
    <row r="10" ht="15" customHeight="1" s="58">
      <c r="B10" s="112" t="inlineStr">
        <is>
          <t>2026-04-27</t>
        </is>
      </c>
      <c r="C10" s="82" t="inlineStr">
        <is>
          <t>10:05</t>
        </is>
      </c>
      <c r="D10" s="97" t="inlineStr">
        <is>
          <t>JASIF.BK</t>
        </is>
      </c>
      <c r="E10" s="98" t="inlineStr">
        <is>
          <t>JASIF</t>
        </is>
      </c>
      <c r="F10" s="113" t="inlineStr">
        <is>
          <t>BUY</t>
        </is>
      </c>
      <c r="G10" s="99" t="n">
        <v>7000</v>
      </c>
      <c r="H10" s="83" t="n">
        <v>6.7</v>
      </c>
      <c r="I10" s="100" t="n">
        <v>46900</v>
      </c>
      <c r="J10" s="98" t="inlineStr">
        <is>
          <t>BUY (Day 1)</t>
        </is>
      </c>
    </row>
  </sheetData>
  <mergeCells count="1">
    <mergeCell ref="B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B2:N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2" ht="31.5" customHeight="1" s="58">
      <c r="B2" s="72" t="inlineStr">
        <is>
          <t>Portfolio Value — Equity Curve</t>
        </is>
      </c>
    </row>
    <row r="4" ht="15" customHeight="1" s="58">
      <c r="B4" s="114" t="inlineStr">
        <is>
          <t>Date</t>
        </is>
      </c>
      <c r="C4" s="114" t="inlineStr">
        <is>
          <t>Portfolio Value (฿)</t>
        </is>
      </c>
      <c r="D4" s="114" t="inlineStr">
        <is>
          <t>Capital (฿)</t>
        </is>
      </c>
    </row>
    <row r="5" ht="15" customHeight="1" s="58">
      <c r="B5" s="115" t="inlineStr">
        <is>
          <t>2026-04-27</t>
        </is>
      </c>
      <c r="C5" s="116" t="n">
        <v>300230</v>
      </c>
      <c r="D5" s="116" t="n">
        <v>300000</v>
      </c>
    </row>
    <row r="6" ht="15" customHeight="1" s="58">
      <c r="B6" s="115" t="inlineStr">
        <is>
          <t>2026-04-28</t>
        </is>
      </c>
      <c r="C6" s="116" t="n">
        <v>298808</v>
      </c>
      <c r="D6" s="116" t="n">
        <v>300000</v>
      </c>
    </row>
    <row r="7" ht="15" customHeight="1" s="58">
      <c r="B7" s="115" t="inlineStr">
        <is>
          <t>2026-04-29</t>
        </is>
      </c>
      <c r="C7" s="116" t="n">
        <v>304154</v>
      </c>
      <c r="D7" s="116" t="n">
        <v>300000</v>
      </c>
    </row>
  </sheetData>
  <mergeCells count="1">
    <mergeCell ref="B2:N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2026-04-29T16:58:52Z</dcterms:created>
  <dcterms:modified xmlns:dcterms="http://purl.org/dc/terms/" xmlns:xsi="http://www.w3.org/2001/XMLSchema-instance" xsi:type="dcterms:W3CDTF">2026-04-29T17:03:41Z</dcterms:modified>
  <cp:revision>1</cp:revision>
</cp:coreProperties>
</file>