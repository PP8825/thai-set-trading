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" sheetId="2" state="visible" r:id="rId4"/>
    <sheet name="Holdings" sheetId="3" state="visible" r:id="rId5"/>
    <sheet name="Trade Log" sheetId="4" state="visible" r:id="rId6"/>
    <sheet name="Equity Curv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<sst xmlns="http://schemas.openxmlformats.org/spreadsheetml/2006/main" count="102" uniqueCount="59">
  <si>
    <t xml:space="preserve">🇹🇭  SET Portfolio Tracker  —  New Model  (from 27 Apr 2026)</t>
  </si>
  <si>
    <t xml:space="preserve">Capital</t>
  </si>
  <si>
    <t xml:space="preserve">Portfolio Value</t>
  </si>
  <si>
    <t xml:space="preserve">Total P&amp;L</t>
  </si>
  <si>
    <t xml:space="preserve">P&amp;L %</t>
  </si>
  <si>
    <t xml:space="preserve">Max Drawdown</t>
  </si>
  <si>
    <t xml:space="preserve">Trading Days</t>
  </si>
  <si>
    <t xml:space="preserve">Open Positions</t>
  </si>
  <si>
    <t xml:space="preserve">Cash</t>
  </si>
  <si>
    <t xml:space="preserve">฿300,000</t>
  </si>
  <si>
    <t xml:space="preserve">Model start: 27 Apr 2026  |  Capital: ฿300,000  |  Max positions: 15  |  Position cap: ฿50,000  |  ATR trailing stop</t>
  </si>
  <si>
    <t xml:space="preserve">Daily Performance — New Model (from 27 Apr 2026)</t>
  </si>
  <si>
    <t xml:space="preserve">Date</t>
  </si>
  <si>
    <t xml:space="preserve">Day</t>
  </si>
  <si>
    <t xml:space="preserve">Cash (฿)</t>
  </si>
  <si>
    <t xml:space="preserve">Port Value (฿)</t>
  </si>
  <si>
    <t xml:space="preserve">P&amp;L (฿)</t>
  </si>
  <si>
    <t xml:space="preserve">Drawdown %</t>
  </si>
  <si>
    <t xml:space="preserve"># Holdings</t>
  </si>
  <si>
    <t xml:space="preserve">Trades</t>
  </si>
  <si>
    <t xml:space="preserve">2026-04-27</t>
  </si>
  <si>
    <t xml:space="preserve">2026-04-28</t>
  </si>
  <si>
    <t xml:space="preserve">2026-04-29</t>
  </si>
  <si>
    <t xml:space="preserve">← Rows above are auto-updated by set_eod_report.py each trading day</t>
  </si>
  <si>
    <t xml:space="preserve">Current Holdings (as of last EOD)</t>
  </si>
  <si>
    <t xml:space="preserve">Ticker</t>
  </si>
  <si>
    <t xml:space="preserve">Name</t>
  </si>
  <si>
    <t xml:space="preserve">Shares</t>
  </si>
  <si>
    <t xml:space="preserve">Entry Price</t>
  </si>
  <si>
    <t xml:space="preserve">Last Price</t>
  </si>
  <si>
    <t xml:space="preserve">Position Value</t>
  </si>
  <si>
    <t xml:space="preserve">Unrealised P&amp;L</t>
  </si>
  <si>
    <t xml:space="preserve">ATR Stop</t>
  </si>
  <si>
    <t xml:space="preserve">Days Held</t>
  </si>
  <si>
    <t xml:space="preserve">AMATA.BK</t>
  </si>
  <si>
    <t xml:space="preserve">AMATA</t>
  </si>
  <si>
    <t xml:space="preserve">CK.BK</t>
  </si>
  <si>
    <t xml:space="preserve">CK</t>
  </si>
  <si>
    <t xml:space="preserve">TIDLOR.BK</t>
  </si>
  <si>
    <t xml:space="preserve">TIDLOR</t>
  </si>
  <si>
    <t xml:space="preserve">WHA.BK</t>
  </si>
  <si>
    <t xml:space="preserve">WHA</t>
  </si>
  <si>
    <t xml:space="preserve">KTC.BK</t>
  </si>
  <si>
    <t xml:space="preserve">KTC</t>
  </si>
  <si>
    <t xml:space="preserve">JASIF.BK</t>
  </si>
  <si>
    <t xml:space="preserve">JASIF</t>
  </si>
  <si>
    <t xml:space="preserve">TOTAL</t>
  </si>
  <si>
    <t xml:space="preserve">Trade Log — New Model (from 27 Apr 2026)</t>
  </si>
  <si>
    <t xml:space="preserve">Time</t>
  </si>
  <si>
    <t xml:space="preserve">Action</t>
  </si>
  <si>
    <t xml:space="preserve">Price (฿)</t>
  </si>
  <si>
    <t xml:space="preserve">Value (฿)</t>
  </si>
  <si>
    <t xml:space="preserve">Reason</t>
  </si>
  <si>
    <t xml:space="preserve">10:05</t>
  </si>
  <si>
    <t xml:space="preserve">BUY</t>
  </si>
  <si>
    <t xml:space="preserve">BUY (Day 1)</t>
  </si>
  <si>
    <t xml:space="preserve">Portfolio Value — Equity Curve</t>
  </si>
  <si>
    <t xml:space="preserve">Portfolio Value (฿)</t>
  </si>
  <si>
    <t xml:space="preserve">Capital (฿)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</si>
</sst>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฿#,##0"/>
    <numFmt numFmtId="166" formatCode="\฿#,##0;&quot;(฿&quot;#,##0\);\-"/>
    <numFmt numFmtId="167" formatCode="0.00%"/>
    <numFmt numFmtId="168" formatCode="yyyy\-mm\-dd"/>
    <numFmt numFmtId="169" formatCode="#,##0.00"/>
    <numFmt numFmtId="170" formatCode="#,##0.00;\(#,##0.00\);\-"/>
    <numFmt numFmtId="171" formatCode="0.00%;\(0.00%\);\-"/>
    <numFmt numFmtId="172" formatCode="#,##0"/>
    <numFmt numFmtId="173" formatCode="#,##0;\(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sz val="11"/>
      <color rgb="FFC0392B"/>
      <name val="Arial"/>
      <family val="0"/>
      <charset val="1"/>
    </font>
    <font>
      <b val="true"/>
      <sz val="11"/>
      <color rgb="FF1A7A4A"/>
      <name val="Arial"/>
      <family val="0"/>
      <charset val="1"/>
    </font>
    <font>
      <sz val="11"/>
      <color rgb="FF1A7A4A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DejaVu Sans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86A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A7A4A"/>
        <bgColor rgb="FF008080"/>
      </patternFill>
    </fill>
    <fill>
      <patternFill patternType="solid">
        <fgColor rgb="FFC9A227"/>
        <bgColor rgb="FF99CC0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555555"/>
      <rgbColor rgb="FF888888"/>
      <rgbColor rgb="FF1F3864"/>
      <rgbColor rgb="FF2E86AB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vs Capital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'Equity Curve'!C4</c:f>
              <c:strCache>
                <c:ptCount val="1"/>
                <c:pt idx="0">
                  <c:v>Portfolio Value (฿)</c:v>
                </c:pt>
              </c:strCache>
            </c:strRef>
          </c:tx>
          <c:spPr>
            <a:solidFill>
              <a:srgbClr val="2E86AB"/>
            </a:solidFill>
            <a:ln w="20160">
              <a:solidFill>
                <a:srgbClr val="2E86A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0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'Equity Curve'!$B$5:$B$7</c:f>
              <c:strCache>
                <c:ptCount val="3"/>
                <c:pt idx="0">
                  <c:v>2026-04-27</c:v>
                </c:pt>
                <c:pt idx="1">
                  <c:v>2026-04-28</c:v>
                </c:pt>
                <c:pt idx="2">
                  <c:v>2026-04-29</c:v>
                </c:pt>
              </c:strCache>
            </c:strRef>
          </c:cat>
          <c:val>
            <c:numRef>
              <c:f>'Equity Curve'!$C$5:$C$7</c:f>
              <c:numCache>
                <c:formatCode>#,##0</c:formatCode>
                <c:ptCount val="3"/>
                <c:pt idx="0">
                  <c:v>299297.82</c:v>
                </c:pt>
                <c:pt idx="1">
                  <c:v>299297.82</c:v>
                </c:pt>
                <c:pt idx="2">
                  <c:v>304153.82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'Equity Curve'!D4</c:f>
              <c:strCache>
                <c:ptCount val="1"/>
                <c:pt idx="0">
                  <c:v>Capital (฿)</c:v>
                </c:pt>
              </c:strCache>
            </c:strRef>
          </c:tx>
          <c:spPr>
            <a:solidFill>
              <a:srgbClr val="D9D9D9"/>
            </a:solidFill>
            <a:ln w="12600">
              <a:solidFill>
                <a:srgbClr val="D9D9D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'Equity Curve'!$B$5:$B$7</c:f>
              <c:strCache>
                <c:ptCount val="3"/>
                <c:pt idx="0">
                  <c:v>2026-04-27</c:v>
                </c:pt>
                <c:pt idx="1">
                  <c:v>2026-04-28</c:v>
                </c:pt>
                <c:pt idx="2">
                  <c:v>2026-04-29</c:v>
                </c:pt>
              </c:strCache>
            </c:strRef>
          </c:cat>
          <c:val>
            <c:numRef>
              <c:f>'Equity Curve'!$D$5:$D$7</c:f>
              <c:numCache>
                <c:formatCode>#,##0</c:formatCode>
                <c:ptCount val="3"/>
                <c:pt idx="0">
                  <c:v>300000</c:v>
                </c:pt>
                <c:pt idx="1">
                  <c:v>300000</c:v>
                </c:pt>
                <c:pt idx="2">
                  <c:v>300000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496730"/>
        <c:axId val="42345707"/>
      </c:lineChart>
      <c:catAx>
        <c:axId val="284967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345707"/>
        <c:crosses val="autoZero"/>
        <c:auto val="1"/>
        <c:lblAlgn val="ctr"/>
        <c:lblOffset val="100"/>
        <c:noMultiLvlLbl val="0"/>
      </c:catAx>
      <c:valAx>
        <c:axId val="423457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 (฿)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967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0</xdr:rowOff>
    </xdr:from>
    <xdr:to>
      <xdr:col>15</xdr:col>
      <xdr:colOff>78840</xdr:colOff>
      <xdr:row>33</xdr:row>
      <xdr:rowOff>86400</xdr:rowOff>
    </xdr:to>
    <xdr:graphicFrame>
      <xdr:nvGraphicFramePr>
        <xdr:cNvPr id="1" name="Chart 1"/>
        <xdr:cNvGraphicFramePr/>
      </xdr:nvGraphicFramePr>
      <xdr:xfrm>
        <a:off x="611640" y="1542960"/>
        <a:ext cx="863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10" min="2" style="0" width="16"/>
  </cols>
  <sheetData>
    <row r="1" customFormat="false" ht="7.5" hidden="false" customHeight="true" outlineLevel="0" collapsed="false"/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7.5" hidden="false" customHeight="true" outlineLevel="0" collapsed="false"/>
    <row r="4" customFormat="false" ht="13.5" hidden="false" customHeight="true" outlineLevel="0" collapsed="false"/>
    <row r="5" customFormat="false" ht="39.75" hidden="false" customHeight="true" outlineLevel="0" collapsed="false">
      <c r="B5" s="2" t="s">
        <v>1</v>
      </c>
      <c r="C5" s="3" t="s">
        <v>2</v>
      </c>
      <c r="D5" s="3" t="s">
        <v>3</v>
      </c>
      <c r="E5" s="3" t="s">
        <v>4</v>
      </c>
      <c r="F5" s="4" t="s">
        <v>5</v>
      </c>
      <c r="G5" s="2" t="s">
        <v>6</v>
      </c>
      <c r="H5" s="5" t="s">
        <v>7</v>
      </c>
      <c r="I5" s="2" t="s">
        <v>8</v>
      </c>
    </row>
    <row r="6" customFormat="false" ht="30" hidden="false" customHeight="true" outlineLevel="0" collapsed="false">
      <c r="B6" s="6" t="s">
        <v>9</v>
      </c>
      <c r="C6" s="7" t="str">
        <f aca="false">Daily!E4</f>
        <v>Port Value (฿)</v>
      </c>
      <c r="D6" s="8" t="str">
        <f aca="false">Daily!F4</f>
        <v>P&amp;L (฿)</v>
      </c>
      <c r="E6" s="9" t="str">
        <f aca="false">Daily!G4</f>
        <v>P&amp;L %</v>
      </c>
      <c r="F6" s="10" t="n">
        <f aca="false">MIN(Daily!H:H)</f>
        <v>0</v>
      </c>
      <c r="G6" s="11" t="n">
        <f aca="false">COUNTA(Daily!B:B)-1</f>
        <v>5</v>
      </c>
      <c r="H6" s="12" t="str">
        <f aca="false">Holdings!B2</f>
        <v>Current Holdings (as of last EOD)</v>
      </c>
      <c r="I6" s="6" t="str">
        <f aca="false">Daily!D4</f>
        <v>Cash (฿)</v>
      </c>
    </row>
    <row r="7" customFormat="false" ht="9.75" hidden="false" customHeight="true" outlineLevel="0" collapsed="false"/>
    <row r="9" customFormat="false" ht="15" hidden="false" customHeight="false" outlineLevel="0" collapsed="false">
      <c r="B9" s="13" t="s">
        <v>10</v>
      </c>
      <c r="C9" s="13"/>
      <c r="D9" s="13"/>
      <c r="E9" s="13"/>
      <c r="F9" s="13"/>
      <c r="G9" s="13"/>
      <c r="H9" s="13"/>
      <c r="I9" s="13"/>
      <c r="J9" s="13"/>
    </row>
  </sheetData>
  <mergeCells count="2">
    <mergeCell ref="B2:J2"/>
    <mergeCell ref="B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10" min="7" style="0" width="10"/>
  </cols>
  <sheetData>
    <row r="1" customFormat="false" ht="7.5" hidden="false" customHeight="true" outlineLevel="0" collapsed="false"/>
    <row r="2" customFormat="false" ht="31.5" hidden="false" customHeight="true" outlineLevel="0" collapsed="false">
      <c r="B2" s="14" t="s">
        <v>11</v>
      </c>
      <c r="C2" s="14"/>
      <c r="D2" s="14"/>
      <c r="E2" s="14"/>
      <c r="F2" s="14"/>
      <c r="G2" s="14"/>
      <c r="H2" s="14"/>
      <c r="I2" s="14"/>
      <c r="J2" s="14"/>
    </row>
    <row r="3" customFormat="false" ht="7.5" hidden="false" customHeight="true" outlineLevel="0" collapsed="false"/>
    <row r="4" customFormat="false" ht="30" hidden="false" customHeight="true" outlineLevel="0" collapsed="false"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4</v>
      </c>
      <c r="H4" s="15" t="s">
        <v>17</v>
      </c>
      <c r="I4" s="15" t="s">
        <v>18</v>
      </c>
      <c r="J4" s="15" t="s">
        <v>19</v>
      </c>
    </row>
    <row r="5" customFormat="false" ht="15" hidden="false" customHeight="false" outlineLevel="0" collapsed="false">
      <c r="B5" s="16" t="s">
        <v>20</v>
      </c>
      <c r="C5" s="17" t="n">
        <v>1</v>
      </c>
      <c r="D5" s="18" t="n">
        <v>18423.82</v>
      </c>
      <c r="E5" s="19" t="n">
        <v>299297.82</v>
      </c>
      <c r="F5" s="20" t="n">
        <v>-702.18</v>
      </c>
      <c r="G5" s="21" t="n">
        <v>-0.00234</v>
      </c>
      <c r="H5" s="22" t="n">
        <v>0</v>
      </c>
      <c r="I5" s="17" t="n">
        <v>6</v>
      </c>
      <c r="J5" s="17" t="n">
        <v>6</v>
      </c>
    </row>
    <row r="6" customFormat="false" ht="15" hidden="false" customHeight="false" outlineLevel="0" collapsed="false">
      <c r="B6" s="23" t="s">
        <v>21</v>
      </c>
      <c r="C6" s="24" t="n">
        <v>2</v>
      </c>
      <c r="D6" s="25" t="n">
        <v>18423.82</v>
      </c>
      <c r="E6" s="26" t="n">
        <v>299297.82</v>
      </c>
      <c r="F6" s="27" t="n">
        <v>-702.18</v>
      </c>
      <c r="G6" s="28" t="n">
        <v>-0.00234</v>
      </c>
      <c r="H6" s="29" t="n">
        <v>0</v>
      </c>
      <c r="I6" s="24" t="n">
        <v>6</v>
      </c>
      <c r="J6" s="24" t="n">
        <v>0</v>
      </c>
    </row>
    <row r="7" customFormat="false" ht="15" hidden="false" customHeight="false" outlineLevel="0" collapsed="false">
      <c r="B7" s="16" t="s">
        <v>22</v>
      </c>
      <c r="C7" s="17" t="n">
        <v>3</v>
      </c>
      <c r="D7" s="18" t="n">
        <v>18423.82</v>
      </c>
      <c r="E7" s="19" t="n">
        <v>304153.82</v>
      </c>
      <c r="F7" s="30" t="n">
        <v>4153.82</v>
      </c>
      <c r="G7" s="31" t="n">
        <v>0.01385</v>
      </c>
      <c r="H7" s="22" t="n">
        <v>0</v>
      </c>
      <c r="I7" s="17" t="n">
        <v>6</v>
      </c>
      <c r="J7" s="17" t="n">
        <v>0</v>
      </c>
    </row>
    <row r="9" customFormat="false" ht="15" hidden="false" customHeight="false" outlineLevel="0" collapsed="false">
      <c r="B9" s="32" t="s">
        <v>23</v>
      </c>
      <c r="C9" s="32"/>
      <c r="D9" s="32"/>
      <c r="E9" s="32"/>
      <c r="F9" s="32"/>
      <c r="G9" s="32"/>
      <c r="H9" s="32"/>
      <c r="I9" s="32"/>
      <c r="J9" s="32"/>
    </row>
  </sheetData>
  <mergeCells count="2">
    <mergeCell ref="B2:J2"/>
    <mergeCell ref="B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11" min="5" style="0" width="12"/>
  </cols>
  <sheetData>
    <row r="1" customFormat="false" ht="7.5" hidden="false" customHeight="true" outlineLevel="0" collapsed="false">
      <c r="B1" s="33" t="n">
        <v>6</v>
      </c>
    </row>
    <row r="2" customFormat="false" ht="31.5" hidden="false" customHeight="true" outlineLevel="0" collapsed="false">
      <c r="B2" s="14" t="s">
        <v>24</v>
      </c>
      <c r="C2" s="14"/>
      <c r="D2" s="14"/>
      <c r="E2" s="14"/>
      <c r="F2" s="14"/>
      <c r="G2" s="14"/>
      <c r="H2" s="14"/>
      <c r="I2" s="14"/>
      <c r="J2" s="14"/>
      <c r="K2" s="14"/>
    </row>
    <row r="3" customFormat="false" ht="7.5" hidden="false" customHeight="true" outlineLevel="0" collapsed="false"/>
    <row r="4" customFormat="false" ht="30" hidden="false" customHeight="true" outlineLevel="0" collapsed="false">
      <c r="B4" s="15" t="s">
        <v>25</v>
      </c>
      <c r="C4" s="15" t="s">
        <v>26</v>
      </c>
      <c r="D4" s="15" t="s">
        <v>27</v>
      </c>
      <c r="E4" s="15" t="s">
        <v>28</v>
      </c>
      <c r="F4" s="15" t="s">
        <v>29</v>
      </c>
      <c r="G4" s="15" t="s">
        <v>30</v>
      </c>
      <c r="H4" s="15" t="s">
        <v>31</v>
      </c>
      <c r="I4" s="15" t="s">
        <v>4</v>
      </c>
      <c r="J4" s="15" t="s">
        <v>32</v>
      </c>
      <c r="K4" s="15" t="s">
        <v>33</v>
      </c>
    </row>
    <row r="5" customFormat="false" ht="15" hidden="false" customHeight="false" outlineLevel="0" collapsed="false">
      <c r="B5" s="34" t="s">
        <v>34</v>
      </c>
      <c r="C5" s="35" t="s">
        <v>35</v>
      </c>
      <c r="D5" s="36" t="n">
        <v>2300</v>
      </c>
      <c r="E5" s="18" t="n">
        <v>20.3</v>
      </c>
      <c r="F5" s="18" t="n">
        <v>21</v>
      </c>
      <c r="G5" s="37" t="n">
        <v>48300</v>
      </c>
      <c r="H5" s="38" t="n">
        <v>1610</v>
      </c>
      <c r="I5" s="31" t="n">
        <v>0.0344827586206896</v>
      </c>
      <c r="J5" s="39" t="n">
        <v>18.68</v>
      </c>
      <c r="K5" s="17" t="n">
        <v>3</v>
      </c>
    </row>
    <row r="6" customFormat="false" ht="15" hidden="false" customHeight="false" outlineLevel="0" collapsed="false">
      <c r="B6" s="40" t="s">
        <v>36</v>
      </c>
      <c r="C6" s="41" t="s">
        <v>37</v>
      </c>
      <c r="D6" s="42" t="n">
        <v>2800</v>
      </c>
      <c r="E6" s="25" t="n">
        <v>16.5</v>
      </c>
      <c r="F6" s="25" t="n">
        <v>16.9</v>
      </c>
      <c r="G6" s="43" t="n">
        <v>47320</v>
      </c>
      <c r="H6" s="44" t="n">
        <v>1120</v>
      </c>
      <c r="I6" s="45" t="n">
        <v>0.0242424242424242</v>
      </c>
      <c r="J6" s="46" t="n">
        <v>15.18</v>
      </c>
      <c r="K6" s="24" t="n">
        <v>3</v>
      </c>
    </row>
    <row r="7" customFormat="false" ht="15" hidden="false" customHeight="false" outlineLevel="0" collapsed="false">
      <c r="B7" s="34" t="s">
        <v>38</v>
      </c>
      <c r="C7" s="35" t="s">
        <v>39</v>
      </c>
      <c r="D7" s="36" t="n">
        <v>2700</v>
      </c>
      <c r="E7" s="18" t="n">
        <v>17.4</v>
      </c>
      <c r="F7" s="18" t="n">
        <v>17.3</v>
      </c>
      <c r="G7" s="37" t="n">
        <v>46710</v>
      </c>
      <c r="H7" s="47" t="n">
        <v>-269.999999999994</v>
      </c>
      <c r="I7" s="21" t="n">
        <v>-0.00574712643678149</v>
      </c>
      <c r="J7" s="39" t="n">
        <v>16.01</v>
      </c>
      <c r="K7" s="17" t="n">
        <v>3</v>
      </c>
    </row>
    <row r="8" customFormat="false" ht="15" hidden="false" customHeight="false" outlineLevel="0" collapsed="false">
      <c r="B8" s="40" t="s">
        <v>40</v>
      </c>
      <c r="C8" s="41" t="s">
        <v>41</v>
      </c>
      <c r="D8" s="42" t="n">
        <v>10800</v>
      </c>
      <c r="E8" s="25" t="n">
        <v>4.38</v>
      </c>
      <c r="F8" s="25" t="n">
        <v>4.5</v>
      </c>
      <c r="G8" s="43" t="n">
        <v>48600</v>
      </c>
      <c r="H8" s="44" t="n">
        <v>1296</v>
      </c>
      <c r="I8" s="45" t="n">
        <v>0.0273972602739726</v>
      </c>
      <c r="J8" s="46" t="n">
        <v>4.03</v>
      </c>
      <c r="K8" s="24" t="n">
        <v>3</v>
      </c>
    </row>
    <row r="9" customFormat="false" ht="15" hidden="false" customHeight="false" outlineLevel="0" collapsed="false">
      <c r="B9" s="34" t="s">
        <v>42</v>
      </c>
      <c r="C9" s="35" t="s">
        <v>43</v>
      </c>
      <c r="D9" s="36" t="n">
        <v>1600</v>
      </c>
      <c r="E9" s="18" t="n">
        <v>29.25</v>
      </c>
      <c r="F9" s="18" t="n">
        <v>29.5</v>
      </c>
      <c r="G9" s="37" t="n">
        <v>47200</v>
      </c>
      <c r="H9" s="38" t="n">
        <v>400</v>
      </c>
      <c r="I9" s="31" t="n">
        <v>0.00854700854700855</v>
      </c>
      <c r="J9" s="39" t="n">
        <v>26.91</v>
      </c>
      <c r="K9" s="17" t="n">
        <v>3</v>
      </c>
    </row>
    <row r="10" customFormat="false" ht="15" hidden="false" customHeight="false" outlineLevel="0" collapsed="false">
      <c r="B10" s="40" t="s">
        <v>44</v>
      </c>
      <c r="C10" s="41" t="s">
        <v>45</v>
      </c>
      <c r="D10" s="42" t="n">
        <v>7000</v>
      </c>
      <c r="E10" s="25" t="n">
        <v>6.7</v>
      </c>
      <c r="F10" s="25" t="n">
        <v>6.8</v>
      </c>
      <c r="G10" s="43" t="n">
        <v>47600</v>
      </c>
      <c r="H10" s="44" t="n">
        <v>699.999999999998</v>
      </c>
      <c r="I10" s="45" t="n">
        <v>0.0149253731343283</v>
      </c>
      <c r="J10" s="46" t="n">
        <v>6.16</v>
      </c>
      <c r="K10" s="24" t="n">
        <v>3</v>
      </c>
    </row>
    <row r="11" customFormat="false" ht="24" hidden="false" customHeight="true" outlineLevel="0" collapsed="false">
      <c r="B11" s="48" t="s">
        <v>46</v>
      </c>
      <c r="C11" s="48"/>
      <c r="D11" s="48" t="n">
        <f aca="false">SUM(D5:D10)</f>
        <v>27200</v>
      </c>
      <c r="E11" s="48"/>
      <c r="F11" s="48"/>
      <c r="G11" s="49" t="n">
        <f aca="false">SUM(G5:G10)</f>
        <v>285730</v>
      </c>
      <c r="H11" s="50" t="n">
        <f aca="false">SUM(H5:H10)</f>
        <v>4856</v>
      </c>
      <c r="I11" s="51"/>
      <c r="J11" s="51"/>
      <c r="K11" s="51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6"/>
    <col collapsed="false" customWidth="true" hidden="false" outlineLevel="0" max="10" min="10" style="0" width="10"/>
  </cols>
  <sheetData>
    <row r="2" customFormat="false" ht="31.5" hidden="false" customHeight="true" outlineLevel="0" collapsed="false">
      <c r="B2" s="14" t="s">
        <v>47</v>
      </c>
      <c r="C2" s="14"/>
      <c r="D2" s="14"/>
      <c r="E2" s="14"/>
      <c r="F2" s="14"/>
      <c r="G2" s="14"/>
      <c r="H2" s="14"/>
      <c r="I2" s="14"/>
      <c r="J2" s="14"/>
    </row>
    <row r="4" customFormat="false" ht="30" hidden="false" customHeight="true" outlineLevel="0" collapsed="false">
      <c r="B4" s="15" t="s">
        <v>12</v>
      </c>
      <c r="C4" s="15" t="s">
        <v>48</v>
      </c>
      <c r="D4" s="15" t="s">
        <v>25</v>
      </c>
      <c r="E4" s="15" t="s">
        <v>26</v>
      </c>
      <c r="F4" s="15" t="s">
        <v>49</v>
      </c>
      <c r="G4" s="15" t="s">
        <v>27</v>
      </c>
      <c r="H4" s="15" t="s">
        <v>50</v>
      </c>
      <c r="I4" s="15" t="s">
        <v>51</v>
      </c>
      <c r="J4" s="15" t="s">
        <v>52</v>
      </c>
    </row>
    <row r="5" customFormat="false" ht="15" hidden="false" customHeight="false" outlineLevel="0" collapsed="false">
      <c r="B5" s="16" t="s">
        <v>20</v>
      </c>
      <c r="C5" s="17" t="s">
        <v>53</v>
      </c>
      <c r="D5" s="34" t="s">
        <v>34</v>
      </c>
      <c r="E5" s="35" t="s">
        <v>35</v>
      </c>
      <c r="F5" s="52" t="s">
        <v>54</v>
      </c>
      <c r="G5" s="36" t="n">
        <v>2300</v>
      </c>
      <c r="H5" s="18" t="n">
        <v>20.3</v>
      </c>
      <c r="I5" s="37" t="n">
        <v>46690</v>
      </c>
      <c r="J5" s="35" t="s">
        <v>55</v>
      </c>
    </row>
    <row r="6" customFormat="false" ht="15" hidden="false" customHeight="false" outlineLevel="0" collapsed="false">
      <c r="B6" s="23" t="s">
        <v>20</v>
      </c>
      <c r="C6" s="24" t="s">
        <v>53</v>
      </c>
      <c r="D6" s="40" t="s">
        <v>36</v>
      </c>
      <c r="E6" s="41" t="s">
        <v>37</v>
      </c>
      <c r="F6" s="53" t="s">
        <v>54</v>
      </c>
      <c r="G6" s="42" t="n">
        <v>2800</v>
      </c>
      <c r="H6" s="25" t="n">
        <v>16.5</v>
      </c>
      <c r="I6" s="43" t="n">
        <v>46200</v>
      </c>
      <c r="J6" s="41" t="s">
        <v>55</v>
      </c>
    </row>
    <row r="7" customFormat="false" ht="15" hidden="false" customHeight="false" outlineLevel="0" collapsed="false">
      <c r="B7" s="16" t="s">
        <v>20</v>
      </c>
      <c r="C7" s="17" t="s">
        <v>53</v>
      </c>
      <c r="D7" s="34" t="s">
        <v>38</v>
      </c>
      <c r="E7" s="35" t="s">
        <v>39</v>
      </c>
      <c r="F7" s="52" t="s">
        <v>54</v>
      </c>
      <c r="G7" s="36" t="n">
        <v>2700</v>
      </c>
      <c r="H7" s="18" t="n">
        <v>17.4</v>
      </c>
      <c r="I7" s="37" t="n">
        <v>46980</v>
      </c>
      <c r="J7" s="35" t="s">
        <v>55</v>
      </c>
    </row>
    <row r="8" customFormat="false" ht="15" hidden="false" customHeight="false" outlineLevel="0" collapsed="false">
      <c r="B8" s="23" t="s">
        <v>20</v>
      </c>
      <c r="C8" s="24" t="s">
        <v>53</v>
      </c>
      <c r="D8" s="40" t="s">
        <v>40</v>
      </c>
      <c r="E8" s="41" t="s">
        <v>41</v>
      </c>
      <c r="F8" s="53" t="s">
        <v>54</v>
      </c>
      <c r="G8" s="42" t="n">
        <v>10800</v>
      </c>
      <c r="H8" s="25" t="n">
        <v>4.38</v>
      </c>
      <c r="I8" s="43" t="n">
        <v>47304</v>
      </c>
      <c r="J8" s="41" t="s">
        <v>55</v>
      </c>
    </row>
    <row r="9" customFormat="false" ht="15" hidden="false" customHeight="false" outlineLevel="0" collapsed="false">
      <c r="B9" s="16" t="s">
        <v>20</v>
      </c>
      <c r="C9" s="17" t="s">
        <v>53</v>
      </c>
      <c r="D9" s="34" t="s">
        <v>42</v>
      </c>
      <c r="E9" s="35" t="s">
        <v>43</v>
      </c>
      <c r="F9" s="52" t="s">
        <v>54</v>
      </c>
      <c r="G9" s="36" t="n">
        <v>1600</v>
      </c>
      <c r="H9" s="18" t="n">
        <v>29.25</v>
      </c>
      <c r="I9" s="37" t="n">
        <v>46800</v>
      </c>
      <c r="J9" s="35" t="s">
        <v>55</v>
      </c>
    </row>
    <row r="10" customFormat="false" ht="15" hidden="false" customHeight="false" outlineLevel="0" collapsed="false">
      <c r="B10" s="23" t="s">
        <v>20</v>
      </c>
      <c r="C10" s="24" t="s">
        <v>53</v>
      </c>
      <c r="D10" s="40" t="s">
        <v>44</v>
      </c>
      <c r="E10" s="41" t="s">
        <v>45</v>
      </c>
      <c r="F10" s="53" t="s">
        <v>54</v>
      </c>
      <c r="G10" s="42" t="n">
        <v>7000</v>
      </c>
      <c r="H10" s="25" t="n">
        <v>6.7</v>
      </c>
      <c r="I10" s="43" t="n">
        <v>46900</v>
      </c>
      <c r="J10" s="41" t="s">
        <v>55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31.5" hidden="false" customHeight="true" outlineLevel="0" collapsed="false">
      <c r="B2" s="14" t="s">
        <v>56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customFormat="false" ht="15" hidden="false" customHeight="false" outlineLevel="0" collapsed="false">
      <c r="B4" s="54" t="s">
        <v>12</v>
      </c>
      <c r="C4" s="54" t="s">
        <v>57</v>
      </c>
      <c r="D4" s="54" t="s">
        <v>58</v>
      </c>
    </row>
    <row r="5" customFormat="false" ht="15" hidden="false" customHeight="false" outlineLevel="0" collapsed="false">
      <c r="B5" s="55" t="s">
        <v>20</v>
      </c>
      <c r="C5" s="56" t="n">
        <v>299297.82</v>
      </c>
      <c r="D5" s="56" t="n">
        <v>300000</v>
      </c>
    </row>
    <row r="6" customFormat="false" ht="15" hidden="false" customHeight="false" outlineLevel="0" collapsed="false">
      <c r="B6" s="55" t="s">
        <v>21</v>
      </c>
      <c r="C6" s="56" t="n">
        <v>299297.82</v>
      </c>
      <c r="D6" s="56" t="n">
        <v>300000</v>
      </c>
    </row>
    <row r="7" customFormat="false" ht="15" hidden="false" customHeight="false" outlineLevel="0" collapsed="false">
      <c r="B7" s="55" t="s">
        <v>22</v>
      </c>
      <c r="C7" s="56" t="n">
        <v>304153.82</v>
      </c>
      <c r="D7" s="56" t="n">
        <v>300000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2026-04-29T16:58:52Z</dcterms:created>
  <dc:creator>openpyxl</dc:creator>
  <dc:description/>
  <dc:language>en-US</dc:language>
  <cp:lastModifiedBy/>
  <dcterms:modified xsi:type="dcterms:W3CDTF">2026-04-29T23:59:00Z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