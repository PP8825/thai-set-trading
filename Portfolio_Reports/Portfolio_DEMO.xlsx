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Summary" sheetId="1" state="visible" r:id="rId3"/>
    <sheet name="Holdings" sheetId="2" state="visible" r:id="rId4"/>
    <sheet name="Today's Trades" sheetId="3" state="visible" r:id="rId5"/>
    <sheet name="Trade Histo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<sst xmlns="http://schemas.openxmlformats.org/spreadsheetml/2006/main" count="129" uniqueCount="77">
  <si>
    <t xml:space="preserve">🇹🇭  SET Portfolio — End-of-Day Report</t>
  </si>
  <si>
    <t xml:space="preserve">Date: Thursday, 16 April 2026  |  Day 2 (since 2026-04-16)  |  Capital: ฿300,000</t>
  </si>
  <si>
    <t xml:space="preserve">Metric</t>
  </si>
  <si>
    <t xml:space="preserve">Value</t>
  </si>
  <si>
    <t xml:space="preserve">Notes</t>
  </si>
  <si>
    <t xml:space="preserve">Portfolio Value</t>
  </si>
  <si>
    <t xml:space="preserve">Cash + market value of 8 positions</t>
  </si>
  <si>
    <t xml:space="preserve">Cash Available</t>
  </si>
  <si>
    <t xml:space="preserve">Ready to deploy (incl. 5% buffer)</t>
  </si>
  <si>
    <t xml:space="preserve">Amount Invested</t>
  </si>
  <si>
    <t xml:space="preserve">Current market value of open positions</t>
  </si>
  <si>
    <t xml:space="preserve">Total P&amp;L</t>
  </si>
  <si>
    <t xml:space="preserve">vs starting capital ฿300,000</t>
  </si>
  <si>
    <t xml:space="preserve">Total Return</t>
  </si>
  <si>
    <t xml:space="preserve">Cumulative % from start date</t>
  </si>
  <si>
    <t xml:space="preserve">Peak-to-Trough Drawdown</t>
  </si>
  <si>
    <t xml:space="preserve">From peak portfolio value</t>
  </si>
  <si>
    <t xml:space="preserve">Today's Realised P&amp;L</t>
  </si>
  <si>
    <t xml:space="preserve">Closed trades only</t>
  </si>
  <si>
    <t xml:space="preserve">Open Positions</t>
  </si>
  <si>
    <t xml:space="preserve">Max allowed: 10</t>
  </si>
  <si>
    <t xml:space="preserve">Trades Today</t>
  </si>
  <si>
    <t xml:space="preserve">BUY + SELL orders</t>
  </si>
  <si>
    <t xml:space="preserve">BUY / SELL today</t>
  </si>
  <si>
    <t xml:space="preserve">3 BUY  /  0 SELL</t>
  </si>
  <si>
    <t xml:space="preserve">Executed this session</t>
  </si>
  <si>
    <t xml:space="preserve">⚠  For educational purposes only. Not financial advice. Report auto-generated at market close.</t>
  </si>
  <si>
    <t xml:space="preserve">Current Holdings  —  16 Apr 2026</t>
  </si>
  <si>
    <t xml:space="preserve">Ticker</t>
  </si>
  <si>
    <t xml:space="preserve">Stock Name</t>
  </si>
  <si>
    <t xml:space="preserve">Shares</t>
  </si>
  <si>
    <t xml:space="preserve">Avg Cost (฿)</t>
  </si>
  <si>
    <t xml:space="preserve">Current Price (฿)</t>
  </si>
  <si>
    <t xml:space="preserve">Market Value (฿)</t>
  </si>
  <si>
    <t xml:space="preserve">Unrealised P&amp;L (฿)</t>
  </si>
  <si>
    <t xml:space="preserve">P&amp;L %</t>
  </si>
  <si>
    <t xml:space="preserve">Entry Date</t>
  </si>
  <si>
    <t xml:space="preserve">PTT.BK</t>
  </si>
  <si>
    <t xml:space="preserve">PTT</t>
  </si>
  <si>
    <t xml:space="preserve">2026-04-16</t>
  </si>
  <si>
    <t xml:space="preserve">AOT.BK</t>
  </si>
  <si>
    <t xml:space="preserve">AOT</t>
  </si>
  <si>
    <t xml:space="preserve">SCB.BK</t>
  </si>
  <si>
    <t xml:space="preserve">SCB</t>
  </si>
  <si>
    <t xml:space="preserve">CPALL.BK</t>
  </si>
  <si>
    <t xml:space="preserve">CPALL</t>
  </si>
  <si>
    <t xml:space="preserve">KBANK.BK</t>
  </si>
  <si>
    <t xml:space="preserve">KBANK</t>
  </si>
  <si>
    <t xml:space="preserve">DELTA.BK</t>
  </si>
  <si>
    <t xml:space="preserve">DELTA</t>
  </si>
  <si>
    <t xml:space="preserve">ADVANC.BK</t>
  </si>
  <si>
    <t xml:space="preserve">ADVANC</t>
  </si>
  <si>
    <t xml:space="preserve">BH.BK</t>
  </si>
  <si>
    <t xml:space="preserve">BH</t>
  </si>
  <si>
    <t xml:space="preserve">TOTAL</t>
  </si>
  <si>
    <t xml:space="preserve">Today's Trades  —  16 Apr 2026</t>
  </si>
  <si>
    <t xml:space="preserve">Date</t>
  </si>
  <si>
    <t xml:space="preserve">Stock</t>
  </si>
  <si>
    <t xml:space="preserve">Action</t>
  </si>
  <si>
    <t xml:space="preserve">Price (฿)</t>
  </si>
  <si>
    <t xml:space="preserve">Lots</t>
  </si>
  <si>
    <t xml:space="preserve">Value (฿)</t>
  </si>
  <si>
    <t xml:space="preserve">Realised P&amp;L (฿)</t>
  </si>
  <si>
    <t xml:space="preserve">Reason / Signal</t>
  </si>
  <si>
    <t xml:space="preserve">BUY</t>
  </si>
  <si>
    <t xml:space="preserve">—</t>
  </si>
  <si>
    <t xml:space="preserve">STRONG BUY</t>
  </si>
  <si>
    <t xml:space="preserve">TODAY'S P&amp;L</t>
  </si>
  <si>
    <t xml:space="preserve">Complete Trade History  —  since 2026-04-16</t>
  </si>
  <si>
    <t xml:space="preserve">Reason</t>
  </si>
  <si>
    <t xml:space="preserve">2026-04-11</t>
  </si>
  <si>
    <t xml:space="preserve">GULF.BK</t>
  </si>
  <si>
    <t xml:space="preserve">GULF</t>
  </si>
  <si>
    <t xml:space="preserve">2026-04-13</t>
  </si>
  <si>
    <t xml:space="preserve">SELL</t>
  </si>
  <si>
    <t xml:space="preserve">SELL signal</t>
  </si>
  <si>
    <t xml:space="preserve">TOTAL P&amp;L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</si>
</sst>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฿#,##0;&quot;(฿&quot;#,##0\);\-"/>
    <numFmt numFmtId="166" formatCode="0.00%;\(0.00%\);\-"/>
    <numFmt numFmtId="167" formatCode="#,##0"/>
    <numFmt numFmtId="168" formatCode="@"/>
    <numFmt numFmtId="169" formatCode="\฿#,##0.00;&quot;(฿&quot;#,##0.00\);\-"/>
    <numFmt numFmtId="170" formatCode="\฿#,##0;&quot;(฿&quot;#,##0\);\-"/>
    <numFmt numFmtId="171" formatCode="0.00%;\(0.00%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A84C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B05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4"/>
      <color rgb="FFC9A84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B050"/>
      <name val="Arial"/>
      <family val="0"/>
      <charset val="1"/>
    </font>
    <font>
      <sz val="10"/>
      <color rgb="FF00B05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9"/>
      <color rgb="FF00B050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4C8C"/>
        <bgColor rgb="FF1F3864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C9A84C"/>
      <rgbColor rgb="FF1F3864"/>
      <rgbColor rgb="FF00B050"/>
      <rgbColor rgb="FF003300"/>
      <rgbColor rgb="FF333300"/>
      <rgbColor rgb="FF993300"/>
      <rgbColor rgb="FF993366"/>
      <rgbColor rgb="FF2E4C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24"/>
    <col collapsed="false" customWidth="true" hidden="false" outlineLevel="0" max="5" min="5" style="0" width="2"/>
  </cols>
  <sheetData>
    <row r="1" customFormat="false" ht="39.75" hidden="false" customHeight="true" outlineLevel="0" collapsed="false">
      <c r="B1" s="1" t="s">
        <v>0</v>
      </c>
      <c r="C1" s="1"/>
      <c r="D1" s="1"/>
    </row>
    <row r="2" customFormat="false" ht="19.5" hidden="false" customHeight="true" outlineLevel="0" collapsed="false">
      <c r="B2" s="2" t="s">
        <v>1</v>
      </c>
      <c r="C2" s="2"/>
      <c r="D2" s="2"/>
    </row>
    <row r="4" customFormat="false" ht="21.75" hidden="false" customHeight="true" outlineLevel="0" collapsed="false">
      <c r="B4" s="3" t="s">
        <v>2</v>
      </c>
      <c r="C4" s="3" t="s">
        <v>3</v>
      </c>
      <c r="D4" s="3" t="s">
        <v>4</v>
      </c>
    </row>
    <row r="5" customFormat="false" ht="21.75" hidden="false" customHeight="true" outlineLevel="0" collapsed="false">
      <c r="B5" s="4" t="s">
        <v>5</v>
      </c>
      <c r="C5" s="5" t="n">
        <v>370100</v>
      </c>
      <c r="D5" s="6" t="s">
        <v>6</v>
      </c>
    </row>
    <row r="6" customFormat="false" ht="21.75" hidden="false" customHeight="true" outlineLevel="0" collapsed="false">
      <c r="B6" s="7" t="s">
        <v>7</v>
      </c>
      <c r="C6" s="8" t="n">
        <v>95050</v>
      </c>
      <c r="D6" s="9" t="s">
        <v>8</v>
      </c>
    </row>
    <row r="7" customFormat="false" ht="21.75" hidden="false" customHeight="true" outlineLevel="0" collapsed="false">
      <c r="B7" s="4" t="s">
        <v>9</v>
      </c>
      <c r="C7" s="10" t="n">
        <v>275050</v>
      </c>
      <c r="D7" s="6" t="s">
        <v>10</v>
      </c>
    </row>
    <row r="8" customFormat="false" ht="21.75" hidden="false" customHeight="true" outlineLevel="0" collapsed="false">
      <c r="B8" s="7" t="s">
        <v>11</v>
      </c>
      <c r="C8" s="11" t="n">
        <v>70100</v>
      </c>
      <c r="D8" s="9" t="s">
        <v>12</v>
      </c>
    </row>
    <row r="9" customFormat="false" ht="21.75" hidden="false" customHeight="true" outlineLevel="0" collapsed="false">
      <c r="B9" s="4" t="s">
        <v>13</v>
      </c>
      <c r="C9" s="12" t="n">
        <v>0.233666666666667</v>
      </c>
      <c r="D9" s="6" t="s">
        <v>14</v>
      </c>
    </row>
    <row r="10" customFormat="false" ht="21.75" hidden="false" customHeight="true" outlineLevel="0" collapsed="false">
      <c r="B10" s="7" t="s">
        <v>15</v>
      </c>
      <c r="C10" s="13" t="n">
        <v>0.216633793556871</v>
      </c>
      <c r="D10" s="9" t="s">
        <v>16</v>
      </c>
    </row>
    <row r="11" customFormat="false" ht="21.75" hidden="false" customHeight="true" outlineLevel="0" collapsed="false">
      <c r="B11" s="4" t="s">
        <v>17</v>
      </c>
      <c r="C11" s="5" t="n">
        <v>0</v>
      </c>
      <c r="D11" s="6" t="s">
        <v>18</v>
      </c>
    </row>
    <row r="12" customFormat="false" ht="21.75" hidden="false" customHeight="true" outlineLevel="0" collapsed="false">
      <c r="B12" s="7" t="s">
        <v>19</v>
      </c>
      <c r="C12" s="14" t="n">
        <v>8</v>
      </c>
      <c r="D12" s="9" t="s">
        <v>20</v>
      </c>
    </row>
    <row r="13" customFormat="false" ht="21.75" hidden="false" customHeight="true" outlineLevel="0" collapsed="false">
      <c r="B13" s="4" t="s">
        <v>21</v>
      </c>
      <c r="C13" s="15" t="n">
        <v>3</v>
      </c>
      <c r="D13" s="6" t="s">
        <v>22</v>
      </c>
    </row>
    <row r="14" customFormat="false" ht="21.75" hidden="false" customHeight="true" outlineLevel="0" collapsed="false">
      <c r="B14" s="7" t="s">
        <v>23</v>
      </c>
      <c r="C14" s="16" t="s">
        <v>24</v>
      </c>
      <c r="D14" s="9" t="s">
        <v>25</v>
      </c>
    </row>
    <row r="16" customFormat="false" ht="27.75" hidden="false" customHeight="true" outlineLevel="0" collapsed="false">
      <c r="B16" s="17" t="s">
        <v>26</v>
      </c>
      <c r="C16" s="17"/>
      <c r="D16" s="17"/>
    </row>
  </sheetData>
  <mergeCells count="3">
    <mergeCell ref="B1:D1"/>
    <mergeCell ref="B2:D2"/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18" t="s">
        <v>27</v>
      </c>
      <c r="B1" s="18"/>
      <c r="C1" s="18"/>
      <c r="D1" s="18"/>
      <c r="E1" s="18"/>
      <c r="F1" s="18"/>
      <c r="G1" s="18"/>
      <c r="H1" s="18"/>
      <c r="I1" s="18"/>
    </row>
    <row r="2" customFormat="false" ht="21.75" hidden="false" customHeight="true" outlineLevel="0" collapsed="false">
      <c r="A2" s="19" t="s">
        <v>28</v>
      </c>
      <c r="B2" s="19" t="s">
        <v>29</v>
      </c>
      <c r="C2" s="19" t="s">
        <v>30</v>
      </c>
      <c r="D2" s="19" t="s">
        <v>31</v>
      </c>
      <c r="E2" s="19" t="s">
        <v>32</v>
      </c>
      <c r="F2" s="19" t="s">
        <v>33</v>
      </c>
      <c r="G2" s="19" t="s">
        <v>34</v>
      </c>
      <c r="H2" s="19" t="s">
        <v>35</v>
      </c>
      <c r="I2" s="19" t="s">
        <v>36</v>
      </c>
    </row>
    <row r="3" customFormat="false" ht="19.5" hidden="false" customHeight="true" outlineLevel="0" collapsed="false">
      <c r="A3" s="20" t="s">
        <v>37</v>
      </c>
      <c r="B3" s="21" t="s">
        <v>38</v>
      </c>
      <c r="C3" s="22" t="n">
        <v>2000</v>
      </c>
      <c r="D3" s="23" t="n">
        <v>33.5</v>
      </c>
      <c r="E3" s="24" t="n">
        <v>34.8</v>
      </c>
      <c r="F3" s="25" t="n">
        <f aca="false">C3*E3</f>
        <v>69600</v>
      </c>
      <c r="G3" s="26" t="n">
        <f aca="false">F3-C3*D3</f>
        <v>2600</v>
      </c>
      <c r="H3" s="27" t="n">
        <f aca="false">(E3-D3)/D3</f>
        <v>0.0388059701492536</v>
      </c>
      <c r="I3" s="28" t="s">
        <v>39</v>
      </c>
    </row>
    <row r="4" customFormat="false" ht="19.5" hidden="false" customHeight="true" outlineLevel="0" collapsed="false">
      <c r="A4" s="20" t="s">
        <v>40</v>
      </c>
      <c r="B4" s="21" t="s">
        <v>41</v>
      </c>
      <c r="C4" s="22" t="n">
        <v>700</v>
      </c>
      <c r="D4" s="23" t="n">
        <v>57.75</v>
      </c>
      <c r="E4" s="24" t="n">
        <v>59.25</v>
      </c>
      <c r="F4" s="25" t="n">
        <f aca="false">C4*E4</f>
        <v>41475</v>
      </c>
      <c r="G4" s="26" t="n">
        <f aca="false">F4-C4*D4</f>
        <v>1050</v>
      </c>
      <c r="H4" s="27" t="n">
        <f aca="false">(E4-D4)/D4</f>
        <v>0.025974025974026</v>
      </c>
      <c r="I4" s="28" t="s">
        <v>39</v>
      </c>
    </row>
    <row r="5" customFormat="false" ht="19.5" hidden="false" customHeight="true" outlineLevel="0" collapsed="false">
      <c r="A5" s="20" t="s">
        <v>42</v>
      </c>
      <c r="B5" s="21" t="s">
        <v>43</v>
      </c>
      <c r="C5" s="22" t="n">
        <v>300</v>
      </c>
      <c r="D5" s="23" t="n">
        <v>107.5</v>
      </c>
      <c r="E5" s="24" t="n">
        <v>109.5</v>
      </c>
      <c r="F5" s="25" t="n">
        <f aca="false">C5*E5</f>
        <v>32850</v>
      </c>
      <c r="G5" s="26" t="n">
        <f aca="false">F5-C5*D5</f>
        <v>600</v>
      </c>
      <c r="H5" s="27" t="n">
        <f aca="false">(E5-D5)/D5</f>
        <v>0.0186046511627907</v>
      </c>
      <c r="I5" s="28" t="s">
        <v>39</v>
      </c>
    </row>
    <row r="6" customFormat="false" ht="19.5" hidden="false" customHeight="true" outlineLevel="0" collapsed="false">
      <c r="A6" s="20" t="s">
        <v>44</v>
      </c>
      <c r="B6" s="21" t="s">
        <v>45</v>
      </c>
      <c r="C6" s="22" t="n">
        <v>500</v>
      </c>
      <c r="D6" s="23" t="n">
        <v>61.5</v>
      </c>
      <c r="E6" s="24" t="n">
        <v>63.25</v>
      </c>
      <c r="F6" s="25" t="n">
        <f aca="false">C6*E6</f>
        <v>31625</v>
      </c>
      <c r="G6" s="26" t="n">
        <f aca="false">F6-C6*D6</f>
        <v>875</v>
      </c>
      <c r="H6" s="27" t="n">
        <f aca="false">(E6-D6)/D6</f>
        <v>0.0284552845528455</v>
      </c>
      <c r="I6" s="28" t="s">
        <v>39</v>
      </c>
    </row>
    <row r="7" customFormat="false" ht="19.5" hidden="false" customHeight="true" outlineLevel="0" collapsed="false">
      <c r="A7" s="20" t="s">
        <v>46</v>
      </c>
      <c r="B7" s="21" t="s">
        <v>47</v>
      </c>
      <c r="C7" s="22" t="n">
        <v>200</v>
      </c>
      <c r="D7" s="23" t="n">
        <v>141</v>
      </c>
      <c r="E7" s="24" t="n">
        <v>144.5</v>
      </c>
      <c r="F7" s="25" t="n">
        <f aca="false">C7*E7</f>
        <v>28900</v>
      </c>
      <c r="G7" s="26" t="n">
        <f aca="false">F7-C7*D7</f>
        <v>700</v>
      </c>
      <c r="H7" s="27" t="n">
        <f aca="false">(E7-D7)/D7</f>
        <v>0.024822695035461</v>
      </c>
      <c r="I7" s="28" t="s">
        <v>39</v>
      </c>
    </row>
    <row r="8" customFormat="false" ht="19.5" hidden="false" customHeight="true" outlineLevel="0" collapsed="false">
      <c r="A8" s="29" t="s">
        <v>48</v>
      </c>
      <c r="B8" s="30" t="s">
        <v>49</v>
      </c>
      <c r="C8" s="31" t="n">
        <v>400</v>
      </c>
      <c r="D8" s="32" t="n">
        <v>74.5</v>
      </c>
      <c r="E8" s="33" t="n">
        <v>71.5</v>
      </c>
      <c r="F8" s="34" t="n">
        <f aca="false">C8*E8</f>
        <v>28600</v>
      </c>
      <c r="G8" s="35" t="n">
        <f aca="false">F8-C8*D8</f>
        <v>-1200</v>
      </c>
      <c r="H8" s="36" t="n">
        <f aca="false">(E8-D8)/D8</f>
        <v>-0.0402684563758389</v>
      </c>
      <c r="I8" s="37" t="s">
        <v>39</v>
      </c>
    </row>
    <row r="9" customFormat="false" ht="19.5" hidden="false" customHeight="true" outlineLevel="0" collapsed="false">
      <c r="A9" s="20" t="s">
        <v>50</v>
      </c>
      <c r="B9" s="21" t="s">
        <v>51</v>
      </c>
      <c r="C9" s="22" t="n">
        <v>100</v>
      </c>
      <c r="D9" s="23" t="n">
        <v>219</v>
      </c>
      <c r="E9" s="24" t="n">
        <v>224</v>
      </c>
      <c r="F9" s="25" t="n">
        <f aca="false">C9*E9</f>
        <v>22400</v>
      </c>
      <c r="G9" s="26" t="n">
        <f aca="false">F9-C9*D9</f>
        <v>500</v>
      </c>
      <c r="H9" s="27" t="n">
        <f aca="false">(E9-D9)/D9</f>
        <v>0.0228310502283105</v>
      </c>
      <c r="I9" s="28" t="s">
        <v>39</v>
      </c>
    </row>
    <row r="10" customFormat="false" ht="19.5" hidden="false" customHeight="true" outlineLevel="0" collapsed="false">
      <c r="A10" s="20" t="s">
        <v>52</v>
      </c>
      <c r="B10" s="21" t="s">
        <v>53</v>
      </c>
      <c r="C10" s="22" t="n">
        <v>100</v>
      </c>
      <c r="D10" s="23" t="n">
        <v>191</v>
      </c>
      <c r="E10" s="24" t="n">
        <v>196</v>
      </c>
      <c r="F10" s="25" t="n">
        <f aca="false">C10*E10</f>
        <v>19600</v>
      </c>
      <c r="G10" s="26" t="n">
        <f aca="false">F10-C10*D10</f>
        <v>500</v>
      </c>
      <c r="H10" s="27" t="n">
        <f aca="false">(E10-D10)/D10</f>
        <v>0.0261780104712042</v>
      </c>
      <c r="I10" s="28" t="s">
        <v>39</v>
      </c>
    </row>
    <row r="11" customFormat="false" ht="21.75" hidden="false" customHeight="true" outlineLevel="0" collapsed="false">
      <c r="B11" s="38" t="s">
        <v>54</v>
      </c>
      <c r="F11" s="39" t="n">
        <f aca="false">SUM(F3:F10)</f>
        <v>275050</v>
      </c>
      <c r="G11" s="40" t="n">
        <f aca="false">SUM(G3:G10)</f>
        <v>5625</v>
      </c>
      <c r="H11" s="41" t="n">
        <f aca="false">G11/SUMPRODUCT(C3:C10,D3:D10)</f>
        <v>0.0208777953048158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4" min="3" style="0" width="8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20"/>
  </cols>
  <sheetData>
    <row r="1" customFormat="false" ht="33.75" hidden="false" customHeight="true" outlineLevel="0" collapsed="false">
      <c r="A1" s="18" t="s">
        <v>55</v>
      </c>
      <c r="B1" s="18"/>
      <c r="C1" s="18"/>
      <c r="D1" s="18"/>
      <c r="E1" s="18"/>
      <c r="F1" s="18"/>
      <c r="G1" s="18"/>
      <c r="H1" s="18"/>
      <c r="I1" s="18"/>
    </row>
    <row r="2" customFormat="false" ht="21.75" hidden="false" customHeight="true" outlineLevel="0" collapsed="false">
      <c r="A2" s="19" t="s">
        <v>56</v>
      </c>
      <c r="B2" s="19" t="s">
        <v>57</v>
      </c>
      <c r="C2" s="19" t="s">
        <v>30</v>
      </c>
      <c r="D2" s="19" t="s">
        <v>58</v>
      </c>
      <c r="E2" s="19" t="s">
        <v>59</v>
      </c>
      <c r="F2" s="19" t="s">
        <v>60</v>
      </c>
      <c r="G2" s="19" t="s">
        <v>61</v>
      </c>
      <c r="H2" s="19" t="s">
        <v>62</v>
      </c>
      <c r="I2" s="19" t="s">
        <v>63</v>
      </c>
    </row>
    <row r="3" customFormat="false" ht="19.5" hidden="false" customHeight="true" outlineLevel="0" collapsed="false">
      <c r="A3" s="42" t="s">
        <v>39</v>
      </c>
      <c r="B3" s="43" t="s">
        <v>38</v>
      </c>
      <c r="C3" s="22" t="n">
        <v>2000</v>
      </c>
      <c r="D3" s="44" t="s">
        <v>64</v>
      </c>
      <c r="E3" s="23" t="n">
        <v>33.5</v>
      </c>
      <c r="F3" s="22" t="n">
        <v>20</v>
      </c>
      <c r="G3" s="25" t="n">
        <f aca="false">C3*E3</f>
        <v>67000</v>
      </c>
      <c r="H3" s="45" t="s">
        <v>65</v>
      </c>
      <c r="I3" s="46" t="s">
        <v>66</v>
      </c>
    </row>
    <row r="4" customFormat="false" ht="19.5" hidden="false" customHeight="true" outlineLevel="0" collapsed="false">
      <c r="A4" s="42" t="s">
        <v>39</v>
      </c>
      <c r="B4" s="43" t="s">
        <v>47</v>
      </c>
      <c r="C4" s="22" t="n">
        <v>200</v>
      </c>
      <c r="D4" s="44" t="s">
        <v>64</v>
      </c>
      <c r="E4" s="23" t="n">
        <v>141</v>
      </c>
      <c r="F4" s="22" t="n">
        <v>2</v>
      </c>
      <c r="G4" s="25" t="n">
        <f aca="false">C4*E4</f>
        <v>28200</v>
      </c>
      <c r="H4" s="45" t="s">
        <v>65</v>
      </c>
      <c r="I4" s="46" t="s">
        <v>64</v>
      </c>
    </row>
    <row r="5" customFormat="false" ht="19.5" hidden="false" customHeight="true" outlineLevel="0" collapsed="false">
      <c r="A5" s="42" t="s">
        <v>39</v>
      </c>
      <c r="B5" s="43" t="s">
        <v>41</v>
      </c>
      <c r="C5" s="22" t="n">
        <v>700</v>
      </c>
      <c r="D5" s="44" t="s">
        <v>64</v>
      </c>
      <c r="E5" s="23" t="n">
        <v>57.75</v>
      </c>
      <c r="F5" s="22" t="n">
        <v>7</v>
      </c>
      <c r="G5" s="25" t="n">
        <f aca="false">C5*E5</f>
        <v>40425</v>
      </c>
      <c r="H5" s="45" t="s">
        <v>65</v>
      </c>
      <c r="I5" s="46" t="s">
        <v>66</v>
      </c>
    </row>
    <row r="6" customFormat="false" ht="21.75" hidden="false" customHeight="true" outlineLevel="0" collapsed="false">
      <c r="G6" s="38" t="s">
        <v>67</v>
      </c>
      <c r="H6" s="47" t="n">
        <f aca="false">SUM(H3:H5)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8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20"/>
  </cols>
  <sheetData>
    <row r="1" customFormat="false" ht="33.75" hidden="false" customHeight="true" outlineLevel="0" collapsed="false">
      <c r="A1" s="18" t="s">
        <v>68</v>
      </c>
      <c r="B1" s="18"/>
      <c r="C1" s="18"/>
      <c r="D1" s="18"/>
      <c r="E1" s="18"/>
      <c r="F1" s="18"/>
      <c r="G1" s="18"/>
      <c r="H1" s="18"/>
      <c r="I1" s="18"/>
      <c r="J1" s="18"/>
    </row>
    <row r="2" customFormat="false" ht="21.75" hidden="false" customHeight="true" outlineLevel="0" collapsed="false">
      <c r="A2" s="19" t="s">
        <v>56</v>
      </c>
      <c r="B2" s="19" t="s">
        <v>28</v>
      </c>
      <c r="C2" s="19" t="s">
        <v>57</v>
      </c>
      <c r="D2" s="19" t="s">
        <v>58</v>
      </c>
      <c r="E2" s="19" t="s">
        <v>30</v>
      </c>
      <c r="F2" s="19" t="s">
        <v>59</v>
      </c>
      <c r="G2" s="19" t="s">
        <v>60</v>
      </c>
      <c r="H2" s="19" t="s">
        <v>61</v>
      </c>
      <c r="I2" s="19" t="s">
        <v>62</v>
      </c>
      <c r="J2" s="19" t="s">
        <v>69</v>
      </c>
    </row>
    <row r="3" customFormat="false" ht="16.5" hidden="false" customHeight="true" outlineLevel="0" collapsed="false">
      <c r="A3" s="48" t="s">
        <v>70</v>
      </c>
      <c r="B3" s="49" t="s">
        <v>71</v>
      </c>
      <c r="C3" s="50" t="s">
        <v>72</v>
      </c>
      <c r="D3" s="51" t="s">
        <v>64</v>
      </c>
      <c r="E3" s="52" t="n">
        <v>1000</v>
      </c>
      <c r="F3" s="53" t="n">
        <v>42</v>
      </c>
      <c r="G3" s="52" t="n">
        <v>10</v>
      </c>
      <c r="H3" s="54" t="n">
        <f aca="false">E3*F3</f>
        <v>42000</v>
      </c>
      <c r="I3" s="55" t="s">
        <v>65</v>
      </c>
      <c r="J3" s="6" t="s">
        <v>64</v>
      </c>
    </row>
    <row r="4" customFormat="false" ht="16.5" hidden="false" customHeight="true" outlineLevel="0" collapsed="false">
      <c r="A4" s="56" t="s">
        <v>73</v>
      </c>
      <c r="B4" s="57" t="s">
        <v>71</v>
      </c>
      <c r="C4" s="58" t="s">
        <v>72</v>
      </c>
      <c r="D4" s="59" t="s">
        <v>74</v>
      </c>
      <c r="E4" s="60" t="n">
        <v>1000</v>
      </c>
      <c r="F4" s="61" t="n">
        <v>44.5</v>
      </c>
      <c r="G4" s="60" t="n">
        <v>10</v>
      </c>
      <c r="H4" s="62" t="n">
        <f aca="false">E4*F4</f>
        <v>44500</v>
      </c>
      <c r="I4" s="63" t="n">
        <v>2450</v>
      </c>
      <c r="J4" s="9" t="s">
        <v>75</v>
      </c>
    </row>
    <row r="5" customFormat="false" ht="16.5" hidden="false" customHeight="true" outlineLevel="0" collapsed="false">
      <c r="A5" s="48" t="s">
        <v>39</v>
      </c>
      <c r="B5" s="49" t="s">
        <v>37</v>
      </c>
      <c r="C5" s="50" t="s">
        <v>38</v>
      </c>
      <c r="D5" s="51" t="s">
        <v>64</v>
      </c>
      <c r="E5" s="52" t="n">
        <v>2000</v>
      </c>
      <c r="F5" s="53" t="n">
        <v>33.5</v>
      </c>
      <c r="G5" s="52" t="n">
        <v>20</v>
      </c>
      <c r="H5" s="54" t="n">
        <f aca="false">E5*F5</f>
        <v>67000</v>
      </c>
      <c r="I5" s="55" t="s">
        <v>65</v>
      </c>
      <c r="J5" s="6" t="s">
        <v>66</v>
      </c>
    </row>
    <row r="6" customFormat="false" ht="16.5" hidden="false" customHeight="true" outlineLevel="0" collapsed="false">
      <c r="A6" s="56" t="s">
        <v>39</v>
      </c>
      <c r="B6" s="57" t="s">
        <v>46</v>
      </c>
      <c r="C6" s="58" t="s">
        <v>47</v>
      </c>
      <c r="D6" s="51" t="s">
        <v>64</v>
      </c>
      <c r="E6" s="60" t="n">
        <v>200</v>
      </c>
      <c r="F6" s="61" t="n">
        <v>141</v>
      </c>
      <c r="G6" s="60" t="n">
        <v>2</v>
      </c>
      <c r="H6" s="62" t="n">
        <f aca="false">E6*F6</f>
        <v>28200</v>
      </c>
      <c r="I6" s="64" t="s">
        <v>65</v>
      </c>
      <c r="J6" s="9" t="s">
        <v>64</v>
      </c>
    </row>
    <row r="7" customFormat="false" ht="16.5" hidden="false" customHeight="true" outlineLevel="0" collapsed="false">
      <c r="A7" s="48" t="s">
        <v>39</v>
      </c>
      <c r="B7" s="49" t="s">
        <v>40</v>
      </c>
      <c r="C7" s="50" t="s">
        <v>41</v>
      </c>
      <c r="D7" s="51" t="s">
        <v>64</v>
      </c>
      <c r="E7" s="52" t="n">
        <v>700</v>
      </c>
      <c r="F7" s="53" t="n">
        <v>57.75</v>
      </c>
      <c r="G7" s="52" t="n">
        <v>7</v>
      </c>
      <c r="H7" s="54" t="n">
        <f aca="false">E7*F7</f>
        <v>40425</v>
      </c>
      <c r="I7" s="55" t="s">
        <v>65</v>
      </c>
      <c r="J7" s="6" t="s">
        <v>66</v>
      </c>
    </row>
    <row r="9" customFormat="false" ht="21.75" hidden="false" customHeight="true" outlineLevel="0" collapsed="false">
      <c r="G9" s="65" t="s">
        <v>76</v>
      </c>
      <c r="I9" s="47" t="n">
        <f aca="false">SUM(I3:I7)</f>
        <v>2450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2026-04-16T05:44:21Z</dcterms:created>
  <dc:creator>openpyxl</dc:creator>
  <dc:description/>
  <dc:language>en-US</dc:language>
  <cp:lastModifiedBy/>
  <dcterms:modified xsi:type="dcterms:W3CDTF">2026-04-16T05:44:21Z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