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73" t="inlineStr">
        <is>
          <t>2026-04-22</t>
        </is>
      </c>
      <c r="B2" s="774" t="n">
        <v>3</v>
      </c>
      <c r="C2" s="775" t="n">
        <v>303748.3059307933</v>
      </c>
      <c r="D2" s="776" t="n">
        <v>29448.30848187208</v>
      </c>
      <c r="E2" s="777" t="n">
        <v>274299.9974489212</v>
      </c>
      <c r="F2" s="778" t="n">
        <v>3748.305930793285</v>
      </c>
      <c r="G2" s="779" t="n">
        <v>0.01249435310264429</v>
      </c>
      <c r="H2" s="780" t="n">
        <v>0</v>
      </c>
      <c r="I2" s="781" t="n">
        <v>0</v>
      </c>
      <c r="J2" s="782" t="n">
        <v>10</v>
      </c>
      <c r="K2" s="783" t="n">
        <v>0</v>
      </c>
      <c r="L2" s="784" t="n">
        <v>0</v>
      </c>
    </row>
    <row r="3" ht="20" customHeight="1">
      <c r="A3" s="77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7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73" t="inlineStr">
        <is>
          <t>2026-04-29</t>
        </is>
      </c>
      <c r="B5" s="774" t="n">
        <v>2</v>
      </c>
      <c r="C5" s="775" t="n">
        <v>304153.8160982132</v>
      </c>
      <c r="D5" s="776" t="n">
        <v>18423.81789112091</v>
      </c>
      <c r="E5" s="777" t="n">
        <v>285729.9982070923</v>
      </c>
      <c r="F5" s="778" t="n">
        <v>4153.816098213196</v>
      </c>
      <c r="G5" s="779" t="n">
        <v>0.01384605366071065</v>
      </c>
      <c r="H5" s="780" t="n">
        <v>0</v>
      </c>
      <c r="I5" s="781" t="n">
        <v>0</v>
      </c>
      <c r="J5" s="782" t="n">
        <v>6</v>
      </c>
      <c r="K5" s="783" t="n">
        <v>0</v>
      </c>
      <c r="L5" s="784" t="n">
        <v>0</v>
      </c>
    </row>
    <row r="6" ht="20" customHeight="1">
      <c r="A6" s="773" t="inlineStr">
        <is>
          <t>2026-04-30</t>
        </is>
      </c>
      <c r="B6" s="774" t="n">
        <v>4</v>
      </c>
      <c r="C6" s="775" t="n">
        <v>302787.819642067</v>
      </c>
      <c r="D6" s="776" t="n">
        <v>18423.81789112091</v>
      </c>
      <c r="E6" s="777" t="n">
        <v>284364.001750946</v>
      </c>
      <c r="F6" s="778" t="n">
        <v>2787.819642066956</v>
      </c>
      <c r="G6" s="779" t="n">
        <v>0.009292732140223185</v>
      </c>
      <c r="H6" s="780" t="n">
        <v>0</v>
      </c>
      <c r="I6" s="781" t="n">
        <v>-0.004491136996634464</v>
      </c>
      <c r="J6" s="782" t="n">
        <v>6</v>
      </c>
      <c r="K6" s="783" t="n">
        <v>0</v>
      </c>
      <c r="L6" s="784" t="n">
        <v>0</v>
      </c>
    </row>
    <row r="7" ht="20" customHeight="1">
      <c r="A7" s="773" t="inlineStr">
        <is>
          <t>2026-05-01</t>
        </is>
      </c>
      <c r="B7" s="774" t="n">
        <v>5</v>
      </c>
      <c r="C7" s="775" t="n">
        <v>302787.819642067</v>
      </c>
      <c r="D7" s="776" t="n">
        <v>18423.81789112091</v>
      </c>
      <c r="E7" s="777" t="n">
        <v>284364.001750946</v>
      </c>
      <c r="F7" s="778" t="n">
        <v>2787.819642066956</v>
      </c>
      <c r="G7" s="779" t="n">
        <v>0.009292732140223185</v>
      </c>
      <c r="H7" s="780" t="n">
        <v>0</v>
      </c>
      <c r="I7" s="781" t="n">
        <v>-0.004491136996634464</v>
      </c>
      <c r="J7" s="782" t="n">
        <v>6</v>
      </c>
      <c r="K7" s="783" t="n">
        <v>0</v>
      </c>
      <c r="L7" s="784" t="n">
        <v>0</v>
      </c>
    </row>
    <row r="8" ht="20" customHeight="1">
      <c r="A8" s="773" t="inlineStr">
        <is>
          <t>2026-05-04</t>
        </is>
      </c>
      <c r="B8" s="774" t="n">
        <v>6</v>
      </c>
      <c r="C8" s="775" t="n">
        <v>302787.819642067</v>
      </c>
      <c r="D8" s="776" t="n">
        <v>18423.81789112091</v>
      </c>
      <c r="E8" s="777" t="n">
        <v>284364.001750946</v>
      </c>
      <c r="F8" s="778" t="n">
        <v>2787.819642066956</v>
      </c>
      <c r="G8" s="779" t="n">
        <v>0.009292732140223185</v>
      </c>
      <c r="H8" s="780" t="n">
        <v>0</v>
      </c>
      <c r="I8" s="781" t="n">
        <v>-0.004491136996634464</v>
      </c>
      <c r="J8" s="782" t="n">
        <v>6</v>
      </c>
      <c r="K8" s="783" t="n">
        <v>0</v>
      </c>
      <c r="L8" s="784" t="n">
        <v>0</v>
      </c>
    </row>
    <row r="9" ht="20" customHeight="1">
      <c r="A9" s="773" t="inlineStr">
        <is>
          <t>2026-05-05</t>
        </is>
      </c>
      <c r="B9" s="774" t="n">
        <v>7</v>
      </c>
      <c r="C9" s="775" t="n">
        <v>301062.819642067</v>
      </c>
      <c r="D9" s="776" t="n">
        <v>18423.81789112091</v>
      </c>
      <c r="E9" s="777" t="n">
        <v>282639.001750946</v>
      </c>
      <c r="F9" s="778" t="n">
        <v>1062.819642066956</v>
      </c>
      <c r="G9" s="779" t="n">
        <v>0.003542732140223185</v>
      </c>
      <c r="H9" s="780" t="n">
        <v>0</v>
      </c>
      <c r="I9" s="781" t="n">
        <v>-0.01016260948423589</v>
      </c>
      <c r="J9" s="782" t="n">
        <v>6</v>
      </c>
      <c r="K9" s="783" t="n">
        <v>0</v>
      </c>
      <c r="L9" s="784" t="n">
        <v>0</v>
      </c>
    </row>
    <row r="10" ht="20" customHeight="1">
      <c r="A10" s="77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73" t="inlineStr">
        <is>
          <t>2026-05-07</t>
        </is>
      </c>
      <c r="B11" s="774" t="n">
        <v>9</v>
      </c>
      <c r="C11" s="775" t="n">
        <v>308341.8176355362</v>
      </c>
      <c r="D11" s="776" t="n">
        <v>18423.81789112091</v>
      </c>
      <c r="E11" s="777" t="n">
        <v>289917.9997444153</v>
      </c>
      <c r="F11" s="778" t="n">
        <v>8341.817635536194</v>
      </c>
      <c r="G11" s="779" t="n">
        <v>0.02780605878512065</v>
      </c>
      <c r="H11" s="780" t="n">
        <v>0</v>
      </c>
      <c r="I11" s="781" t="n">
        <v>0</v>
      </c>
      <c r="J11" s="782" t="n">
        <v>6</v>
      </c>
      <c r="K11" s="783" t="n">
        <v>0</v>
      </c>
      <c r="L11" s="784" t="n">
        <v>0</v>
      </c>
    </row>
    <row r="12" ht="20" customHeight="1">
      <c r="A12" s="773" t="inlineStr">
        <is>
          <t>2026-05-08</t>
        </is>
      </c>
      <c r="B12" s="774" t="n">
        <v>10</v>
      </c>
      <c r="C12" s="775" t="n">
        <v>311587.818192482</v>
      </c>
      <c r="D12" s="776" t="n">
        <v>18423.81789112091</v>
      </c>
      <c r="E12" s="777" t="n">
        <v>293164.0003013611</v>
      </c>
      <c r="F12" s="778" t="n">
        <v>11587.81819248199</v>
      </c>
      <c r="G12" s="779" t="n">
        <v>0.03862606064160665</v>
      </c>
      <c r="H12" s="780" t="n">
        <v>0</v>
      </c>
      <c r="I12" s="781" t="n">
        <v>0</v>
      </c>
      <c r="J12" s="782" t="n">
        <v>6</v>
      </c>
      <c r="K12" s="783" t="n">
        <v>0</v>
      </c>
      <c r="L12" s="784" t="n">
        <v>0</v>
      </c>
    </row>
    <row r="13" ht="20" customHeight="1">
      <c r="A13" s="832" t="inlineStr">
        <is>
          <t>2026-05-11</t>
        </is>
      </c>
      <c r="B13" s="833" t="n">
        <v>11</v>
      </c>
      <c r="C13" s="834" t="n">
        <v>310489.1351679564</v>
      </c>
      <c r="D13" s="835" t="n">
        <v>48730.17694747448</v>
      </c>
      <c r="E13" s="836" t="n">
        <v>261758.9582204819</v>
      </c>
      <c r="F13" s="837" t="n">
        <v>10489.13516795635</v>
      </c>
      <c r="G13" s="838" t="n">
        <v>0.03496378389318784</v>
      </c>
      <c r="H13" s="839" t="n">
        <v>0</v>
      </c>
      <c r="I13" s="840" t="n">
        <v>-0.003526078236623923</v>
      </c>
      <c r="J13" s="841" t="n">
        <v>8</v>
      </c>
      <c r="K13" s="842" t="n">
        <v>0</v>
      </c>
      <c r="L13" s="84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44" t="inlineStr">
        <is>
          <t>Current Holdings  —  11 May 2026</t>
        </is>
      </c>
    </row>
    <row r="2" ht="22" customHeight="1">
      <c r="A2" s="845" t="inlineStr">
        <is>
          <t>Ticker</t>
        </is>
      </c>
      <c r="B2" s="845" t="inlineStr">
        <is>
          <t>Stock Name</t>
        </is>
      </c>
      <c r="C2" s="845" t="inlineStr">
        <is>
          <t>Shares</t>
        </is>
      </c>
      <c r="D2" s="845" t="inlineStr">
        <is>
          <t>Avg Cost (฿)</t>
        </is>
      </c>
      <c r="E2" s="845" t="inlineStr">
        <is>
          <t>Current Price (฿)</t>
        </is>
      </c>
      <c r="F2" s="845" t="inlineStr">
        <is>
          <t>Market Value (฿)</t>
        </is>
      </c>
      <c r="G2" s="845" t="inlineStr">
        <is>
          <t>Unrealised P&amp;L (฿)</t>
        </is>
      </c>
      <c r="H2" s="845" t="inlineStr">
        <is>
          <t>P&amp;L %</t>
        </is>
      </c>
      <c r="I2" s="845" t="inlineStr">
        <is>
          <t>Entry Date</t>
        </is>
      </c>
      <c r="J2" s="845" t="inlineStr">
        <is>
          <t>Comp Score</t>
        </is>
      </c>
      <c r="K2" s="845" t="inlineStr">
        <is>
          <t>Signal</t>
        </is>
      </c>
    </row>
    <row r="3" ht="20" customHeight="1">
      <c r="A3" s="846" t="inlineStr">
        <is>
          <t>CK.BK</t>
        </is>
      </c>
      <c r="B3" s="847" t="inlineStr">
        <is>
          <t>CK</t>
        </is>
      </c>
      <c r="C3" s="848" t="n">
        <v>2800</v>
      </c>
      <c r="D3" s="849" t="n">
        <v>16.5</v>
      </c>
      <c r="E3" s="850" t="n">
        <v>18.89999961853027</v>
      </c>
      <c r="F3" s="851">
        <f>C3*E3</f>
        <v/>
      </c>
      <c r="G3" s="852">
        <f>F3-C3*D3</f>
        <v/>
      </c>
      <c r="H3" s="853">
        <f>(E3-D3)/D3</f>
        <v/>
      </c>
      <c r="I3" s="854" t="inlineStr">
        <is>
          <t>2026-04-27</t>
        </is>
      </c>
      <c r="J3" s="855" t="n">
        <v>7.32</v>
      </c>
      <c r="K3" s="856" t="inlineStr">
        <is>
          <t>WATCH</t>
        </is>
      </c>
    </row>
    <row r="4" ht="20" customHeight="1">
      <c r="A4" s="846" t="inlineStr">
        <is>
          <t>WHA.BK</t>
        </is>
      </c>
      <c r="B4" s="847" t="inlineStr">
        <is>
          <t>WHA</t>
        </is>
      </c>
      <c r="C4" s="848" t="n">
        <v>10800</v>
      </c>
      <c r="D4" s="849" t="n">
        <v>4.38</v>
      </c>
      <c r="E4" s="850" t="n">
        <v>4.55620002746582</v>
      </c>
      <c r="F4" s="851">
        <f>C4*E4</f>
        <v/>
      </c>
      <c r="G4" s="852">
        <f>F4-C4*D4</f>
        <v/>
      </c>
      <c r="H4" s="853">
        <f>(E4-D4)/D4</f>
        <v/>
      </c>
      <c r="I4" s="854" t="inlineStr">
        <is>
          <t>2026-04-27</t>
        </is>
      </c>
      <c r="J4" s="857" t="n">
        <v>6.28</v>
      </c>
      <c r="K4" s="858" t="inlineStr">
        <is>
          <t>AVOID</t>
        </is>
      </c>
    </row>
    <row r="5" ht="20" customHeight="1">
      <c r="A5" s="846" t="inlineStr">
        <is>
          <t>AMATA.BK</t>
        </is>
      </c>
      <c r="B5" s="847" t="inlineStr">
        <is>
          <t>AMATA</t>
        </is>
      </c>
      <c r="C5" s="848" t="n">
        <v>2300</v>
      </c>
      <c r="D5" s="849" t="n">
        <v>20.3</v>
      </c>
      <c r="E5" s="850" t="n">
        <v>20.79999923706055</v>
      </c>
      <c r="F5" s="851">
        <f>C5*E5</f>
        <v/>
      </c>
      <c r="G5" s="852">
        <f>F5-C5*D5</f>
        <v/>
      </c>
      <c r="H5" s="853">
        <f>(E5-D5)/D5</f>
        <v/>
      </c>
      <c r="I5" s="854" t="inlineStr">
        <is>
          <t>2026-04-27</t>
        </is>
      </c>
      <c r="J5" s="859" t="n">
        <v>7.52</v>
      </c>
      <c r="K5" s="860" t="inlineStr">
        <is>
          <t>BUY</t>
        </is>
      </c>
    </row>
    <row r="6" ht="20" customHeight="1">
      <c r="A6" s="846" t="inlineStr">
        <is>
          <t>KTC.BK</t>
        </is>
      </c>
      <c r="B6" s="847" t="inlineStr">
        <is>
          <t>KTC</t>
        </is>
      </c>
      <c r="C6" s="848" t="n">
        <v>1600</v>
      </c>
      <c r="D6" s="849" t="n">
        <v>29.25</v>
      </c>
      <c r="E6" s="850" t="n">
        <v>29.75</v>
      </c>
      <c r="F6" s="851">
        <f>C6*E6</f>
        <v/>
      </c>
      <c r="G6" s="852">
        <f>F6-C6*D6</f>
        <v/>
      </c>
      <c r="H6" s="853">
        <f>(E6-D6)/D6</f>
        <v/>
      </c>
      <c r="I6" s="854" t="inlineStr">
        <is>
          <t>2026-04-27</t>
        </is>
      </c>
      <c r="J6" s="857" t="n">
        <v>5.88</v>
      </c>
      <c r="K6" s="858" t="inlineStr">
        <is>
          <t>AVOID</t>
        </is>
      </c>
    </row>
    <row r="7" ht="20" customHeight="1">
      <c r="A7" s="861" t="inlineStr">
        <is>
          <t>TIDLOR.BK</t>
        </is>
      </c>
      <c r="B7" s="862" t="inlineStr">
        <is>
          <t>TIDLOR</t>
        </is>
      </c>
      <c r="C7" s="863" t="n">
        <v>2700</v>
      </c>
      <c r="D7" s="864" t="n">
        <v>17.4</v>
      </c>
      <c r="E7" s="865" t="n">
        <v>17</v>
      </c>
      <c r="F7" s="866">
        <f>C7*E7</f>
        <v/>
      </c>
      <c r="G7" s="867">
        <f>F7-C7*D7</f>
        <v/>
      </c>
      <c r="H7" s="868">
        <f>(E7-D7)/D7</f>
        <v/>
      </c>
      <c r="I7" s="869" t="inlineStr">
        <is>
          <t>2026-04-27</t>
        </is>
      </c>
      <c r="J7" s="870" t="n">
        <v>5.68</v>
      </c>
      <c r="K7" s="871" t="inlineStr">
        <is>
          <t>AVOID</t>
        </is>
      </c>
    </row>
    <row r="8" ht="20" customHeight="1">
      <c r="A8" s="846" t="inlineStr">
        <is>
          <t>KGI.BK</t>
        </is>
      </c>
      <c r="B8" s="847" t="inlineStr">
        <is>
          <t>KGI</t>
        </is>
      </c>
      <c r="C8" s="848" t="n">
        <v>1500</v>
      </c>
      <c r="D8" s="849" t="n">
        <v>4.22</v>
      </c>
      <c r="E8" s="850" t="n">
        <v>4.28000020980835</v>
      </c>
      <c r="F8" s="851">
        <f>C8*E8</f>
        <v/>
      </c>
      <c r="G8" s="852">
        <f>F8-C8*D8</f>
        <v/>
      </c>
      <c r="H8" s="853">
        <f>(E8-D8)/D8</f>
        <v/>
      </c>
      <c r="I8" s="854" t="inlineStr">
        <is>
          <t>2026-05-08</t>
        </is>
      </c>
      <c r="J8" s="857" t="n">
        <v>6.32</v>
      </c>
      <c r="K8" s="858" t="inlineStr">
        <is>
          <t>AVOID</t>
        </is>
      </c>
    </row>
    <row r="9" ht="20" customHeight="1">
      <c r="A9" s="846" t="inlineStr">
        <is>
          <t>BTSGIF.BK</t>
        </is>
      </c>
      <c r="B9" s="847" t="inlineStr">
        <is>
          <t>BTSGIF</t>
        </is>
      </c>
      <c r="C9" s="848" t="n">
        <v>2300</v>
      </c>
      <c r="D9" s="849" t="n">
        <v>2.62</v>
      </c>
      <c r="E9" s="850" t="n">
        <v>2.640000104904175</v>
      </c>
      <c r="F9" s="851">
        <f>C9*E9</f>
        <v/>
      </c>
      <c r="G9" s="852">
        <f>F9-C9*D9</f>
        <v/>
      </c>
      <c r="H9" s="853">
        <f>(E9-D9)/D9</f>
        <v/>
      </c>
      <c r="I9" s="854" t="inlineStr">
        <is>
          <t>2026-05-08</t>
        </is>
      </c>
      <c r="J9" s="857" t="n">
        <v>5.48</v>
      </c>
      <c r="K9" s="858" t="inlineStr">
        <is>
          <t>AVOID</t>
        </is>
      </c>
    </row>
    <row r="10" ht="20" customHeight="1">
      <c r="A10" s="846" t="inlineStr">
        <is>
          <t>TU.BK</t>
        </is>
      </c>
      <c r="B10" s="847" t="inlineStr">
        <is>
          <t>TU</t>
        </is>
      </c>
      <c r="C10" s="848" t="n">
        <v>500</v>
      </c>
      <c r="D10" s="849" t="n">
        <v>11.6</v>
      </c>
      <c r="E10" s="850" t="n">
        <v>11.60000038146973</v>
      </c>
      <c r="F10" s="851">
        <f>C10*E10</f>
        <v/>
      </c>
      <c r="G10" s="852">
        <f>F10-C10*D10</f>
        <v/>
      </c>
      <c r="H10" s="853">
        <f>(E10-D10)/D10</f>
        <v/>
      </c>
      <c r="I10" s="854" t="inlineStr">
        <is>
          <t>2026-05-08</t>
        </is>
      </c>
      <c r="J10" s="857" t="n">
        <v>6.08</v>
      </c>
      <c r="K10" s="858" t="inlineStr">
        <is>
          <t>AVOID</t>
        </is>
      </c>
    </row>
    <row r="11" ht="22" customHeight="1">
      <c r="B11" s="872" t="inlineStr">
        <is>
          <t>TOTAL</t>
        </is>
      </c>
      <c r="F11" s="873">
        <f>SUM(F3:F10)</f>
        <v/>
      </c>
      <c r="G11" s="874">
        <f>SUM(G3:G10)</f>
        <v/>
      </c>
      <c r="H11" s="875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44" t="inlineStr">
        <is>
          <t>Today's Trades  —  11 May 2026</t>
        </is>
      </c>
    </row>
    <row r="3" ht="30" customHeight="1">
      <c r="A3" s="87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44" t="inlineStr">
        <is>
          <t>Complete Trade History  —  since 2026-04-27</t>
        </is>
      </c>
    </row>
    <row r="2" ht="22" customHeight="1">
      <c r="A2" s="845" t="inlineStr">
        <is>
          <t>Date</t>
        </is>
      </c>
      <c r="B2" s="845" t="inlineStr">
        <is>
          <t>Ticker</t>
        </is>
      </c>
      <c r="C2" s="845" t="inlineStr">
        <is>
          <t>Stock</t>
        </is>
      </c>
      <c r="D2" s="845" t="inlineStr">
        <is>
          <t>Action</t>
        </is>
      </c>
      <c r="E2" s="845" t="inlineStr">
        <is>
          <t>Shares</t>
        </is>
      </c>
      <c r="F2" s="845" t="inlineStr">
        <is>
          <t>Price (฿)</t>
        </is>
      </c>
      <c r="G2" s="845" t="inlineStr">
        <is>
          <t>Lots</t>
        </is>
      </c>
      <c r="H2" s="845" t="inlineStr">
        <is>
          <t>Value (฿)</t>
        </is>
      </c>
      <c r="I2" s="845" t="inlineStr">
        <is>
          <t>Realised P&amp;L (฿)</t>
        </is>
      </c>
      <c r="J2" s="845" t="inlineStr">
        <is>
          <t>Reason / Signal</t>
        </is>
      </c>
    </row>
    <row r="3" ht="17" customHeight="1">
      <c r="A3" s="877" t="inlineStr">
        <is>
          <t>2026-04-27</t>
        </is>
      </c>
      <c r="B3" s="878" t="inlineStr">
        <is>
          <t>AMATA.BK</t>
        </is>
      </c>
      <c r="C3" s="879" t="inlineStr">
        <is>
          <t>AMATA</t>
        </is>
      </c>
      <c r="D3" s="880" t="inlineStr">
        <is>
          <t>BUY</t>
        </is>
      </c>
      <c r="E3" s="881" t="n">
        <v>2300</v>
      </c>
      <c r="F3" s="882" t="n">
        <v>20.3</v>
      </c>
      <c r="G3" s="881" t="n">
        <v>23</v>
      </c>
      <c r="H3" s="883">
        <f>E3*F3</f>
        <v/>
      </c>
      <c r="I3" s="884" t="inlineStr">
        <is>
          <t>—</t>
        </is>
      </c>
      <c r="J3" s="885" t="inlineStr">
        <is>
          <t>BUY (Day 1)</t>
        </is>
      </c>
    </row>
    <row r="4" ht="17" customHeight="1">
      <c r="A4" s="886" t="inlineStr">
        <is>
          <t>2026-04-27</t>
        </is>
      </c>
      <c r="B4" s="887" t="inlineStr">
        <is>
          <t>CK.BK</t>
        </is>
      </c>
      <c r="C4" s="888" t="inlineStr">
        <is>
          <t>CK</t>
        </is>
      </c>
      <c r="D4" s="880" t="inlineStr">
        <is>
          <t>BUY</t>
        </is>
      </c>
      <c r="E4" s="889" t="n">
        <v>2800</v>
      </c>
      <c r="F4" s="890" t="n">
        <v>16.5</v>
      </c>
      <c r="G4" s="889" t="n">
        <v>28</v>
      </c>
      <c r="H4" s="891">
        <f>E4*F4</f>
        <v/>
      </c>
      <c r="I4" s="892" t="inlineStr">
        <is>
          <t>—</t>
        </is>
      </c>
      <c r="J4" s="893" t="inlineStr">
        <is>
          <t>BUY (Day 1)</t>
        </is>
      </c>
    </row>
    <row r="5" ht="17" customHeight="1">
      <c r="A5" s="877" t="inlineStr">
        <is>
          <t>2026-04-27</t>
        </is>
      </c>
      <c r="B5" s="878" t="inlineStr">
        <is>
          <t>TIDLOR.BK</t>
        </is>
      </c>
      <c r="C5" s="879" t="inlineStr">
        <is>
          <t>TIDLOR</t>
        </is>
      </c>
      <c r="D5" s="880" t="inlineStr">
        <is>
          <t>BUY</t>
        </is>
      </c>
      <c r="E5" s="881" t="n">
        <v>2700</v>
      </c>
      <c r="F5" s="882" t="n">
        <v>17.4</v>
      </c>
      <c r="G5" s="881" t="n">
        <v>27</v>
      </c>
      <c r="H5" s="883">
        <f>E5*F5</f>
        <v/>
      </c>
      <c r="I5" s="884" t="inlineStr">
        <is>
          <t>—</t>
        </is>
      </c>
      <c r="J5" s="885" t="inlineStr">
        <is>
          <t>BUY (Day 1)</t>
        </is>
      </c>
    </row>
    <row r="6" ht="17" customHeight="1">
      <c r="A6" s="886" t="inlineStr">
        <is>
          <t>2026-04-27</t>
        </is>
      </c>
      <c r="B6" s="887" t="inlineStr">
        <is>
          <t>WHA.BK</t>
        </is>
      </c>
      <c r="C6" s="888" t="inlineStr">
        <is>
          <t>WHA</t>
        </is>
      </c>
      <c r="D6" s="880" t="inlineStr">
        <is>
          <t>BUY</t>
        </is>
      </c>
      <c r="E6" s="889" t="n">
        <v>10800</v>
      </c>
      <c r="F6" s="890" t="n">
        <v>4.38</v>
      </c>
      <c r="G6" s="889" t="n">
        <v>108</v>
      </c>
      <c r="H6" s="891">
        <f>E6*F6</f>
        <v/>
      </c>
      <c r="I6" s="892" t="inlineStr">
        <is>
          <t>—</t>
        </is>
      </c>
      <c r="J6" s="893" t="inlineStr">
        <is>
          <t>BUY (Day 1)</t>
        </is>
      </c>
    </row>
    <row r="7" ht="17" customHeight="1">
      <c r="A7" s="877" t="inlineStr">
        <is>
          <t>2026-04-27</t>
        </is>
      </c>
      <c r="B7" s="878" t="inlineStr">
        <is>
          <t>KTC.BK</t>
        </is>
      </c>
      <c r="C7" s="879" t="inlineStr">
        <is>
          <t>KTC</t>
        </is>
      </c>
      <c r="D7" s="880" t="inlineStr">
        <is>
          <t>BUY</t>
        </is>
      </c>
      <c r="E7" s="881" t="n">
        <v>1600</v>
      </c>
      <c r="F7" s="882" t="n">
        <v>29.25</v>
      </c>
      <c r="G7" s="881" t="n">
        <v>16</v>
      </c>
      <c r="H7" s="883">
        <f>E7*F7</f>
        <v/>
      </c>
      <c r="I7" s="884" t="inlineStr">
        <is>
          <t>—</t>
        </is>
      </c>
      <c r="J7" s="885" t="inlineStr">
        <is>
          <t>BUY (Day 1)</t>
        </is>
      </c>
    </row>
    <row r="8" ht="17" customHeight="1">
      <c r="A8" s="886" t="inlineStr">
        <is>
          <t>2026-04-27</t>
        </is>
      </c>
      <c r="B8" s="887" t="inlineStr">
        <is>
          <t>JASIF.BK</t>
        </is>
      </c>
      <c r="C8" s="888" t="inlineStr">
        <is>
          <t>JASIF</t>
        </is>
      </c>
      <c r="D8" s="880" t="inlineStr">
        <is>
          <t>BUY</t>
        </is>
      </c>
      <c r="E8" s="889" t="n">
        <v>7000</v>
      </c>
      <c r="F8" s="890" t="n">
        <v>6.7</v>
      </c>
      <c r="G8" s="889" t="n">
        <v>70</v>
      </c>
      <c r="H8" s="891">
        <f>E8*F8</f>
        <v/>
      </c>
      <c r="I8" s="892" t="inlineStr">
        <is>
          <t>—</t>
        </is>
      </c>
      <c r="J8" s="893" t="inlineStr">
        <is>
          <t>BUY (Day 1)</t>
        </is>
      </c>
    </row>
    <row r="9" ht="17" customHeight="1">
      <c r="A9" s="877" t="inlineStr">
        <is>
          <t>2026-05-05</t>
        </is>
      </c>
      <c r="B9" s="878" t="inlineStr">
        <is>
          <t>AMATA.BK</t>
        </is>
      </c>
      <c r="C9" s="879" t="inlineStr">
        <is>
          <t>AMATA</t>
        </is>
      </c>
      <c r="D9" s="894" t="inlineStr">
        <is>
          <t>DIVIDEND</t>
        </is>
      </c>
      <c r="E9" s="881" t="n">
        <v>2300</v>
      </c>
      <c r="F9" s="882" t="n">
        <v>0.75</v>
      </c>
      <c r="G9" s="881" t="n">
        <v>23</v>
      </c>
      <c r="H9" s="883">
        <f>E9*F9</f>
        <v/>
      </c>
      <c r="I9" s="895" t="n">
        <v>1725</v>
      </c>
      <c r="J9" s="885" t="inlineStr">
        <is>
          <t>Dividend ฿0.7500/share</t>
        </is>
      </c>
    </row>
    <row r="10" ht="17" customHeight="1">
      <c r="A10" s="886" t="inlineStr">
        <is>
          <t>2026-05-08</t>
        </is>
      </c>
      <c r="B10" s="887" t="inlineStr">
        <is>
          <t>JASIF.BK</t>
        </is>
      </c>
      <c r="C10" s="888" t="inlineStr">
        <is>
          <t>JASIF</t>
        </is>
      </c>
      <c r="D10" s="894" t="inlineStr">
        <is>
          <t>SELL</t>
        </is>
      </c>
      <c r="E10" s="889" t="n">
        <v>7000</v>
      </c>
      <c r="F10" s="890" t="n">
        <v>6.7</v>
      </c>
      <c r="G10" s="889" t="n">
        <v>70</v>
      </c>
      <c r="H10" s="891">
        <f>E10*F10</f>
        <v/>
      </c>
      <c r="I10" s="896" t="n">
        <v>-234.5</v>
      </c>
      <c r="J10" s="893" t="inlineStr">
        <is>
          <t>SELL</t>
        </is>
      </c>
    </row>
    <row r="11" ht="17" customHeight="1">
      <c r="A11" s="877" t="inlineStr">
        <is>
          <t>2026-05-08</t>
        </is>
      </c>
      <c r="B11" s="878" t="inlineStr">
        <is>
          <t>KGI.BK</t>
        </is>
      </c>
      <c r="C11" s="879" t="inlineStr">
        <is>
          <t>KGI</t>
        </is>
      </c>
      <c r="D11" s="880" t="inlineStr">
        <is>
          <t>BUY</t>
        </is>
      </c>
      <c r="E11" s="881" t="n">
        <v>1500</v>
      </c>
      <c r="F11" s="882" t="n">
        <v>4.22</v>
      </c>
      <c r="G11" s="881" t="n">
        <v>15</v>
      </c>
      <c r="H11" s="883">
        <f>E11*F11</f>
        <v/>
      </c>
      <c r="I11" s="884" t="inlineStr">
        <is>
          <t>—</t>
        </is>
      </c>
      <c r="J11" s="885" t="inlineStr">
        <is>
          <t>BUY</t>
        </is>
      </c>
    </row>
    <row r="12" ht="17" customHeight="1">
      <c r="A12" s="886" t="inlineStr">
        <is>
          <t>2026-05-08</t>
        </is>
      </c>
      <c r="B12" s="887" t="inlineStr">
        <is>
          <t>TU.BK</t>
        </is>
      </c>
      <c r="C12" s="888" t="inlineStr">
        <is>
          <t>TU</t>
        </is>
      </c>
      <c r="D12" s="880" t="inlineStr">
        <is>
          <t>BUY</t>
        </is>
      </c>
      <c r="E12" s="889" t="n">
        <v>500</v>
      </c>
      <c r="F12" s="890" t="n">
        <v>11.6</v>
      </c>
      <c r="G12" s="889" t="n">
        <v>5</v>
      </c>
      <c r="H12" s="891">
        <f>E12*F12</f>
        <v/>
      </c>
      <c r="I12" s="892" t="inlineStr">
        <is>
          <t>—</t>
        </is>
      </c>
      <c r="J12" s="893" t="inlineStr">
        <is>
          <t>BUY</t>
        </is>
      </c>
    </row>
    <row r="13" ht="17" customHeight="1">
      <c r="A13" s="877" t="inlineStr">
        <is>
          <t>2026-05-08</t>
        </is>
      </c>
      <c r="B13" s="878" t="inlineStr">
        <is>
          <t>BTSGIF.BK</t>
        </is>
      </c>
      <c r="C13" s="879" t="inlineStr">
        <is>
          <t>BTSGIF</t>
        </is>
      </c>
      <c r="D13" s="880" t="inlineStr">
        <is>
          <t>BUY</t>
        </is>
      </c>
      <c r="E13" s="881" t="n">
        <v>2300</v>
      </c>
      <c r="F13" s="882" t="n">
        <v>2.62</v>
      </c>
      <c r="G13" s="881" t="n">
        <v>23</v>
      </c>
      <c r="H13" s="883">
        <f>E13*F13</f>
        <v/>
      </c>
      <c r="I13" s="884" t="inlineStr">
        <is>
          <t>—</t>
        </is>
      </c>
      <c r="J13" s="885" t="inlineStr">
        <is>
          <t>BUY</t>
        </is>
      </c>
    </row>
    <row r="15" ht="22" customHeight="1">
      <c r="G15" s="52" t="inlineStr">
        <is>
          <t>TOTAL TRADES</t>
        </is>
      </c>
      <c r="H15" s="897">
        <f>SUM(H3:H13)</f>
        <v/>
      </c>
      <c r="I15" s="897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2026-05-11T02:40:24Z</dcterms:modified>
</cp:coreProperties>
</file>