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Performance" sheetId="1" state="visible" r:id="rId1"/>
    <sheet name="Holdings" sheetId="2" state="visible" r:id="rId2"/>
    <sheet name="Today's Trades" sheetId="3" state="visible" r:id="rId3"/>
    <sheet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8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251" t="inlineStr">
        <is>
          <t>2026-04-22</t>
        </is>
      </c>
      <c r="B2" s="252" t="n">
        <v>3</v>
      </c>
      <c r="C2" s="253" t="n">
        <v>303748.3059307933</v>
      </c>
      <c r="D2" s="254" t="n">
        <v>29448.30848187208</v>
      </c>
      <c r="E2" s="255" t="n">
        <v>274299.9974489212</v>
      </c>
      <c r="F2" s="256" t="n">
        <v>3748.305930793285</v>
      </c>
      <c r="G2" s="257" t="n">
        <v>0.01249435310264429</v>
      </c>
      <c r="H2" s="258" t="n">
        <v>0</v>
      </c>
      <c r="I2" s="259" t="n">
        <v>0</v>
      </c>
      <c r="J2" s="260" t="n">
        <v>10</v>
      </c>
      <c r="K2" s="261" t="n">
        <v>0</v>
      </c>
      <c r="L2" s="262" t="n">
        <v>0</v>
      </c>
    </row>
    <row r="3" ht="20" customHeight="1">
      <c r="A3" s="251" t="inlineStr">
        <is>
          <t>2026-04-23</t>
        </is>
      </c>
      <c r="B3" s="190" t="n">
        <v>4</v>
      </c>
      <c r="C3" s="191" t="n">
        <v>299325.3084818721</v>
      </c>
      <c r="D3" s="192" t="n">
        <v>29448.30848187208</v>
      </c>
      <c r="E3" s="193" t="n">
        <v>269877</v>
      </c>
      <c r="F3" s="194" t="n">
        <v>-674.6915181279182</v>
      </c>
      <c r="G3" s="195" t="n">
        <v>-0.002248971727093061</v>
      </c>
      <c r="H3" s="196" t="n">
        <v>0</v>
      </c>
      <c r="I3" s="197" t="n">
        <v>-0.01456138968534346</v>
      </c>
      <c r="J3" s="198" t="n">
        <v>10</v>
      </c>
      <c r="K3" s="199" t="n">
        <v>0</v>
      </c>
      <c r="L3" s="200" t="n">
        <v>0</v>
      </c>
    </row>
    <row r="4" ht="20" customHeight="1">
      <c r="A4" s="251" t="inlineStr">
        <is>
          <t>2026-04-24</t>
        </is>
      </c>
      <c r="B4" s="190" t="n">
        <v>5</v>
      </c>
      <c r="C4" s="191" t="n">
        <v>299017.3066517711</v>
      </c>
      <c r="D4" s="192" t="n">
        <v>29448.30848187208</v>
      </c>
      <c r="E4" s="193" t="n">
        <v>269568.998169899</v>
      </c>
      <c r="F4" s="194" t="n">
        <v>-982.6933482289314</v>
      </c>
      <c r="G4" s="195" t="n">
        <v>-0.003275644494096438</v>
      </c>
      <c r="H4" s="196" t="n">
        <v>0</v>
      </c>
      <c r="I4" s="197" t="n">
        <v>-0.01557539313519707</v>
      </c>
      <c r="J4" s="198" t="n">
        <v>10</v>
      </c>
      <c r="K4" s="199" t="n">
        <v>0</v>
      </c>
      <c r="L4" s="200" t="n">
        <v>0</v>
      </c>
    </row>
    <row r="5" ht="20" customHeight="1">
      <c r="A5" s="251" t="inlineStr">
        <is>
          <t>2026-04-28</t>
        </is>
      </c>
      <c r="B5" s="252" t="n">
        <v>2</v>
      </c>
      <c r="C5" s="253" t="n">
        <v>300229.8165025711</v>
      </c>
      <c r="D5" s="254" t="n">
        <v>18423.81789112091</v>
      </c>
      <c r="E5" s="255" t="n">
        <v>281805.9986114502</v>
      </c>
      <c r="F5" s="256" t="n">
        <v>229.816502571106</v>
      </c>
      <c r="G5" s="257" t="n">
        <v>0.0007660550085703531</v>
      </c>
      <c r="H5" s="258" t="n">
        <v>0</v>
      </c>
      <c r="I5" s="259" t="n">
        <v>0</v>
      </c>
      <c r="J5" s="260" t="n">
        <v>6</v>
      </c>
      <c r="K5" s="261" t="n">
        <v>0</v>
      </c>
      <c r="L5" s="262" t="n">
        <v>0</v>
      </c>
    </row>
    <row r="6" ht="20" customHeight="1">
      <c r="A6" s="314" t="inlineStr">
        <is>
          <t>2026-04-29</t>
        </is>
      </c>
      <c r="B6" s="315" t="n">
        <v>3</v>
      </c>
      <c r="C6" s="316" t="n">
        <v>298807.8158082962</v>
      </c>
      <c r="D6" s="317" t="n">
        <v>18423.81789112091</v>
      </c>
      <c r="E6" s="318" t="n">
        <v>280383.9979171753</v>
      </c>
      <c r="F6" s="319" t="n">
        <v>-1192.184191703796</v>
      </c>
      <c r="G6" s="320" t="n">
        <v>-0.003973947305679322</v>
      </c>
      <c r="H6" s="321" t="n">
        <v>0</v>
      </c>
      <c r="I6" s="322" t="n">
        <v>-0.004736373991231229</v>
      </c>
      <c r="J6" s="323" t="n">
        <v>6</v>
      </c>
      <c r="K6" s="324" t="n">
        <v>0</v>
      </c>
      <c r="L6" s="325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326" t="inlineStr">
        <is>
          <t>Current Holdings  —  29 Apr 2026</t>
        </is>
      </c>
    </row>
    <row r="2" ht="22" customHeight="1">
      <c r="A2" s="327" t="inlineStr">
        <is>
          <t>Ticker</t>
        </is>
      </c>
      <c r="B2" s="327" t="inlineStr">
        <is>
          <t>Stock Name</t>
        </is>
      </c>
      <c r="C2" s="327" t="inlineStr">
        <is>
          <t>Shares</t>
        </is>
      </c>
      <c r="D2" s="327" t="inlineStr">
        <is>
          <t>Avg Cost (฿)</t>
        </is>
      </c>
      <c r="E2" s="327" t="inlineStr">
        <is>
          <t>Current Price (฿)</t>
        </is>
      </c>
      <c r="F2" s="327" t="inlineStr">
        <is>
          <t>Market Value (฿)</t>
        </is>
      </c>
      <c r="G2" s="327" t="inlineStr">
        <is>
          <t>Unrealised P&amp;L (฿)</t>
        </is>
      </c>
      <c r="H2" s="327" t="inlineStr">
        <is>
          <t>P&amp;L %</t>
        </is>
      </c>
      <c r="I2" s="327" t="inlineStr">
        <is>
          <t>Entry Date</t>
        </is>
      </c>
      <c r="J2" s="327" t="inlineStr">
        <is>
          <t>Comp Score</t>
        </is>
      </c>
      <c r="K2" s="327" t="inlineStr">
        <is>
          <t>Signal</t>
        </is>
      </c>
    </row>
    <row r="3" ht="20" customHeight="1">
      <c r="A3" s="328" t="inlineStr">
        <is>
          <t>WHA.BK</t>
        </is>
      </c>
      <c r="B3" s="329" t="inlineStr">
        <is>
          <t>WHA</t>
        </is>
      </c>
      <c r="C3" s="330" t="n">
        <v>10800</v>
      </c>
      <c r="D3" s="331" t="n">
        <v>4.38</v>
      </c>
      <c r="E3" s="332" t="n">
        <v>4.380000114440918</v>
      </c>
      <c r="F3" s="333">
        <f>C3*E3</f>
        <v/>
      </c>
      <c r="G3" s="334">
        <f>F3-C3*D3</f>
        <v/>
      </c>
      <c r="H3" s="335">
        <f>(E3-D3)/D3</f>
        <v/>
      </c>
      <c r="I3" s="336" t="inlineStr">
        <is>
          <t>2026-04-27</t>
        </is>
      </c>
      <c r="J3" s="337" t="n">
        <v>6.32</v>
      </c>
      <c r="K3" s="338" t="inlineStr">
        <is>
          <t>AVOID</t>
        </is>
      </c>
    </row>
    <row r="4" ht="20" customHeight="1">
      <c r="A4" s="328" t="inlineStr">
        <is>
          <t>JASIF.BK</t>
        </is>
      </c>
      <c r="B4" s="329" t="inlineStr">
        <is>
          <t>JASIF</t>
        </is>
      </c>
      <c r="C4" s="330" t="n">
        <v>7000</v>
      </c>
      <c r="D4" s="331" t="n">
        <v>6.7</v>
      </c>
      <c r="E4" s="332" t="n">
        <v>6.75</v>
      </c>
      <c r="F4" s="333">
        <f>C4*E4</f>
        <v/>
      </c>
      <c r="G4" s="334">
        <f>F4-C4*D4</f>
        <v/>
      </c>
      <c r="H4" s="335">
        <f>(E4-D4)/D4</f>
        <v/>
      </c>
      <c r="I4" s="336" t="inlineStr">
        <is>
          <t>2026-04-27</t>
        </is>
      </c>
      <c r="J4" s="337" t="n">
        <v>5.48</v>
      </c>
      <c r="K4" s="338" t="inlineStr">
        <is>
          <t>AVOID</t>
        </is>
      </c>
    </row>
    <row r="5" ht="20" customHeight="1">
      <c r="A5" s="328" t="inlineStr">
        <is>
          <t>KTC.BK</t>
        </is>
      </c>
      <c r="B5" s="329" t="inlineStr">
        <is>
          <t>KTC</t>
        </is>
      </c>
      <c r="C5" s="330" t="n">
        <v>1600</v>
      </c>
      <c r="D5" s="331" t="n">
        <v>29.25</v>
      </c>
      <c r="E5" s="332" t="n">
        <v>29.5</v>
      </c>
      <c r="F5" s="333">
        <f>C5*E5</f>
        <v/>
      </c>
      <c r="G5" s="334">
        <f>F5-C5*D5</f>
        <v/>
      </c>
      <c r="H5" s="335">
        <f>(E5-D5)/D5</f>
        <v/>
      </c>
      <c r="I5" s="336" t="inlineStr">
        <is>
          <t>2026-04-27</t>
        </is>
      </c>
      <c r="J5" s="339" t="n">
        <v>6.52</v>
      </c>
      <c r="K5" s="340" t="inlineStr">
        <is>
          <t>WEAK</t>
        </is>
      </c>
    </row>
    <row r="6" ht="20" customHeight="1">
      <c r="A6" s="328" t="inlineStr">
        <is>
          <t>CK.BK</t>
        </is>
      </c>
      <c r="B6" s="329" t="inlineStr">
        <is>
          <t>CK</t>
        </is>
      </c>
      <c r="C6" s="330" t="n">
        <v>2800</v>
      </c>
      <c r="D6" s="331" t="n">
        <v>16.5</v>
      </c>
      <c r="E6" s="332" t="n">
        <v>16.79999923706055</v>
      </c>
      <c r="F6" s="333">
        <f>C6*E6</f>
        <v/>
      </c>
      <c r="G6" s="334">
        <f>F6-C6*D6</f>
        <v/>
      </c>
      <c r="H6" s="335">
        <f>(E6-D6)/D6</f>
        <v/>
      </c>
      <c r="I6" s="336" t="inlineStr">
        <is>
          <t>2026-04-27</t>
        </is>
      </c>
      <c r="J6" s="339" t="n">
        <v>6.72</v>
      </c>
      <c r="K6" s="340" t="inlineStr">
        <is>
          <t>WEAK</t>
        </is>
      </c>
    </row>
    <row r="7" ht="20" customHeight="1">
      <c r="A7" s="341" t="inlineStr">
        <is>
          <t>AMATA.BK</t>
        </is>
      </c>
      <c r="B7" s="342" t="inlineStr">
        <is>
          <t>AMATA</t>
        </is>
      </c>
      <c r="C7" s="343" t="n">
        <v>2300</v>
      </c>
      <c r="D7" s="344" t="n">
        <v>20.3</v>
      </c>
      <c r="E7" s="345" t="n">
        <v>20.10000038146973</v>
      </c>
      <c r="F7" s="346">
        <f>C7*E7</f>
        <v/>
      </c>
      <c r="G7" s="347">
        <f>F7-C7*D7</f>
        <v/>
      </c>
      <c r="H7" s="348">
        <f>(E7-D7)/D7</f>
        <v/>
      </c>
      <c r="I7" s="349" t="inlineStr">
        <is>
          <t>2026-04-27</t>
        </is>
      </c>
      <c r="J7" s="350" t="n">
        <v>7.16</v>
      </c>
      <c r="K7" s="351" t="inlineStr">
        <is>
          <t>WEAK</t>
        </is>
      </c>
    </row>
    <row r="8" ht="20" customHeight="1">
      <c r="A8" s="352" t="inlineStr">
        <is>
          <t>TIDLOR.BK</t>
        </is>
      </c>
      <c r="B8" s="353" t="inlineStr">
        <is>
          <t>TIDLOR</t>
        </is>
      </c>
      <c r="C8" s="354" t="n">
        <v>2700</v>
      </c>
      <c r="D8" s="355" t="n">
        <v>17.4</v>
      </c>
      <c r="E8" s="356" t="n">
        <v>16.79999923706055</v>
      </c>
      <c r="F8" s="357">
        <f>C8*E8</f>
        <v/>
      </c>
      <c r="G8" s="358">
        <f>F8-C8*D8</f>
        <v/>
      </c>
      <c r="H8" s="359">
        <f>(E8-D8)/D8</f>
        <v/>
      </c>
      <c r="I8" s="360" t="inlineStr">
        <is>
          <t>2026-04-27</t>
        </is>
      </c>
      <c r="J8" s="361" t="n">
        <v>5.12</v>
      </c>
      <c r="K8" s="362" t="inlineStr">
        <is>
          <t>AVOID</t>
        </is>
      </c>
    </row>
    <row r="9" ht="22" customHeight="1">
      <c r="B9" s="363" t="inlineStr">
        <is>
          <t>TOTAL</t>
        </is>
      </c>
      <c r="F9" s="364">
        <f>SUM(F3:F8)</f>
        <v/>
      </c>
      <c r="G9" s="365">
        <f>SUM(G3:G8)</f>
        <v/>
      </c>
      <c r="H9" s="366">
        <f>G9/SUMPRODUCT(C3:C8,D3:D8)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326" t="inlineStr">
        <is>
          <t>Today's Trades  —  29 Apr 2026</t>
        </is>
      </c>
    </row>
    <row r="3" ht="30" customHeight="1">
      <c r="A3" s="367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10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326" t="inlineStr">
        <is>
          <t>Complete Trade History  —  since 2026-04-27</t>
        </is>
      </c>
    </row>
    <row r="2" ht="22" customHeight="1">
      <c r="A2" s="327" t="inlineStr">
        <is>
          <t>Date</t>
        </is>
      </c>
      <c r="B2" s="327" t="inlineStr">
        <is>
          <t>Ticker</t>
        </is>
      </c>
      <c r="C2" s="327" t="inlineStr">
        <is>
          <t>Stock</t>
        </is>
      </c>
      <c r="D2" s="327" t="inlineStr">
        <is>
          <t>Action</t>
        </is>
      </c>
      <c r="E2" s="327" t="inlineStr">
        <is>
          <t>Shares</t>
        </is>
      </c>
      <c r="F2" s="327" t="inlineStr">
        <is>
          <t>Price (฿)</t>
        </is>
      </c>
      <c r="G2" s="327" t="inlineStr">
        <is>
          <t>Lots</t>
        </is>
      </c>
      <c r="H2" s="327" t="inlineStr">
        <is>
          <t>Value (฿)</t>
        </is>
      </c>
      <c r="I2" s="327" t="inlineStr">
        <is>
          <t>Realised P&amp;L (฿)</t>
        </is>
      </c>
      <c r="J2" s="327" t="inlineStr">
        <is>
          <t>Reason / Signal</t>
        </is>
      </c>
    </row>
    <row r="3" ht="17" customHeight="1">
      <c r="A3" s="368" t="inlineStr">
        <is>
          <t>2026-04-27</t>
        </is>
      </c>
      <c r="B3" s="369" t="inlineStr">
        <is>
          <t>AMATA.BK</t>
        </is>
      </c>
      <c r="C3" s="370" t="inlineStr">
        <is>
          <t>AMATA</t>
        </is>
      </c>
      <c r="D3" s="371" t="inlineStr">
        <is>
          <t>BUY</t>
        </is>
      </c>
      <c r="E3" s="372" t="n">
        <v>2300</v>
      </c>
      <c r="F3" s="373" t="n">
        <v>20.3</v>
      </c>
      <c r="G3" s="372" t="n">
        <v>23</v>
      </c>
      <c r="H3" s="374">
        <f>E3*F3</f>
        <v/>
      </c>
      <c r="I3" s="375" t="inlineStr">
        <is>
          <t>—</t>
        </is>
      </c>
      <c r="J3" s="376" t="inlineStr">
        <is>
          <t>BUY (Day 1)</t>
        </is>
      </c>
    </row>
    <row r="4" ht="17" customHeight="1">
      <c r="A4" s="377" t="inlineStr">
        <is>
          <t>2026-04-27</t>
        </is>
      </c>
      <c r="B4" s="378" t="inlineStr">
        <is>
          <t>CK.BK</t>
        </is>
      </c>
      <c r="C4" s="342" t="inlineStr">
        <is>
          <t>CK</t>
        </is>
      </c>
      <c r="D4" s="371" t="inlineStr">
        <is>
          <t>BUY</t>
        </is>
      </c>
      <c r="E4" s="343" t="n">
        <v>2800</v>
      </c>
      <c r="F4" s="344" t="n">
        <v>16.5</v>
      </c>
      <c r="G4" s="343" t="n">
        <v>28</v>
      </c>
      <c r="H4" s="346">
        <f>E4*F4</f>
        <v/>
      </c>
      <c r="I4" s="379" t="inlineStr">
        <is>
          <t>—</t>
        </is>
      </c>
      <c r="J4" s="380" t="inlineStr">
        <is>
          <t>BUY (Day 1)</t>
        </is>
      </c>
    </row>
    <row r="5" ht="17" customHeight="1">
      <c r="A5" s="368" t="inlineStr">
        <is>
          <t>2026-04-27</t>
        </is>
      </c>
      <c r="B5" s="369" t="inlineStr">
        <is>
          <t>TIDLOR.BK</t>
        </is>
      </c>
      <c r="C5" s="370" t="inlineStr">
        <is>
          <t>TIDLOR</t>
        </is>
      </c>
      <c r="D5" s="371" t="inlineStr">
        <is>
          <t>BUY</t>
        </is>
      </c>
      <c r="E5" s="372" t="n">
        <v>2700</v>
      </c>
      <c r="F5" s="373" t="n">
        <v>17.4</v>
      </c>
      <c r="G5" s="372" t="n">
        <v>27</v>
      </c>
      <c r="H5" s="374">
        <f>E5*F5</f>
        <v/>
      </c>
      <c r="I5" s="375" t="inlineStr">
        <is>
          <t>—</t>
        </is>
      </c>
      <c r="J5" s="376" t="inlineStr">
        <is>
          <t>BUY (Day 1)</t>
        </is>
      </c>
    </row>
    <row r="6" ht="17" customHeight="1">
      <c r="A6" s="377" t="inlineStr">
        <is>
          <t>2026-04-27</t>
        </is>
      </c>
      <c r="B6" s="378" t="inlineStr">
        <is>
          <t>WHA.BK</t>
        </is>
      </c>
      <c r="C6" s="342" t="inlineStr">
        <is>
          <t>WHA</t>
        </is>
      </c>
      <c r="D6" s="371" t="inlineStr">
        <is>
          <t>BUY</t>
        </is>
      </c>
      <c r="E6" s="343" t="n">
        <v>10800</v>
      </c>
      <c r="F6" s="344" t="n">
        <v>4.38</v>
      </c>
      <c r="G6" s="343" t="n">
        <v>108</v>
      </c>
      <c r="H6" s="346">
        <f>E6*F6</f>
        <v/>
      </c>
      <c r="I6" s="379" t="inlineStr">
        <is>
          <t>—</t>
        </is>
      </c>
      <c r="J6" s="380" t="inlineStr">
        <is>
          <t>BUY (Day 1)</t>
        </is>
      </c>
    </row>
    <row r="7" ht="17" customHeight="1">
      <c r="A7" s="368" t="inlineStr">
        <is>
          <t>2026-04-27</t>
        </is>
      </c>
      <c r="B7" s="369" t="inlineStr">
        <is>
          <t>KTC.BK</t>
        </is>
      </c>
      <c r="C7" s="370" t="inlineStr">
        <is>
          <t>KTC</t>
        </is>
      </c>
      <c r="D7" s="371" t="inlineStr">
        <is>
          <t>BUY</t>
        </is>
      </c>
      <c r="E7" s="372" t="n">
        <v>1600</v>
      </c>
      <c r="F7" s="373" t="n">
        <v>29.25</v>
      </c>
      <c r="G7" s="372" t="n">
        <v>16</v>
      </c>
      <c r="H7" s="374">
        <f>E7*F7</f>
        <v/>
      </c>
      <c r="I7" s="375" t="inlineStr">
        <is>
          <t>—</t>
        </is>
      </c>
      <c r="J7" s="376" t="inlineStr">
        <is>
          <t>BUY (Day 1)</t>
        </is>
      </c>
    </row>
    <row r="8" ht="17" customHeight="1">
      <c r="A8" s="377" t="inlineStr">
        <is>
          <t>2026-04-27</t>
        </is>
      </c>
      <c r="B8" s="378" t="inlineStr">
        <is>
          <t>JASIF.BK</t>
        </is>
      </c>
      <c r="C8" s="342" t="inlineStr">
        <is>
          <t>JASIF</t>
        </is>
      </c>
      <c r="D8" s="371" t="inlineStr">
        <is>
          <t>BUY</t>
        </is>
      </c>
      <c r="E8" s="343" t="n">
        <v>7000</v>
      </c>
      <c r="F8" s="344" t="n">
        <v>6.7</v>
      </c>
      <c r="G8" s="343" t="n">
        <v>70</v>
      </c>
      <c r="H8" s="346">
        <f>E8*F8</f>
        <v/>
      </c>
      <c r="I8" s="379" t="inlineStr">
        <is>
          <t>—</t>
        </is>
      </c>
      <c r="J8" s="380" t="inlineStr">
        <is>
          <t>BUY (Day 1)</t>
        </is>
      </c>
    </row>
    <row r="10" ht="22" customHeight="1">
      <c r="G10" s="52" t="inlineStr">
        <is>
          <t>TOTAL TRADES</t>
        </is>
      </c>
      <c r="H10" s="381">
        <f>SUM(H3:H8)</f>
        <v/>
      </c>
      <c r="I10" s="381">
        <f>SUM(I3:I8)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2026-04-22T15:12:14Z</dcterms:created>
  <dcterms:modified xsi:type="dcterms:W3CDTF">2026-04-29T02:40:28Z</dcterms:modified>
</cp:coreProperties>
</file>