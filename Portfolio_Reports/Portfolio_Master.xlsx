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9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3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2349" t="inlineStr">
        <is>
          <t>2026-04-22</t>
        </is>
      </c>
      <c r="B2" s="2350" t="n">
        <v>3</v>
      </c>
      <c r="C2" s="2351" t="n">
        <v>303748.3059307933</v>
      </c>
      <c r="D2" s="2352" t="n">
        <v>29448.30848187208</v>
      </c>
      <c r="E2" s="2353" t="n">
        <v>274299.9974489212</v>
      </c>
      <c r="F2" s="2354" t="n">
        <v>3748.305930793285</v>
      </c>
      <c r="G2" s="2355" t="n">
        <v>0.01249435310264429</v>
      </c>
      <c r="H2" s="2356" t="n">
        <v>0</v>
      </c>
      <c r="I2" s="2357" t="n">
        <v>0</v>
      </c>
      <c r="J2" s="2358" t="n">
        <v>10</v>
      </c>
      <c r="K2" s="2359" t="n">
        <v>0</v>
      </c>
      <c r="L2" s="2360" t="n">
        <v>0</v>
      </c>
    </row>
    <row r="3" ht="20" customHeight="1">
      <c r="A3" s="2349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2349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2349" t="inlineStr">
        <is>
          <t>2026-04-29</t>
        </is>
      </c>
      <c r="B5" s="2350" t="n">
        <v>2</v>
      </c>
      <c r="C5" s="2351" t="n">
        <v>304153.8160982132</v>
      </c>
      <c r="D5" s="2352" t="n">
        <v>18423.81789112091</v>
      </c>
      <c r="E5" s="2353" t="n">
        <v>285729.9982070923</v>
      </c>
      <c r="F5" s="2354" t="n">
        <v>4153.816098213196</v>
      </c>
      <c r="G5" s="2355" t="n">
        <v>0.01384605366071065</v>
      </c>
      <c r="H5" s="2356" t="n">
        <v>0</v>
      </c>
      <c r="I5" s="2357" t="n">
        <v>0</v>
      </c>
      <c r="J5" s="2358" t="n">
        <v>6</v>
      </c>
      <c r="K5" s="2359" t="n">
        <v>0</v>
      </c>
      <c r="L5" s="2360" t="n">
        <v>0</v>
      </c>
    </row>
    <row r="6" ht="20" customHeight="1">
      <c r="A6" s="2349" t="inlineStr">
        <is>
          <t>2026-04-30</t>
        </is>
      </c>
      <c r="B6" s="2350" t="n">
        <v>4</v>
      </c>
      <c r="C6" s="2351" t="n">
        <v>302787.819642067</v>
      </c>
      <c r="D6" s="2352" t="n">
        <v>18423.81789112091</v>
      </c>
      <c r="E6" s="2353" t="n">
        <v>284364.001750946</v>
      </c>
      <c r="F6" s="2354" t="n">
        <v>2787.819642066956</v>
      </c>
      <c r="G6" s="2355" t="n">
        <v>0.009292732140223185</v>
      </c>
      <c r="H6" s="2356" t="n">
        <v>0</v>
      </c>
      <c r="I6" s="2357" t="n">
        <v>-0.004491136996634464</v>
      </c>
      <c r="J6" s="2358" t="n">
        <v>6</v>
      </c>
      <c r="K6" s="2359" t="n">
        <v>0</v>
      </c>
      <c r="L6" s="2360" t="n">
        <v>0</v>
      </c>
    </row>
    <row r="7" ht="20" customHeight="1">
      <c r="A7" s="2349" t="inlineStr">
        <is>
          <t>2026-05-01</t>
        </is>
      </c>
      <c r="B7" s="2350" t="n">
        <v>5</v>
      </c>
      <c r="C7" s="2351" t="n">
        <v>302787.819642067</v>
      </c>
      <c r="D7" s="2352" t="n">
        <v>18423.81789112091</v>
      </c>
      <c r="E7" s="2353" t="n">
        <v>284364.001750946</v>
      </c>
      <c r="F7" s="2354" t="n">
        <v>2787.819642066956</v>
      </c>
      <c r="G7" s="2355" t="n">
        <v>0.009292732140223185</v>
      </c>
      <c r="H7" s="2356" t="n">
        <v>0</v>
      </c>
      <c r="I7" s="2357" t="n">
        <v>-0.004491136996634464</v>
      </c>
      <c r="J7" s="2358" t="n">
        <v>6</v>
      </c>
      <c r="K7" s="2359" t="n">
        <v>0</v>
      </c>
      <c r="L7" s="2360" t="n">
        <v>0</v>
      </c>
    </row>
    <row r="8" ht="20" customHeight="1">
      <c r="A8" s="2349" t="inlineStr">
        <is>
          <t>2026-05-04</t>
        </is>
      </c>
      <c r="B8" s="2350" t="n">
        <v>6</v>
      </c>
      <c r="C8" s="2351" t="n">
        <v>302787.819642067</v>
      </c>
      <c r="D8" s="2352" t="n">
        <v>18423.81789112091</v>
      </c>
      <c r="E8" s="2353" t="n">
        <v>284364.001750946</v>
      </c>
      <c r="F8" s="2354" t="n">
        <v>2787.819642066956</v>
      </c>
      <c r="G8" s="2355" t="n">
        <v>0.009292732140223185</v>
      </c>
      <c r="H8" s="2356" t="n">
        <v>0</v>
      </c>
      <c r="I8" s="2357" t="n">
        <v>-0.004491136996634464</v>
      </c>
      <c r="J8" s="2358" t="n">
        <v>6</v>
      </c>
      <c r="K8" s="2359" t="n">
        <v>0</v>
      </c>
      <c r="L8" s="2360" t="n">
        <v>0</v>
      </c>
    </row>
    <row r="9" ht="20" customHeight="1">
      <c r="A9" s="2349" t="inlineStr">
        <is>
          <t>2026-05-05</t>
        </is>
      </c>
      <c r="B9" s="2350" t="n">
        <v>7</v>
      </c>
      <c r="C9" s="2351" t="n">
        <v>301062.819642067</v>
      </c>
      <c r="D9" s="2352" t="n">
        <v>18423.81789112091</v>
      </c>
      <c r="E9" s="2353" t="n">
        <v>282639.001750946</v>
      </c>
      <c r="F9" s="2354" t="n">
        <v>1062.819642066956</v>
      </c>
      <c r="G9" s="2355" t="n">
        <v>0.003542732140223185</v>
      </c>
      <c r="H9" s="2356" t="n">
        <v>0</v>
      </c>
      <c r="I9" s="2357" t="n">
        <v>-0.01016260948423589</v>
      </c>
      <c r="J9" s="2358" t="n">
        <v>6</v>
      </c>
      <c r="K9" s="2359" t="n">
        <v>0</v>
      </c>
      <c r="L9" s="2360" t="n">
        <v>0</v>
      </c>
    </row>
    <row r="10" ht="20" customHeight="1">
      <c r="A10" s="2349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2349" t="inlineStr">
        <is>
          <t>2026-05-07</t>
        </is>
      </c>
      <c r="B11" s="2350" t="n">
        <v>9</v>
      </c>
      <c r="C11" s="2351" t="n">
        <v>308341.8176355362</v>
      </c>
      <c r="D11" s="2352" t="n">
        <v>18423.81789112091</v>
      </c>
      <c r="E11" s="2353" t="n">
        <v>289917.9997444153</v>
      </c>
      <c r="F11" s="2354" t="n">
        <v>8341.817635536194</v>
      </c>
      <c r="G11" s="2355" t="n">
        <v>0.02780605878512065</v>
      </c>
      <c r="H11" s="2356" t="n">
        <v>0</v>
      </c>
      <c r="I11" s="2357" t="n">
        <v>0</v>
      </c>
      <c r="J11" s="2358" t="n">
        <v>6</v>
      </c>
      <c r="K11" s="2359" t="n">
        <v>0</v>
      </c>
      <c r="L11" s="2360" t="n">
        <v>0</v>
      </c>
    </row>
    <row r="12" ht="20" customHeight="1">
      <c r="A12" s="2349" t="inlineStr">
        <is>
          <t>2026-05-08</t>
        </is>
      </c>
      <c r="B12" s="2350" t="n">
        <v>10</v>
      </c>
      <c r="C12" s="2351" t="n">
        <v>311587.818192482</v>
      </c>
      <c r="D12" s="2352" t="n">
        <v>18423.81789112091</v>
      </c>
      <c r="E12" s="2353" t="n">
        <v>293164.0003013611</v>
      </c>
      <c r="F12" s="2354" t="n">
        <v>11587.81819248199</v>
      </c>
      <c r="G12" s="2355" t="n">
        <v>0.03862606064160665</v>
      </c>
      <c r="H12" s="2356" t="n">
        <v>0</v>
      </c>
      <c r="I12" s="2357" t="n">
        <v>0</v>
      </c>
      <c r="J12" s="2358" t="n">
        <v>6</v>
      </c>
      <c r="K12" s="2359" t="n">
        <v>0</v>
      </c>
      <c r="L12" s="2360" t="n">
        <v>0</v>
      </c>
    </row>
    <row r="13" ht="20" customHeight="1">
      <c r="A13" s="2349" t="inlineStr">
        <is>
          <t>2026-05-11</t>
        </is>
      </c>
      <c r="B13" s="2350" t="n">
        <v>11</v>
      </c>
      <c r="C13" s="2351" t="n">
        <v>310489.1351679564</v>
      </c>
      <c r="D13" s="2352" t="n">
        <v>48730.17694747448</v>
      </c>
      <c r="E13" s="2353" t="n">
        <v>261758.9582204819</v>
      </c>
      <c r="F13" s="2354" t="n">
        <v>10489.13516795635</v>
      </c>
      <c r="G13" s="2355" t="n">
        <v>0.03496378389318784</v>
      </c>
      <c r="H13" s="2356" t="n">
        <v>0</v>
      </c>
      <c r="I13" s="2357" t="n">
        <v>-0.003526078236623923</v>
      </c>
      <c r="J13" s="2358" t="n">
        <v>8</v>
      </c>
      <c r="K13" s="2359" t="n">
        <v>0</v>
      </c>
      <c r="L13" s="2360" t="n">
        <v>0</v>
      </c>
    </row>
    <row r="14" ht="20" customHeight="1">
      <c r="A14" s="2349" t="inlineStr">
        <is>
          <t>2026-05-12</t>
        </is>
      </c>
      <c r="B14" s="2350" t="n">
        <v>12</v>
      </c>
      <c r="C14" s="2351" t="n">
        <v>304964.1755083799</v>
      </c>
      <c r="D14" s="2352" t="n">
        <v>48730.17694747448</v>
      </c>
      <c r="E14" s="2353" t="n">
        <v>256233.9985609055</v>
      </c>
      <c r="F14" s="2354" t="n">
        <v>4964.175508379936</v>
      </c>
      <c r="G14" s="2355" t="n">
        <v>0.01654725169459979</v>
      </c>
      <c r="H14" s="2356" t="n">
        <v>0</v>
      </c>
      <c r="I14" s="2357" t="n">
        <v>-0.0212577074499438</v>
      </c>
      <c r="J14" s="2358" t="n">
        <v>8</v>
      </c>
      <c r="K14" s="2359" t="n">
        <v>0</v>
      </c>
      <c r="L14" s="2360" t="n">
        <v>0</v>
      </c>
    </row>
    <row r="15" ht="20" customHeight="1">
      <c r="A15" s="2349" t="inlineStr">
        <is>
          <t>2026-05-13</t>
        </is>
      </c>
      <c r="B15" s="2350" t="n">
        <v>13</v>
      </c>
      <c r="C15" s="2351" t="n">
        <v>302514.1766527891</v>
      </c>
      <c r="D15" s="2352" t="n">
        <v>48730.17694747448</v>
      </c>
      <c r="E15" s="2353" t="n">
        <v>253783.9997053146</v>
      </c>
      <c r="F15" s="2354" t="n">
        <v>2514.176652789116</v>
      </c>
      <c r="G15" s="2355" t="n">
        <v>0.008380588842630387</v>
      </c>
      <c r="H15" s="2356" t="n">
        <v>0</v>
      </c>
      <c r="I15" s="2357" t="n">
        <v>-0.0291206555902249</v>
      </c>
      <c r="J15" s="2358" t="n">
        <v>8</v>
      </c>
      <c r="K15" s="2359" t="n">
        <v>0</v>
      </c>
      <c r="L15" s="2360" t="n">
        <v>0</v>
      </c>
    </row>
    <row r="16" ht="20" customHeight="1">
      <c r="A16" s="2349" t="inlineStr">
        <is>
          <t>2026-05-14</t>
        </is>
      </c>
      <c r="B16" s="2350" t="n">
        <v>14</v>
      </c>
      <c r="C16" s="2351" t="n">
        <v>304920.1800802946</v>
      </c>
      <c r="D16" s="2352" t="n">
        <v>48730.17694747448</v>
      </c>
      <c r="E16" s="2353" t="n">
        <v>256190.0031328201</v>
      </c>
      <c r="F16" s="2354" t="n">
        <v>4920.180080294609</v>
      </c>
      <c r="G16" s="2355" t="n">
        <v>0.0164006002676487</v>
      </c>
      <c r="H16" s="2356" t="n">
        <v>0</v>
      </c>
      <c r="I16" s="2357" t="n">
        <v>-0.02139890497281406</v>
      </c>
      <c r="J16" s="2358" t="n">
        <v>8</v>
      </c>
      <c r="K16" s="2359" t="n">
        <v>0</v>
      </c>
      <c r="L16" s="2360" t="n">
        <v>0</v>
      </c>
    </row>
    <row r="17" ht="20" customHeight="1">
      <c r="A17" s="2349" t="inlineStr">
        <is>
          <t>2026-05-15</t>
        </is>
      </c>
      <c r="B17" s="2350" t="n">
        <v>15</v>
      </c>
      <c r="C17" s="2351" t="n">
        <v>308166.1738375425</v>
      </c>
      <c r="D17" s="2352" t="n">
        <v>48730.17694747448</v>
      </c>
      <c r="E17" s="2353" t="n">
        <v>259435.9968900681</v>
      </c>
      <c r="F17" s="2354" t="n">
        <v>8166.173837542534</v>
      </c>
      <c r="G17" s="2355" t="n">
        <v>0.02722057945847511</v>
      </c>
      <c r="H17" s="2356" t="n">
        <v>0</v>
      </c>
      <c r="I17" s="2357" t="n">
        <v>-0.01098131619775249</v>
      </c>
      <c r="J17" s="2358" t="n">
        <v>8</v>
      </c>
      <c r="K17" s="2359" t="n">
        <v>0</v>
      </c>
      <c r="L17" s="2360" t="n">
        <v>0</v>
      </c>
    </row>
    <row r="18" ht="20" customHeight="1">
      <c r="A18" s="2349" t="inlineStr">
        <is>
          <t>2026-05-18</t>
        </is>
      </c>
      <c r="B18" s="2350" t="n">
        <v>16</v>
      </c>
      <c r="C18" s="2351" t="n">
        <v>308376.1740664244</v>
      </c>
      <c r="D18" s="2352" t="n">
        <v>48730.17694747448</v>
      </c>
      <c r="E18" s="2353" t="n">
        <v>259645.9971189499</v>
      </c>
      <c r="F18" s="2354" t="n">
        <v>8376.17406642437</v>
      </c>
      <c r="G18" s="2355" t="n">
        <v>0.02792058022141457</v>
      </c>
      <c r="H18" s="2356" t="n">
        <v>0</v>
      </c>
      <c r="I18" s="2357" t="n">
        <v>-0.01030734816491974</v>
      </c>
      <c r="J18" s="2358" t="n">
        <v>8</v>
      </c>
      <c r="K18" s="2359" t="n">
        <v>0</v>
      </c>
      <c r="L18" s="2360" t="n">
        <v>0</v>
      </c>
    </row>
    <row r="19" ht="20" customHeight="1">
      <c r="A19" s="2349" t="inlineStr">
        <is>
          <t>2026-05-19</t>
        </is>
      </c>
      <c r="B19" s="2350" t="n">
        <v>17</v>
      </c>
      <c r="C19" s="2351" t="n">
        <v>303508.175180316</v>
      </c>
      <c r="D19" s="2352" t="n">
        <v>48730.17694747448</v>
      </c>
      <c r="E19" s="2353" t="n">
        <v>254777.9982328415</v>
      </c>
      <c r="F19" s="2354" t="n">
        <v>3508.175180315971</v>
      </c>
      <c r="G19" s="2355" t="n">
        <v>0.01169391726771991</v>
      </c>
      <c r="H19" s="2356" t="n">
        <v>0</v>
      </c>
      <c r="I19" s="2357" t="n">
        <v>-0.02593054843747088</v>
      </c>
      <c r="J19" s="2358" t="n">
        <v>8</v>
      </c>
      <c r="K19" s="2359" t="n">
        <v>0</v>
      </c>
      <c r="L19" s="2360" t="n">
        <v>0</v>
      </c>
    </row>
    <row r="20" ht="20" customHeight="1">
      <c r="A20" s="2349" t="inlineStr">
        <is>
          <t>2026-05-20</t>
        </is>
      </c>
      <c r="B20" s="2350" t="n">
        <v>18</v>
      </c>
      <c r="C20" s="2351" t="n">
        <v>313322.179959178</v>
      </c>
      <c r="D20" s="2352" t="n">
        <v>48730.17694747448</v>
      </c>
      <c r="E20" s="2353" t="n">
        <v>264592.0030117035</v>
      </c>
      <c r="F20" s="2354" t="n">
        <v>13322.17995917797</v>
      </c>
      <c r="G20" s="2355" t="n">
        <v>0.04440726653059324</v>
      </c>
      <c r="H20" s="2356" t="n">
        <v>0</v>
      </c>
      <c r="I20" s="2357" t="n">
        <v>0</v>
      </c>
      <c r="J20" s="2358" t="n">
        <v>8</v>
      </c>
      <c r="K20" s="2359" t="n">
        <v>0</v>
      </c>
      <c r="L20" s="2360" t="n">
        <v>0</v>
      </c>
    </row>
    <row r="21" ht="20" customHeight="1">
      <c r="A21" s="2349" t="inlineStr">
        <is>
          <t>2026-05-21</t>
        </is>
      </c>
      <c r="B21" s="2350" t="n">
        <v>19</v>
      </c>
      <c r="C21" s="2351" t="n">
        <v>313566.1793926954</v>
      </c>
      <c r="D21" s="2352" t="n">
        <v>48730.17694747448</v>
      </c>
      <c r="E21" s="2353" t="n">
        <v>264836.0024452209</v>
      </c>
      <c r="F21" s="2354" t="n">
        <v>13566.17939269543</v>
      </c>
      <c r="G21" s="2355" t="n">
        <v>0.04522059797565142</v>
      </c>
      <c r="H21" s="2356" t="n">
        <v>0</v>
      </c>
      <c r="I21" s="2357" t="n">
        <v>0</v>
      </c>
      <c r="J21" s="2358" t="n">
        <v>8</v>
      </c>
      <c r="K21" s="2359" t="n">
        <v>0</v>
      </c>
      <c r="L21" s="2360" t="n">
        <v>0</v>
      </c>
    </row>
    <row r="22" ht="20" customHeight="1">
      <c r="A22" s="2349" t="inlineStr">
        <is>
          <t>2026-05-22</t>
        </is>
      </c>
      <c r="B22" s="2350" t="n">
        <v>20</v>
      </c>
      <c r="C22" s="2351" t="n">
        <v>321999.1744259596</v>
      </c>
      <c r="D22" s="2352" t="n">
        <v>48730.17694747448</v>
      </c>
      <c r="E22" s="2353" t="n">
        <v>273268.9974784851</v>
      </c>
      <c r="F22" s="2354" t="n">
        <v>21999.17442595959</v>
      </c>
      <c r="G22" s="2355" t="n">
        <v>0.07333058141986529</v>
      </c>
      <c r="H22" s="2356" t="n">
        <v>0</v>
      </c>
      <c r="I22" s="2357" t="n">
        <v>0</v>
      </c>
      <c r="J22" s="2358" t="n">
        <v>8</v>
      </c>
      <c r="K22" s="2359" t="n">
        <v>0</v>
      </c>
      <c r="L22" s="2360" t="n">
        <v>0</v>
      </c>
    </row>
    <row r="23" ht="20" customHeight="1">
      <c r="A23" s="2349" t="inlineStr">
        <is>
          <t>2026-05-25</t>
        </is>
      </c>
      <c r="B23" s="2350" t="n">
        <v>21</v>
      </c>
      <c r="C23" s="2351" t="n">
        <v>323626.1765698195</v>
      </c>
      <c r="D23" s="2352" t="n">
        <v>48730.17694747448</v>
      </c>
      <c r="E23" s="2353" t="n">
        <v>274895.999622345</v>
      </c>
      <c r="F23" s="2354" t="n">
        <v>23626.17656981945</v>
      </c>
      <c r="G23" s="2355" t="n">
        <v>0.07875392189939817</v>
      </c>
      <c r="H23" s="2356" t="n">
        <v>0</v>
      </c>
      <c r="I23" s="2357" t="n">
        <v>0</v>
      </c>
      <c r="J23" s="2358" t="n">
        <v>8</v>
      </c>
      <c r="K23" s="2359" t="n">
        <v>0</v>
      </c>
      <c r="L23" s="2360" t="n">
        <v>0</v>
      </c>
    </row>
    <row r="24" ht="20" customHeight="1">
      <c r="A24" s="2349" t="inlineStr">
        <is>
          <t>2026-05-26</t>
        </is>
      </c>
      <c r="B24" s="2350" t="n">
        <v>22</v>
      </c>
      <c r="C24" s="2351" t="n">
        <v>327462.1705511808</v>
      </c>
      <c r="D24" s="2352" t="n">
        <v>48730.17694747448</v>
      </c>
      <c r="E24" s="2353" t="n">
        <v>278731.9936037064</v>
      </c>
      <c r="F24" s="2354" t="n">
        <v>27462.17055118084</v>
      </c>
      <c r="G24" s="2355" t="n">
        <v>0.09154056850393615</v>
      </c>
      <c r="H24" s="2356" t="n">
        <v>0</v>
      </c>
      <c r="I24" s="2357" t="n">
        <v>0</v>
      </c>
      <c r="J24" s="2358" t="n">
        <v>8</v>
      </c>
      <c r="K24" s="2359" t="n">
        <v>0</v>
      </c>
      <c r="L24" s="2360" t="n">
        <v>0</v>
      </c>
    </row>
    <row r="25" ht="20" customHeight="1">
      <c r="A25" s="2349" t="inlineStr">
        <is>
          <t>2026-05-27</t>
        </is>
      </c>
      <c r="B25" s="2350" t="n">
        <v>23</v>
      </c>
      <c r="C25" s="2351" t="n">
        <v>324376.1747578382</v>
      </c>
      <c r="D25" s="2352" t="n">
        <v>48730.17694747448</v>
      </c>
      <c r="E25" s="2353" t="n">
        <v>275645.9978103638</v>
      </c>
      <c r="F25" s="2354" t="n">
        <v>24376.17475783825</v>
      </c>
      <c r="G25" s="2355" t="n">
        <v>0.08125391585946083</v>
      </c>
      <c r="H25" s="2356" t="n">
        <v>0</v>
      </c>
      <c r="I25" s="2357" t="n">
        <v>-0.009423976479934384</v>
      </c>
      <c r="J25" s="2358" t="n">
        <v>8</v>
      </c>
      <c r="K25" s="2359" t="n">
        <v>0</v>
      </c>
      <c r="L25" s="2360" t="n">
        <v>0</v>
      </c>
    </row>
    <row r="26" ht="20" customHeight="1">
      <c r="A26" s="2349" t="inlineStr">
        <is>
          <t>2026-05-28</t>
        </is>
      </c>
      <c r="B26" s="2350" t="n">
        <v>24</v>
      </c>
      <c r="C26" s="2351" t="n">
        <v>325656.1784008741</v>
      </c>
      <c r="D26" s="2352" t="n">
        <v>48730.17694747448</v>
      </c>
      <c r="E26" s="2353" t="n">
        <v>276926.0014533997</v>
      </c>
      <c r="F26" s="2354" t="n">
        <v>25656.17840087414</v>
      </c>
      <c r="G26" s="2355" t="n">
        <v>0.08552059466958047</v>
      </c>
      <c r="H26" s="2356" t="n">
        <v>0</v>
      </c>
      <c r="I26" s="2357" t="n">
        <v>-0.005515116898134752</v>
      </c>
      <c r="J26" s="2358" t="n">
        <v>8</v>
      </c>
      <c r="K26" s="2359" t="n">
        <v>0</v>
      </c>
      <c r="L26" s="2360" t="n">
        <v>0</v>
      </c>
    </row>
    <row r="27" ht="20" customHeight="1">
      <c r="A27" s="2349" t="inlineStr">
        <is>
          <t>2026-05-29</t>
        </is>
      </c>
      <c r="B27" s="2350" t="n">
        <v>25</v>
      </c>
      <c r="C27" s="2351" t="n">
        <v>324000.1746157408</v>
      </c>
      <c r="D27" s="2352" t="n">
        <v>48730.17694747448</v>
      </c>
      <c r="E27" s="2353" t="n">
        <v>275269.9976682663</v>
      </c>
      <c r="F27" s="2354" t="n">
        <v>24000.17461574078</v>
      </c>
      <c r="G27" s="2355" t="n">
        <v>0.08000058205246924</v>
      </c>
      <c r="H27" s="2356" t="n">
        <v>0</v>
      </c>
      <c r="I27" s="2357" t="n">
        <v>-0.01057220114803755</v>
      </c>
      <c r="J27" s="2358" t="n">
        <v>8</v>
      </c>
      <c r="K27" s="2359" t="n">
        <v>0</v>
      </c>
      <c r="L27" s="2360" t="n">
        <v>0</v>
      </c>
    </row>
    <row r="28" ht="20" customHeight="1">
      <c r="A28" s="2349" t="inlineStr">
        <is>
          <t>2026-06-01</t>
        </is>
      </c>
      <c r="B28" s="2350" t="n">
        <v>26</v>
      </c>
      <c r="C28" s="2351" t="n">
        <v>323826.1759022474</v>
      </c>
      <c r="D28" s="2352" t="n">
        <v>48730.17694747448</v>
      </c>
      <c r="E28" s="2353" t="n">
        <v>275095.9989547729</v>
      </c>
      <c r="F28" s="2354" t="n">
        <v>23826.17590224743</v>
      </c>
      <c r="G28" s="2355" t="n">
        <v>0.07942058634082476</v>
      </c>
      <c r="H28" s="2356" t="n">
        <v>0</v>
      </c>
      <c r="I28" s="2357" t="n">
        <v>-0.01110355630640737</v>
      </c>
      <c r="J28" s="2358" t="n">
        <v>8</v>
      </c>
      <c r="K28" s="2359" t="n">
        <v>0</v>
      </c>
      <c r="L28" s="2360" t="n">
        <v>0</v>
      </c>
    </row>
    <row r="29" ht="20" customHeight="1">
      <c r="A29" s="2349" t="inlineStr">
        <is>
          <t>2026-06-02</t>
        </is>
      </c>
      <c r="B29" s="2350" t="n">
        <v>27</v>
      </c>
      <c r="C29" s="2351" t="n">
        <v>323826.1759022474</v>
      </c>
      <c r="D29" s="2352" t="n">
        <v>48730.17694747448</v>
      </c>
      <c r="E29" s="2353" t="n">
        <v>275095.9989547729</v>
      </c>
      <c r="F29" s="2354" t="n">
        <v>23826.17590224743</v>
      </c>
      <c r="G29" s="2355" t="n">
        <v>0.07942058634082476</v>
      </c>
      <c r="H29" s="2356" t="n">
        <v>0</v>
      </c>
      <c r="I29" s="2357" t="n">
        <v>-0.01110355630640737</v>
      </c>
      <c r="J29" s="2358" t="n">
        <v>8</v>
      </c>
      <c r="K29" s="2359" t="n">
        <v>0</v>
      </c>
      <c r="L29" s="2360" t="n">
        <v>0</v>
      </c>
    </row>
    <row r="30" ht="20" customHeight="1">
      <c r="A30" s="2349" t="inlineStr">
        <is>
          <t>2026-06-03</t>
        </is>
      </c>
      <c r="B30" s="2350" t="n">
        <v>28</v>
      </c>
      <c r="C30" s="2351" t="n">
        <v>333875.8358540917</v>
      </c>
      <c r="D30" s="2352" t="n">
        <v>45577.8367581749</v>
      </c>
      <c r="E30" s="2353" t="n">
        <v>288297.9990959168</v>
      </c>
      <c r="F30" s="2354" t="n">
        <v>33875.83585409168</v>
      </c>
      <c r="G30" s="2355" t="n">
        <v>0.1129194528469723</v>
      </c>
      <c r="H30" s="2356" t="n">
        <v>0</v>
      </c>
      <c r="I30" s="2357" t="n">
        <v>1.743392443018996e-16</v>
      </c>
      <c r="J30" s="2358" t="n">
        <v>9</v>
      </c>
      <c r="K30" s="2359" t="n">
        <v>0</v>
      </c>
      <c r="L30" s="2360" t="n">
        <v>0</v>
      </c>
    </row>
    <row r="31" ht="20" customHeight="1">
      <c r="A31" s="2349" t="inlineStr">
        <is>
          <t>2026-06-04</t>
        </is>
      </c>
      <c r="B31" s="2350" t="n">
        <v>29</v>
      </c>
      <c r="C31" s="2351" t="n">
        <v>335738.8358540917</v>
      </c>
      <c r="D31" s="2352" t="n">
        <v>47440.8367581749</v>
      </c>
      <c r="E31" s="2353" t="n">
        <v>288297.9990959168</v>
      </c>
      <c r="F31" s="2354" t="n">
        <v>35738.83585409168</v>
      </c>
      <c r="G31" s="2355" t="n">
        <v>0.1191294528469723</v>
      </c>
      <c r="H31" s="2356" t="n">
        <v>0</v>
      </c>
      <c r="I31" s="2357" t="n">
        <v>1.733718435205506e-16</v>
      </c>
      <c r="J31" s="2358" t="n">
        <v>9</v>
      </c>
      <c r="K31" s="2359" t="n">
        <v>0</v>
      </c>
      <c r="L31" s="2360" t="n">
        <v>0</v>
      </c>
    </row>
    <row r="32" ht="20" customHeight="1">
      <c r="A32" s="2349" t="inlineStr">
        <is>
          <t>2026-06-05</t>
        </is>
      </c>
      <c r="B32" s="2350" t="n">
        <v>30</v>
      </c>
      <c r="C32" s="2351" t="n">
        <v>334015.087936678</v>
      </c>
      <c r="D32" s="2352" t="n">
        <v>41526.08666256905</v>
      </c>
      <c r="E32" s="2353" t="n">
        <v>292489.0012741089</v>
      </c>
      <c r="F32" s="2354" t="n">
        <v>34015.08793667797</v>
      </c>
      <c r="G32" s="2355" t="n">
        <v>0.1133836264555932</v>
      </c>
      <c r="H32" s="2356" t="n">
        <v>0</v>
      </c>
      <c r="I32" s="2357" t="n">
        <v>-0.005134192810994243</v>
      </c>
      <c r="J32" s="2358" t="n">
        <v>10</v>
      </c>
      <c r="K32" s="2359" t="n">
        <v>0</v>
      </c>
      <c r="L32" s="2360" t="n">
        <v>0</v>
      </c>
    </row>
    <row r="33" ht="20" customHeight="1">
      <c r="A33" s="2349" t="inlineStr">
        <is>
          <t>2026-06-08</t>
        </is>
      </c>
      <c r="B33" s="2350" t="n">
        <v>31</v>
      </c>
      <c r="C33" s="2351" t="n">
        <v>336560.0870354557</v>
      </c>
      <c r="D33" s="2352" t="n">
        <v>41526.08666256905</v>
      </c>
      <c r="E33" s="2353" t="n">
        <v>295034.0003728867</v>
      </c>
      <c r="F33" s="2354" t="n">
        <v>36560.08703545574</v>
      </c>
      <c r="G33" s="2355" t="n">
        <v>0.1218669567848525</v>
      </c>
      <c r="H33" s="2356" t="n">
        <v>0</v>
      </c>
      <c r="I33" s="2357" t="n">
        <v>1.729487932635797e-16</v>
      </c>
      <c r="J33" s="2358" t="n">
        <v>10</v>
      </c>
      <c r="K33" s="2359" t="n">
        <v>0</v>
      </c>
      <c r="L33" s="2360" t="n">
        <v>0</v>
      </c>
    </row>
    <row r="34" ht="20" customHeight="1">
      <c r="A34" s="2349" t="inlineStr">
        <is>
          <t>2026-06-09</t>
        </is>
      </c>
      <c r="B34" s="2350" t="n">
        <v>32</v>
      </c>
      <c r="C34" s="2351" t="n">
        <v>330339.3137982273</v>
      </c>
      <c r="D34" s="2352" t="n">
        <v>98094.31379345895</v>
      </c>
      <c r="E34" s="2353" t="n">
        <v>232245.0000047684</v>
      </c>
      <c r="F34" s="2354" t="n">
        <v>30339.31379822735</v>
      </c>
      <c r="G34" s="2355" t="n">
        <v>0.1011310459940912</v>
      </c>
      <c r="H34" s="2356" t="n">
        <v>0</v>
      </c>
      <c r="I34" s="2357" t="n">
        <v>-0.01848339561598994</v>
      </c>
      <c r="J34" s="2358" t="n">
        <v>8</v>
      </c>
      <c r="K34" s="2359" t="n">
        <v>0</v>
      </c>
      <c r="L34" s="2360" t="n">
        <v>0</v>
      </c>
    </row>
    <row r="35" ht="20" customHeight="1">
      <c r="A35" s="2424" t="inlineStr">
        <is>
          <t>2026-06-10</t>
        </is>
      </c>
      <c r="B35" s="2425" t="n">
        <v>33</v>
      </c>
      <c r="C35" s="2426" t="n">
        <v>331910.3122284794</v>
      </c>
      <c r="D35" s="2427" t="n">
        <v>98094.31379345895</v>
      </c>
      <c r="E35" s="2428" t="n">
        <v>233815.9984350205</v>
      </c>
      <c r="F35" s="2429" t="n">
        <v>31910.31222847942</v>
      </c>
      <c r="G35" s="2430" t="n">
        <v>0.1063677074282647</v>
      </c>
      <c r="H35" s="2431" t="n">
        <v>0</v>
      </c>
      <c r="I35" s="2432" t="n">
        <v>-0.0138155859416759</v>
      </c>
      <c r="J35" s="2433" t="n">
        <v>8</v>
      </c>
      <c r="K35" s="2434" t="n">
        <v>0</v>
      </c>
      <c r="L35" s="243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2436" t="inlineStr">
        <is>
          <t>Current Holdings  —  10 Jun 2026</t>
        </is>
      </c>
    </row>
    <row r="2" ht="22" customHeight="1">
      <c r="A2" s="2437" t="inlineStr">
        <is>
          <t>Ticker</t>
        </is>
      </c>
      <c r="B2" s="2437" t="inlineStr">
        <is>
          <t>Stock Name</t>
        </is>
      </c>
      <c r="C2" s="2437" t="inlineStr">
        <is>
          <t>Shares</t>
        </is>
      </c>
      <c r="D2" s="2437" t="inlineStr">
        <is>
          <t>Avg Cost (฿)</t>
        </is>
      </c>
      <c r="E2" s="2437" t="inlineStr">
        <is>
          <t>Current Price (฿)</t>
        </is>
      </c>
      <c r="F2" s="2437" t="inlineStr">
        <is>
          <t>Market Value (฿)</t>
        </is>
      </c>
      <c r="G2" s="2437" t="inlineStr">
        <is>
          <t>Unrealised P&amp;L (฿)</t>
        </is>
      </c>
      <c r="H2" s="2437" t="inlineStr">
        <is>
          <t>P&amp;L %</t>
        </is>
      </c>
      <c r="I2" s="2437" t="inlineStr">
        <is>
          <t>Entry Date</t>
        </is>
      </c>
      <c r="J2" s="2437" t="inlineStr">
        <is>
          <t>Comp Score</t>
        </is>
      </c>
      <c r="K2" s="2437" t="inlineStr">
        <is>
          <t>Signal</t>
        </is>
      </c>
    </row>
    <row r="3" ht="20" customHeight="1">
      <c r="A3" s="2438" t="inlineStr">
        <is>
          <t>AMATA.BK</t>
        </is>
      </c>
      <c r="B3" s="2439" t="inlineStr">
        <is>
          <t>AMATA</t>
        </is>
      </c>
      <c r="C3" s="2440" t="n">
        <v>2300</v>
      </c>
      <c r="D3" s="2441" t="n">
        <v>20.3</v>
      </c>
      <c r="E3" s="2442" t="n">
        <v>27</v>
      </c>
      <c r="F3" s="2443">
        <f>C3*E3</f>
        <v/>
      </c>
      <c r="G3" s="2444">
        <f>F3-C3*D3</f>
        <v/>
      </c>
      <c r="H3" s="2445">
        <f>(E3-D3)/D3</f>
        <v/>
      </c>
      <c r="I3" s="2446" t="inlineStr">
        <is>
          <t>2026-04-27</t>
        </is>
      </c>
      <c r="J3" s="2447" t="n">
        <v>7.16</v>
      </c>
      <c r="K3" s="2448" t="inlineStr">
        <is>
          <t>WEAK</t>
        </is>
      </c>
    </row>
    <row r="4" ht="20" customHeight="1">
      <c r="A4" s="2438" t="inlineStr">
        <is>
          <t>WHA.BK</t>
        </is>
      </c>
      <c r="B4" s="2439" t="inlineStr">
        <is>
          <t>WHA</t>
        </is>
      </c>
      <c r="C4" s="2440" t="n">
        <v>10800</v>
      </c>
      <c r="D4" s="2441" t="n">
        <v>4.38</v>
      </c>
      <c r="E4" s="2442" t="n">
        <v>4.980000019073486</v>
      </c>
      <c r="F4" s="2443">
        <f>C4*E4</f>
        <v/>
      </c>
      <c r="G4" s="2444">
        <f>F4-C4*D4</f>
        <v/>
      </c>
      <c r="H4" s="2445">
        <f>(E4-D4)/D4</f>
        <v/>
      </c>
      <c r="I4" s="2446" t="inlineStr">
        <is>
          <t>2026-04-27</t>
        </is>
      </c>
      <c r="J4" s="2449" t="n">
        <v>5.08</v>
      </c>
      <c r="K4" s="2450" t="inlineStr">
        <is>
          <t>AVOID</t>
        </is>
      </c>
    </row>
    <row r="5" ht="20" customHeight="1">
      <c r="A5" s="2438" t="inlineStr">
        <is>
          <t>KTC.BK</t>
        </is>
      </c>
      <c r="B5" s="2439" t="inlineStr">
        <is>
          <t>KTC</t>
        </is>
      </c>
      <c r="C5" s="2440" t="n">
        <v>1600</v>
      </c>
      <c r="D5" s="2441" t="n">
        <v>29.25</v>
      </c>
      <c r="E5" s="2442" t="n">
        <v>30</v>
      </c>
      <c r="F5" s="2443">
        <f>C5*E5</f>
        <v/>
      </c>
      <c r="G5" s="2444">
        <f>F5-C5*D5</f>
        <v/>
      </c>
      <c r="H5" s="2445">
        <f>(E5-D5)/D5</f>
        <v/>
      </c>
      <c r="I5" s="2446" t="inlineStr">
        <is>
          <t>2026-04-27</t>
        </is>
      </c>
      <c r="J5" s="2447" t="n">
        <v>7.12</v>
      </c>
      <c r="K5" s="2448" t="inlineStr">
        <is>
          <t>WEAK</t>
        </is>
      </c>
    </row>
    <row r="6" ht="20" customHeight="1">
      <c r="A6" s="2451" t="inlineStr">
        <is>
          <t>TIDLOR.BK</t>
        </is>
      </c>
      <c r="B6" s="2452" t="inlineStr">
        <is>
          <t>TIDLOR</t>
        </is>
      </c>
      <c r="C6" s="2453" t="n">
        <v>2700</v>
      </c>
      <c r="D6" s="2454" t="n">
        <v>17.4</v>
      </c>
      <c r="E6" s="2455" t="n">
        <v>16.79999923706055</v>
      </c>
      <c r="F6" s="2456">
        <f>C6*E6</f>
        <v/>
      </c>
      <c r="G6" s="2457">
        <f>F6-C6*D6</f>
        <v/>
      </c>
      <c r="H6" s="2458">
        <f>(E6-D6)/D6</f>
        <v/>
      </c>
      <c r="I6" s="2459" t="inlineStr">
        <is>
          <t>2026-04-27</t>
        </is>
      </c>
      <c r="J6" s="2460" t="n">
        <v>6.72</v>
      </c>
      <c r="K6" s="2461" t="inlineStr">
        <is>
          <t>WEAK</t>
        </is>
      </c>
    </row>
    <row r="7" ht="20" customHeight="1">
      <c r="A7" s="2462" t="inlineStr">
        <is>
          <t>LH.BK</t>
        </is>
      </c>
      <c r="B7" s="2463" t="inlineStr">
        <is>
          <t>LH</t>
        </is>
      </c>
      <c r="C7" s="2464" t="n">
        <v>1800</v>
      </c>
      <c r="D7" s="2465" t="n">
        <v>3.64</v>
      </c>
      <c r="E7" s="2466" t="n">
        <v>3.599999904632568</v>
      </c>
      <c r="F7" s="2467">
        <f>C7*E7</f>
        <v/>
      </c>
      <c r="G7" s="2468">
        <f>F7-C7*D7</f>
        <v/>
      </c>
      <c r="H7" s="2469">
        <f>(E7-D7)/D7</f>
        <v/>
      </c>
      <c r="I7" s="2470" t="inlineStr">
        <is>
          <t>2026-06-02</t>
        </is>
      </c>
      <c r="J7" s="2471" t="n">
        <v>4.88</v>
      </c>
      <c r="K7" s="2472" t="inlineStr">
        <is>
          <t>AVOID</t>
        </is>
      </c>
    </row>
    <row r="8" ht="20" customHeight="1">
      <c r="A8" s="2438" t="inlineStr">
        <is>
          <t>KGI.BK</t>
        </is>
      </c>
      <c r="B8" s="2439" t="inlineStr">
        <is>
          <t>KGI</t>
        </is>
      </c>
      <c r="C8" s="2440" t="n">
        <v>1500</v>
      </c>
      <c r="D8" s="2441" t="n">
        <v>4.22</v>
      </c>
      <c r="E8" s="2442" t="n">
        <v>4.28000020980835</v>
      </c>
      <c r="F8" s="2443">
        <f>C8*E8</f>
        <v/>
      </c>
      <c r="G8" s="2444">
        <f>F8-C8*D8</f>
        <v/>
      </c>
      <c r="H8" s="2445">
        <f>(E8-D8)/D8</f>
        <v/>
      </c>
      <c r="I8" s="2446" t="inlineStr">
        <is>
          <t>2026-05-08</t>
        </is>
      </c>
      <c r="J8" s="2447" t="n">
        <v>7.32</v>
      </c>
      <c r="K8" s="2448" t="inlineStr">
        <is>
          <t>WATCH</t>
        </is>
      </c>
    </row>
    <row r="9" ht="20" customHeight="1">
      <c r="A9" s="2438" t="inlineStr">
        <is>
          <t>BTSGIF.BK</t>
        </is>
      </c>
      <c r="B9" s="2439" t="inlineStr">
        <is>
          <t>BTSGIF</t>
        </is>
      </c>
      <c r="C9" s="2440" t="n">
        <v>2300</v>
      </c>
      <c r="D9" s="2441" t="n">
        <v>2.62</v>
      </c>
      <c r="E9" s="2442" t="n">
        <v>2.640000104904175</v>
      </c>
      <c r="F9" s="2443">
        <f>C9*E9</f>
        <v/>
      </c>
      <c r="G9" s="2444">
        <f>F9-C9*D9</f>
        <v/>
      </c>
      <c r="H9" s="2445">
        <f>(E9-D9)/D9</f>
        <v/>
      </c>
      <c r="I9" s="2446" t="inlineStr">
        <is>
          <t>2026-05-08</t>
        </is>
      </c>
      <c r="J9" s="2449" t="n">
        <v>4.64</v>
      </c>
      <c r="K9" s="2450" t="inlineStr">
        <is>
          <t>AVOID</t>
        </is>
      </c>
    </row>
    <row r="10" ht="20" customHeight="1">
      <c r="A10" s="2451" t="inlineStr">
        <is>
          <t>TU.BK</t>
        </is>
      </c>
      <c r="B10" s="2452" t="inlineStr">
        <is>
          <t>TU</t>
        </is>
      </c>
      <c r="C10" s="2453" t="n">
        <v>500</v>
      </c>
      <c r="D10" s="2454" t="n">
        <v>11.6</v>
      </c>
      <c r="E10" s="2455" t="n">
        <v>11.19999980926514</v>
      </c>
      <c r="F10" s="2456">
        <f>C10*E10</f>
        <v/>
      </c>
      <c r="G10" s="2457">
        <f>F10-C10*D10</f>
        <v/>
      </c>
      <c r="H10" s="2458">
        <f>(E10-D10)/D10</f>
        <v/>
      </c>
      <c r="I10" s="2459" t="inlineStr">
        <is>
          <t>2026-05-08</t>
        </is>
      </c>
      <c r="J10" s="2473" t="n">
        <v>5.52</v>
      </c>
      <c r="K10" s="2474" t="inlineStr">
        <is>
          <t>AVOID</t>
        </is>
      </c>
    </row>
    <row r="11" ht="22" customHeight="1">
      <c r="B11" s="2475" t="inlineStr">
        <is>
          <t>TOTAL</t>
        </is>
      </c>
      <c r="F11" s="2476">
        <f>SUM(F3:F10)</f>
        <v/>
      </c>
      <c r="G11" s="2477">
        <f>SUM(G3:G10)</f>
        <v/>
      </c>
      <c r="H11" s="2478">
        <f>G11/SUMPRODUCT(C3:C10,D3:D10)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2436" t="inlineStr">
        <is>
          <t>Today's Trades  —  10 Jun 2026</t>
        </is>
      </c>
    </row>
    <row r="3" ht="30" customHeight="1">
      <c r="A3" s="2479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2436" t="inlineStr">
        <is>
          <t>Complete Trade History  —  since 2026-04-27</t>
        </is>
      </c>
    </row>
    <row r="2" ht="22" customHeight="1">
      <c r="A2" s="2437" t="inlineStr">
        <is>
          <t>Date</t>
        </is>
      </c>
      <c r="B2" s="2437" t="inlineStr">
        <is>
          <t>Ticker</t>
        </is>
      </c>
      <c r="C2" s="2437" t="inlineStr">
        <is>
          <t>Stock</t>
        </is>
      </c>
      <c r="D2" s="2437" t="inlineStr">
        <is>
          <t>Action</t>
        </is>
      </c>
      <c r="E2" s="2437" t="inlineStr">
        <is>
          <t>Shares</t>
        </is>
      </c>
      <c r="F2" s="2437" t="inlineStr">
        <is>
          <t>Price (฿)</t>
        </is>
      </c>
      <c r="G2" s="2437" t="inlineStr">
        <is>
          <t>Lots</t>
        </is>
      </c>
      <c r="H2" s="2437" t="inlineStr">
        <is>
          <t>Value (฿)</t>
        </is>
      </c>
      <c r="I2" s="2437" t="inlineStr">
        <is>
          <t>Realised P&amp;L (฿)</t>
        </is>
      </c>
      <c r="J2" s="2437" t="inlineStr">
        <is>
          <t>Reason / Signal</t>
        </is>
      </c>
    </row>
    <row r="3" ht="17" customHeight="1">
      <c r="A3" s="2480" t="inlineStr">
        <is>
          <t>2026-04-27</t>
        </is>
      </c>
      <c r="B3" s="2481" t="inlineStr">
        <is>
          <t>AMATA.BK</t>
        </is>
      </c>
      <c r="C3" s="2482" t="inlineStr">
        <is>
          <t>AMATA</t>
        </is>
      </c>
      <c r="D3" s="2483" t="inlineStr">
        <is>
          <t>BUY</t>
        </is>
      </c>
      <c r="E3" s="2484" t="n">
        <v>2300</v>
      </c>
      <c r="F3" s="2485" t="n">
        <v>20.3</v>
      </c>
      <c r="G3" s="2484" t="n">
        <v>23</v>
      </c>
      <c r="H3" s="2486">
        <f>E3*F3</f>
        <v/>
      </c>
      <c r="I3" s="2487" t="inlineStr">
        <is>
          <t>—</t>
        </is>
      </c>
      <c r="J3" s="2488" t="inlineStr">
        <is>
          <t>BUY (Day 1)</t>
        </is>
      </c>
    </row>
    <row r="4" ht="17" customHeight="1">
      <c r="A4" s="2489" t="inlineStr">
        <is>
          <t>2026-04-27</t>
        </is>
      </c>
      <c r="B4" s="2490" t="inlineStr">
        <is>
          <t>CK.BK</t>
        </is>
      </c>
      <c r="C4" s="2463" t="inlineStr">
        <is>
          <t>CK</t>
        </is>
      </c>
      <c r="D4" s="2483" t="inlineStr">
        <is>
          <t>BUY</t>
        </is>
      </c>
      <c r="E4" s="2464" t="n">
        <v>2800</v>
      </c>
      <c r="F4" s="2465" t="n">
        <v>16.5</v>
      </c>
      <c r="G4" s="2464" t="n">
        <v>28</v>
      </c>
      <c r="H4" s="2467">
        <f>E4*F4</f>
        <v/>
      </c>
      <c r="I4" s="2491" t="inlineStr">
        <is>
          <t>—</t>
        </is>
      </c>
      <c r="J4" s="2492" t="inlineStr">
        <is>
          <t>BUY (Day 1)</t>
        </is>
      </c>
    </row>
    <row r="5" ht="17" customHeight="1">
      <c r="A5" s="2480" t="inlineStr">
        <is>
          <t>2026-04-27</t>
        </is>
      </c>
      <c r="B5" s="2481" t="inlineStr">
        <is>
          <t>TIDLOR.BK</t>
        </is>
      </c>
      <c r="C5" s="2482" t="inlineStr">
        <is>
          <t>TIDLOR</t>
        </is>
      </c>
      <c r="D5" s="2483" t="inlineStr">
        <is>
          <t>BUY</t>
        </is>
      </c>
      <c r="E5" s="2484" t="n">
        <v>2700</v>
      </c>
      <c r="F5" s="2485" t="n">
        <v>17.4</v>
      </c>
      <c r="G5" s="2484" t="n">
        <v>27</v>
      </c>
      <c r="H5" s="2486">
        <f>E5*F5</f>
        <v/>
      </c>
      <c r="I5" s="2487" t="inlineStr">
        <is>
          <t>—</t>
        </is>
      </c>
      <c r="J5" s="2488" t="inlineStr">
        <is>
          <t>BUY (Day 1)</t>
        </is>
      </c>
    </row>
    <row r="6" ht="17" customHeight="1">
      <c r="A6" s="2489" t="inlineStr">
        <is>
          <t>2026-04-27</t>
        </is>
      </c>
      <c r="B6" s="2490" t="inlineStr">
        <is>
          <t>WHA.BK</t>
        </is>
      </c>
      <c r="C6" s="2463" t="inlineStr">
        <is>
          <t>WHA</t>
        </is>
      </c>
      <c r="D6" s="2483" t="inlineStr">
        <is>
          <t>BUY</t>
        </is>
      </c>
      <c r="E6" s="2464" t="n">
        <v>10800</v>
      </c>
      <c r="F6" s="2465" t="n">
        <v>4.38</v>
      </c>
      <c r="G6" s="2464" t="n">
        <v>108</v>
      </c>
      <c r="H6" s="2467">
        <f>E6*F6</f>
        <v/>
      </c>
      <c r="I6" s="2491" t="inlineStr">
        <is>
          <t>—</t>
        </is>
      </c>
      <c r="J6" s="2492" t="inlineStr">
        <is>
          <t>BUY (Day 1)</t>
        </is>
      </c>
    </row>
    <row r="7" ht="17" customHeight="1">
      <c r="A7" s="2480" t="inlineStr">
        <is>
          <t>2026-04-27</t>
        </is>
      </c>
      <c r="B7" s="2481" t="inlineStr">
        <is>
          <t>KTC.BK</t>
        </is>
      </c>
      <c r="C7" s="2482" t="inlineStr">
        <is>
          <t>KTC</t>
        </is>
      </c>
      <c r="D7" s="2483" t="inlineStr">
        <is>
          <t>BUY</t>
        </is>
      </c>
      <c r="E7" s="2484" t="n">
        <v>1600</v>
      </c>
      <c r="F7" s="2485" t="n">
        <v>29.25</v>
      </c>
      <c r="G7" s="2484" t="n">
        <v>16</v>
      </c>
      <c r="H7" s="2486">
        <f>E7*F7</f>
        <v/>
      </c>
      <c r="I7" s="2487" t="inlineStr">
        <is>
          <t>—</t>
        </is>
      </c>
      <c r="J7" s="2488" t="inlineStr">
        <is>
          <t>BUY (Day 1)</t>
        </is>
      </c>
    </row>
    <row r="8" ht="17" customHeight="1">
      <c r="A8" s="2489" t="inlineStr">
        <is>
          <t>2026-04-27</t>
        </is>
      </c>
      <c r="B8" s="2490" t="inlineStr">
        <is>
          <t>JASIF.BK</t>
        </is>
      </c>
      <c r="C8" s="2463" t="inlineStr">
        <is>
          <t>JASIF</t>
        </is>
      </c>
      <c r="D8" s="2483" t="inlineStr">
        <is>
          <t>BUY</t>
        </is>
      </c>
      <c r="E8" s="2464" t="n">
        <v>7000</v>
      </c>
      <c r="F8" s="2465" t="n">
        <v>6.7</v>
      </c>
      <c r="G8" s="2464" t="n">
        <v>70</v>
      </c>
      <c r="H8" s="2467">
        <f>E8*F8</f>
        <v/>
      </c>
      <c r="I8" s="2491" t="inlineStr">
        <is>
          <t>—</t>
        </is>
      </c>
      <c r="J8" s="2492" t="inlineStr">
        <is>
          <t>BUY (Day 1)</t>
        </is>
      </c>
    </row>
    <row r="9" ht="17" customHeight="1">
      <c r="A9" s="2480" t="inlineStr">
        <is>
          <t>2026-05-05</t>
        </is>
      </c>
      <c r="B9" s="2481" t="inlineStr">
        <is>
          <t>AMATA.BK</t>
        </is>
      </c>
      <c r="C9" s="2482" t="inlineStr">
        <is>
          <t>AMATA</t>
        </is>
      </c>
      <c r="D9" s="2493" t="inlineStr">
        <is>
          <t>DIVIDEND</t>
        </is>
      </c>
      <c r="E9" s="2484" t="n">
        <v>2300</v>
      </c>
      <c r="F9" s="2485" t="n">
        <v>0.75</v>
      </c>
      <c r="G9" s="2484" t="n">
        <v>23</v>
      </c>
      <c r="H9" s="2486">
        <f>E9*F9</f>
        <v/>
      </c>
      <c r="I9" s="2494" t="n">
        <v>1725</v>
      </c>
      <c r="J9" s="2488" t="inlineStr">
        <is>
          <t>Dividend ฿0.7500/share</t>
        </is>
      </c>
    </row>
    <row r="10" ht="17" customHeight="1">
      <c r="A10" s="2489" t="inlineStr">
        <is>
          <t>2026-05-08</t>
        </is>
      </c>
      <c r="B10" s="2490" t="inlineStr">
        <is>
          <t>JASIF.BK</t>
        </is>
      </c>
      <c r="C10" s="2463" t="inlineStr">
        <is>
          <t>JASIF</t>
        </is>
      </c>
      <c r="D10" s="2493" t="inlineStr">
        <is>
          <t>SELL</t>
        </is>
      </c>
      <c r="E10" s="2464" t="n">
        <v>7000</v>
      </c>
      <c r="F10" s="2465" t="n">
        <v>6.7</v>
      </c>
      <c r="G10" s="2464" t="n">
        <v>70</v>
      </c>
      <c r="H10" s="2467">
        <f>E10*F10</f>
        <v/>
      </c>
      <c r="I10" s="2495" t="n">
        <v>-234.5</v>
      </c>
      <c r="J10" s="2492" t="inlineStr">
        <is>
          <t>SELL</t>
        </is>
      </c>
    </row>
    <row r="11" ht="17" customHeight="1">
      <c r="A11" s="2480" t="inlineStr">
        <is>
          <t>2026-05-08</t>
        </is>
      </c>
      <c r="B11" s="2481" t="inlineStr">
        <is>
          <t>KGI.BK</t>
        </is>
      </c>
      <c r="C11" s="2482" t="inlineStr">
        <is>
          <t>KGI</t>
        </is>
      </c>
      <c r="D11" s="2483" t="inlineStr">
        <is>
          <t>BUY</t>
        </is>
      </c>
      <c r="E11" s="2484" t="n">
        <v>1500</v>
      </c>
      <c r="F11" s="2485" t="n">
        <v>4.22</v>
      </c>
      <c r="G11" s="2484" t="n">
        <v>15</v>
      </c>
      <c r="H11" s="2486">
        <f>E11*F11</f>
        <v/>
      </c>
      <c r="I11" s="2487" t="inlineStr">
        <is>
          <t>—</t>
        </is>
      </c>
      <c r="J11" s="2488" t="inlineStr">
        <is>
          <t>BUY</t>
        </is>
      </c>
    </row>
    <row r="12" ht="17" customHeight="1">
      <c r="A12" s="2489" t="inlineStr">
        <is>
          <t>2026-05-08</t>
        </is>
      </c>
      <c r="B12" s="2490" t="inlineStr">
        <is>
          <t>TU.BK</t>
        </is>
      </c>
      <c r="C12" s="2463" t="inlineStr">
        <is>
          <t>TU</t>
        </is>
      </c>
      <c r="D12" s="2483" t="inlineStr">
        <is>
          <t>BUY</t>
        </is>
      </c>
      <c r="E12" s="2464" t="n">
        <v>500</v>
      </c>
      <c r="F12" s="2465" t="n">
        <v>11.6</v>
      </c>
      <c r="G12" s="2464" t="n">
        <v>5</v>
      </c>
      <c r="H12" s="2467">
        <f>E12*F12</f>
        <v/>
      </c>
      <c r="I12" s="2491" t="inlineStr">
        <is>
          <t>—</t>
        </is>
      </c>
      <c r="J12" s="2492" t="inlineStr">
        <is>
          <t>BUY</t>
        </is>
      </c>
    </row>
    <row r="13" ht="17" customHeight="1">
      <c r="A13" s="2480" t="inlineStr">
        <is>
          <t>2026-05-08</t>
        </is>
      </c>
      <c r="B13" s="2481" t="inlineStr">
        <is>
          <t>BTSGIF.BK</t>
        </is>
      </c>
      <c r="C13" s="2482" t="inlineStr">
        <is>
          <t>BTSGIF</t>
        </is>
      </c>
      <c r="D13" s="2483" t="inlineStr">
        <is>
          <t>BUY</t>
        </is>
      </c>
      <c r="E13" s="2484" t="n">
        <v>2300</v>
      </c>
      <c r="F13" s="2485" t="n">
        <v>2.62</v>
      </c>
      <c r="G13" s="2484" t="n">
        <v>23</v>
      </c>
      <c r="H13" s="2486">
        <f>E13*F13</f>
        <v/>
      </c>
      <c r="I13" s="2487" t="inlineStr">
        <is>
          <t>—</t>
        </is>
      </c>
      <c r="J13" s="2488" t="inlineStr">
        <is>
          <t>BUY</t>
        </is>
      </c>
    </row>
    <row r="14" ht="17" customHeight="1">
      <c r="A14" s="2489" t="inlineStr">
        <is>
          <t>2026-05-11</t>
        </is>
      </c>
      <c r="B14" s="2490" t="inlineStr">
        <is>
          <t>WHA.BK</t>
        </is>
      </c>
      <c r="C14" s="2463" t="inlineStr">
        <is>
          <t>WHA</t>
        </is>
      </c>
      <c r="D14" s="2493" t="inlineStr">
        <is>
          <t>DIVIDEND</t>
        </is>
      </c>
      <c r="E14" s="2464" t="n">
        <v>10800</v>
      </c>
      <c r="F14" s="2465" t="n">
        <v>0.1438</v>
      </c>
      <c r="G14" s="2464" t="n">
        <v>108</v>
      </c>
      <c r="H14" s="2467">
        <f>E14*F14</f>
        <v/>
      </c>
      <c r="I14" s="2496" t="n">
        <v>1553.04</v>
      </c>
      <c r="J14" s="2492" t="inlineStr">
        <is>
          <t>Dividend ฿0.1438/share</t>
        </is>
      </c>
    </row>
    <row r="15" ht="17" customHeight="1">
      <c r="A15" s="2480" t="inlineStr">
        <is>
          <t>2026-06-02</t>
        </is>
      </c>
      <c r="B15" s="2481" t="inlineStr">
        <is>
          <t>TIDLOR.BK</t>
        </is>
      </c>
      <c r="C15" s="2482" t="inlineStr">
        <is>
          <t>TIDLOR</t>
        </is>
      </c>
      <c r="D15" s="2493" t="inlineStr">
        <is>
          <t>DIVIDEND</t>
        </is>
      </c>
      <c r="E15" s="2484" t="n">
        <v>2700</v>
      </c>
      <c r="F15" s="2485" t="n">
        <v>0.6899999999999999</v>
      </c>
      <c r="G15" s="2484" t="n">
        <v>27</v>
      </c>
      <c r="H15" s="2486">
        <f>E15*F15</f>
        <v/>
      </c>
      <c r="I15" s="2494" t="n">
        <v>1863</v>
      </c>
      <c r="J15" s="2488" t="inlineStr">
        <is>
          <t>Dividend ฿0.6900/share</t>
        </is>
      </c>
    </row>
    <row r="16" ht="17" customHeight="1">
      <c r="A16" s="2489" t="inlineStr">
        <is>
          <t>2026-06-02</t>
        </is>
      </c>
      <c r="B16" s="2490" t="inlineStr">
        <is>
          <t>LH.BK</t>
        </is>
      </c>
      <c r="C16" s="2463" t="inlineStr">
        <is>
          <t>LH</t>
        </is>
      </c>
      <c r="D16" s="2483" t="inlineStr">
        <is>
          <t>BUY</t>
        </is>
      </c>
      <c r="E16" s="2464" t="n">
        <v>1800</v>
      </c>
      <c r="F16" s="2465" t="n">
        <v>3.64</v>
      </c>
      <c r="G16" s="2464" t="n">
        <v>18</v>
      </c>
      <c r="H16" s="2467">
        <f>E16*F16</f>
        <v/>
      </c>
      <c r="I16" s="2491" t="inlineStr">
        <is>
          <t>—</t>
        </is>
      </c>
      <c r="J16" s="2492" t="inlineStr">
        <is>
          <t>BUY</t>
        </is>
      </c>
    </row>
    <row r="17" ht="17" customHeight="1">
      <c r="A17" s="2480" t="inlineStr">
        <is>
          <t>2026-06-02</t>
        </is>
      </c>
      <c r="B17" s="2481" t="inlineStr">
        <is>
          <t>TIDLOR.BK</t>
        </is>
      </c>
      <c r="C17" s="2482" t="inlineStr">
        <is>
          <t>TIDLOR</t>
        </is>
      </c>
      <c r="D17" s="2493" t="inlineStr">
        <is>
          <t>DIVIDEND</t>
        </is>
      </c>
      <c r="E17" s="2484" t="n">
        <v>2700</v>
      </c>
      <c r="F17" s="2485" t="n">
        <v>0.6899999999999999</v>
      </c>
      <c r="G17" s="2484" t="n">
        <v>27</v>
      </c>
      <c r="H17" s="2486">
        <f>E17*F17</f>
        <v/>
      </c>
      <c r="I17" s="2494" t="n">
        <v>1863</v>
      </c>
      <c r="J17" s="2488" t="inlineStr">
        <is>
          <t>Dividend ฿0.6900/share</t>
        </is>
      </c>
    </row>
    <row r="18" ht="17" customHeight="1">
      <c r="A18" s="2489" t="inlineStr">
        <is>
          <t>2026-06-04</t>
        </is>
      </c>
      <c r="B18" s="2490" t="inlineStr">
        <is>
          <t>BPP.BK</t>
        </is>
      </c>
      <c r="C18" s="2463" t="inlineStr">
        <is>
          <t>BPP</t>
        </is>
      </c>
      <c r="D18" s="2483" t="inlineStr">
        <is>
          <t>BUY</t>
        </is>
      </c>
      <c r="E18" s="2464" t="n">
        <v>500</v>
      </c>
      <c r="F18" s="2465" t="n">
        <v>11.8</v>
      </c>
      <c r="G18" s="2464" t="n">
        <v>5</v>
      </c>
      <c r="H18" s="2467">
        <f>E18*F18</f>
        <v/>
      </c>
      <c r="I18" s="2491" t="inlineStr">
        <is>
          <t>—</t>
        </is>
      </c>
      <c r="J18" s="2492" t="inlineStr">
        <is>
          <t>BUY</t>
        </is>
      </c>
    </row>
    <row r="19" ht="17" customHeight="1">
      <c r="A19" s="2480" t="inlineStr">
        <is>
          <t>2026-06-08</t>
        </is>
      </c>
      <c r="B19" s="2481" t="inlineStr">
        <is>
          <t>BPP.BK</t>
        </is>
      </c>
      <c r="C19" s="2482" t="inlineStr">
        <is>
          <t>BPP</t>
        </is>
      </c>
      <c r="D19" s="2493" t="inlineStr">
        <is>
          <t>SELL</t>
        </is>
      </c>
      <c r="E19" s="2484" t="n">
        <v>500</v>
      </c>
      <c r="F19" s="2485" t="n">
        <v>11.5</v>
      </c>
      <c r="G19" s="2484" t="n">
        <v>5</v>
      </c>
      <c r="H19" s="2486">
        <f>E19*F19</f>
        <v/>
      </c>
      <c r="I19" s="2497" t="n">
        <v>-179.12</v>
      </c>
      <c r="J19" s="2488" t="inlineStr">
        <is>
          <t>SELL</t>
        </is>
      </c>
    </row>
    <row r="20" ht="17" customHeight="1">
      <c r="A20" s="2489" t="inlineStr">
        <is>
          <t>2026-06-08</t>
        </is>
      </c>
      <c r="B20" s="2490" t="inlineStr">
        <is>
          <t>CK.BK</t>
        </is>
      </c>
      <c r="C20" s="2463" t="inlineStr">
        <is>
          <t>CK</t>
        </is>
      </c>
      <c r="D20" s="2493" t="inlineStr">
        <is>
          <t>SELL</t>
        </is>
      </c>
      <c r="E20" s="2464" t="n">
        <v>2800</v>
      </c>
      <c r="F20" s="2465" t="n">
        <v>18.2</v>
      </c>
      <c r="G20" s="2464" t="n">
        <v>28</v>
      </c>
      <c r="H20" s="2467">
        <f>E20*F20</f>
        <v/>
      </c>
      <c r="I20" s="2496" t="n">
        <v>4517.1</v>
      </c>
      <c r="J20" s="2492" t="inlineStr">
        <is>
          <t>ATR stop ฿18.23 (--10.3%)</t>
        </is>
      </c>
    </row>
    <row r="22" ht="22" customHeight="1">
      <c r="G22" s="52" t="inlineStr">
        <is>
          <t>TOTAL TRADES</t>
        </is>
      </c>
      <c r="H22" s="2498">
        <f>SUM(H3:H20)</f>
        <v/>
      </c>
      <c r="I22" s="2498">
        <f>SUM(I3:I20)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2026-06-10T02:40:27Z</dcterms:modified>
</cp:coreProperties>
</file>