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erformance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oday's Trades" sheetId="3" state="visible" r:id="rId3"/>
    <sheet xmlns:r="http://schemas.openxmlformats.org/officeDocument/2006/relationships" name="Trad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฿#,##0"/>
    <numFmt numFmtId="166" formatCode="฿#,##0;(฿#,##0);-"/>
    <numFmt numFmtId="167" formatCode="฿#,##0.00;(฿#,##0.00);-"/>
    <numFmt numFmtId="168" formatCode="฿#,##0;(฿#,##0);&quot;-&quot;"/>
    <numFmt numFmtId="169" formatCode="0.00%;(0.00%);&quot;-&quot;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95959"/>
      <sz val="10"/>
    </font>
    <font>
      <name val="Arial"/>
      <b val="1"/>
      <color rgb="0000B050"/>
      <sz val="10"/>
    </font>
    <font>
      <name val="Arial"/>
      <color rgb="002E75B6"/>
      <sz val="10"/>
    </font>
    <font>
      <name val="Arial"/>
      <color rgb="0000B050"/>
      <sz val="10"/>
    </font>
    <font>
      <name val="Arial"/>
      <color rgb="00C00000"/>
      <sz val="10"/>
    </font>
    <font>
      <name val="Arial"/>
      <b val="1"/>
      <color rgb="00C9A84C"/>
      <sz val="14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color rgb="000000FF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i val="1"/>
      <color rgb="00595959"/>
      <sz val="11"/>
    </font>
    <font>
      <name val="Arial"/>
      <b val="1"/>
      <color rgb="0000B050"/>
      <sz val="9"/>
    </font>
    <font>
      <name val="Arial"/>
      <b val="1"/>
      <color rgb="0000B050"/>
      <sz val="11"/>
    </font>
    <font>
      <name val="Arial"/>
      <b val="1"/>
      <color rgb="00FFC000"/>
      <sz val="10"/>
    </font>
    <font>
      <name val="Arial"/>
      <b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3" fillId="0" borderId="0" pivotButton="0" quotePrefix="0" xfId="0"/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166" fontId="12" fillId="7" borderId="1" applyAlignment="1" pivotButton="0" quotePrefix="0" xfId="0">
      <alignment horizontal="center" vertical="center"/>
    </xf>
    <xf numFmtId="10" fontId="12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166" fontId="12" fillId="7" borderId="1" applyAlignment="1" pivotButton="0" quotePrefix="0" xfId="0">
      <alignment horizontal="center" vertical="center"/>
    </xf>
    <xf numFmtId="10" fontId="12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166" fontId="12" fillId="7" borderId="1" applyAlignment="1" pivotButton="0" quotePrefix="0" xfId="0">
      <alignment horizontal="center" vertical="center"/>
    </xf>
    <xf numFmtId="10" fontId="12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9" fontId="12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166" fontId="12" fillId="7" borderId="1" applyAlignment="1" pivotButton="0" quotePrefix="0" xfId="0">
      <alignment horizontal="center" vertical="center"/>
    </xf>
    <xf numFmtId="10" fontId="12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3" fontId="2" fillId="8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167" fontId="11" fillId="8" borderId="1" applyAlignment="1" pivotButton="0" quotePrefix="0" xfId="0">
      <alignment horizontal="right" vertical="center"/>
    </xf>
    <xf numFmtId="166" fontId="2" fillId="8" borderId="1" applyAlignment="1" pivotButton="0" quotePrefix="0" xfId="0">
      <alignment horizontal="center" vertical="center"/>
    </xf>
    <xf numFmtId="168" fontId="6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8" fontId="16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9" fontId="12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7" fontId="11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center" vertical="center"/>
    </xf>
    <xf numFmtId="168" fontId="12" fillId="7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7" fontId="11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2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1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Portfolio Value (฿)</t>
        </is>
      </c>
      <c r="D1" s="1" t="inlineStr">
        <is>
          <t>Cash (฿)</t>
        </is>
      </c>
      <c r="E1" s="1" t="inlineStr">
        <is>
          <t>Invested (฿)</t>
        </is>
      </c>
      <c r="F1" s="1" t="inlineStr">
        <is>
          <t>Total P&amp;L (฿)</t>
        </is>
      </c>
      <c r="G1" s="1" t="inlineStr">
        <is>
          <t>Total Return %</t>
        </is>
      </c>
      <c r="H1" s="1" t="inlineStr">
        <is>
          <t>Realised P&amp;L Today (฿)</t>
        </is>
      </c>
      <c r="I1" s="1" t="inlineStr">
        <is>
          <t>Drawdown %</t>
        </is>
      </c>
      <c r="J1" s="1" t="inlineStr">
        <is>
          <t>Positions</t>
        </is>
      </c>
      <c r="K1" s="1" t="inlineStr">
        <is>
          <t>Buys</t>
        </is>
      </c>
      <c r="L1" s="1" t="inlineStr">
        <is>
          <t>Sells</t>
        </is>
      </c>
    </row>
    <row r="2" ht="20" customHeight="1">
      <c r="A2" s="8381" t="inlineStr">
        <is>
          <t>2026-04-22</t>
        </is>
      </c>
      <c r="B2" s="8382" t="n">
        <v>3</v>
      </c>
      <c r="C2" s="8383" t="n">
        <v>303748.3059307933</v>
      </c>
      <c r="D2" s="8384" t="n">
        <v>29448.30848187208</v>
      </c>
      <c r="E2" s="8385" t="n">
        <v>274299.9974489212</v>
      </c>
      <c r="F2" s="8386" t="n">
        <v>3748.305930793285</v>
      </c>
      <c r="G2" s="8387" t="n">
        <v>0.01249435310264429</v>
      </c>
      <c r="H2" s="8388" t="n">
        <v>0</v>
      </c>
      <c r="I2" s="8389" t="n">
        <v>0</v>
      </c>
      <c r="J2" s="8390" t="n">
        <v>10</v>
      </c>
      <c r="K2" s="8391" t="n">
        <v>0</v>
      </c>
      <c r="L2" s="8392" t="n">
        <v>0</v>
      </c>
    </row>
    <row r="3" ht="20" customHeight="1">
      <c r="A3" s="8381" t="inlineStr">
        <is>
          <t>2026-04-23</t>
        </is>
      </c>
      <c r="B3" s="648" t="n">
        <v>4</v>
      </c>
      <c r="C3" s="649" t="n">
        <v>299325.3084818721</v>
      </c>
      <c r="D3" s="650" t="n">
        <v>29448.30848187208</v>
      </c>
      <c r="E3" s="651" t="n">
        <v>269877</v>
      </c>
      <c r="F3" s="652" t="n">
        <v>-674.6915181279182</v>
      </c>
      <c r="G3" s="653" t="n">
        <v>-0.002248971727093061</v>
      </c>
      <c r="H3" s="654" t="n">
        <v>0</v>
      </c>
      <c r="I3" s="655" t="n">
        <v>-0.01456138968534346</v>
      </c>
      <c r="J3" s="656" t="n">
        <v>10</v>
      </c>
      <c r="K3" s="657" t="n">
        <v>0</v>
      </c>
      <c r="L3" s="658" t="n">
        <v>0</v>
      </c>
    </row>
    <row r="4" ht="20" customHeight="1">
      <c r="A4" s="8381" t="inlineStr">
        <is>
          <t>2026-04-24</t>
        </is>
      </c>
      <c r="B4" s="648" t="n">
        <v>5</v>
      </c>
      <c r="C4" s="649" t="n">
        <v>299017.3066517711</v>
      </c>
      <c r="D4" s="650" t="n">
        <v>29448.30848187208</v>
      </c>
      <c r="E4" s="651" t="n">
        <v>269568.998169899</v>
      </c>
      <c r="F4" s="652" t="n">
        <v>-982.6933482289314</v>
      </c>
      <c r="G4" s="653" t="n">
        <v>-0.003275644494096438</v>
      </c>
      <c r="H4" s="654" t="n">
        <v>0</v>
      </c>
      <c r="I4" s="655" t="n">
        <v>-0.01557539313519707</v>
      </c>
      <c r="J4" s="656" t="n">
        <v>10</v>
      </c>
      <c r="K4" s="657" t="n">
        <v>0</v>
      </c>
      <c r="L4" s="658" t="n">
        <v>0</v>
      </c>
    </row>
    <row r="5" ht="20" customHeight="1">
      <c r="A5" s="8381" t="inlineStr">
        <is>
          <t>2026-04-29</t>
        </is>
      </c>
      <c r="B5" s="8382" t="n">
        <v>2</v>
      </c>
      <c r="C5" s="8383" t="n">
        <v>304153.8160982132</v>
      </c>
      <c r="D5" s="8384" t="n">
        <v>18423.81789112091</v>
      </c>
      <c r="E5" s="8385" t="n">
        <v>285729.9982070923</v>
      </c>
      <c r="F5" s="8386" t="n">
        <v>4153.816098213196</v>
      </c>
      <c r="G5" s="8387" t="n">
        <v>0.01384605366071065</v>
      </c>
      <c r="H5" s="8388" t="n">
        <v>0</v>
      </c>
      <c r="I5" s="8389" t="n">
        <v>0</v>
      </c>
      <c r="J5" s="8390" t="n">
        <v>6</v>
      </c>
      <c r="K5" s="8391" t="n">
        <v>0</v>
      </c>
      <c r="L5" s="8392" t="n">
        <v>0</v>
      </c>
    </row>
    <row r="6" ht="20" customHeight="1">
      <c r="A6" s="8381" t="inlineStr">
        <is>
          <t>2026-04-30</t>
        </is>
      </c>
      <c r="B6" s="8382" t="n">
        <v>4</v>
      </c>
      <c r="C6" s="8383" t="n">
        <v>302787.819642067</v>
      </c>
      <c r="D6" s="8384" t="n">
        <v>18423.81789112091</v>
      </c>
      <c r="E6" s="8385" t="n">
        <v>284364.001750946</v>
      </c>
      <c r="F6" s="8386" t="n">
        <v>2787.819642066956</v>
      </c>
      <c r="G6" s="8387" t="n">
        <v>0.009292732140223185</v>
      </c>
      <c r="H6" s="8388" t="n">
        <v>0</v>
      </c>
      <c r="I6" s="8389" t="n">
        <v>-0.004491136996634464</v>
      </c>
      <c r="J6" s="8390" t="n">
        <v>6</v>
      </c>
      <c r="K6" s="8391" t="n">
        <v>0</v>
      </c>
      <c r="L6" s="8392" t="n">
        <v>0</v>
      </c>
    </row>
    <row r="7" ht="20" customHeight="1">
      <c r="A7" s="8381" t="inlineStr">
        <is>
          <t>2026-05-01</t>
        </is>
      </c>
      <c r="B7" s="8382" t="n">
        <v>5</v>
      </c>
      <c r="C7" s="8383" t="n">
        <v>302787.819642067</v>
      </c>
      <c r="D7" s="8384" t="n">
        <v>18423.81789112091</v>
      </c>
      <c r="E7" s="8385" t="n">
        <v>284364.001750946</v>
      </c>
      <c r="F7" s="8386" t="n">
        <v>2787.819642066956</v>
      </c>
      <c r="G7" s="8387" t="n">
        <v>0.009292732140223185</v>
      </c>
      <c r="H7" s="8388" t="n">
        <v>0</v>
      </c>
      <c r="I7" s="8389" t="n">
        <v>-0.004491136996634464</v>
      </c>
      <c r="J7" s="8390" t="n">
        <v>6</v>
      </c>
      <c r="K7" s="8391" t="n">
        <v>0</v>
      </c>
      <c r="L7" s="8392" t="n">
        <v>0</v>
      </c>
    </row>
    <row r="8" ht="20" customHeight="1">
      <c r="A8" s="8381" t="inlineStr">
        <is>
          <t>2026-05-04</t>
        </is>
      </c>
      <c r="B8" s="8382" t="n">
        <v>6</v>
      </c>
      <c r="C8" s="8383" t="n">
        <v>302787.819642067</v>
      </c>
      <c r="D8" s="8384" t="n">
        <v>18423.81789112091</v>
      </c>
      <c r="E8" s="8385" t="n">
        <v>284364.001750946</v>
      </c>
      <c r="F8" s="8386" t="n">
        <v>2787.819642066956</v>
      </c>
      <c r="G8" s="8387" t="n">
        <v>0.009292732140223185</v>
      </c>
      <c r="H8" s="8388" t="n">
        <v>0</v>
      </c>
      <c r="I8" s="8389" t="n">
        <v>-0.004491136996634464</v>
      </c>
      <c r="J8" s="8390" t="n">
        <v>6</v>
      </c>
      <c r="K8" s="8391" t="n">
        <v>0</v>
      </c>
      <c r="L8" s="8392" t="n">
        <v>0</v>
      </c>
    </row>
    <row r="9" ht="20" customHeight="1">
      <c r="A9" s="8381" t="inlineStr">
        <is>
          <t>2026-05-05</t>
        </is>
      </c>
      <c r="B9" s="8382" t="n">
        <v>7</v>
      </c>
      <c r="C9" s="8383" t="n">
        <v>301062.819642067</v>
      </c>
      <c r="D9" s="8384" t="n">
        <v>18423.81789112091</v>
      </c>
      <c r="E9" s="8385" t="n">
        <v>282639.001750946</v>
      </c>
      <c r="F9" s="8386" t="n">
        <v>1062.819642066956</v>
      </c>
      <c r="G9" s="8387" t="n">
        <v>0.003542732140223185</v>
      </c>
      <c r="H9" s="8388" t="n">
        <v>0</v>
      </c>
      <c r="I9" s="8389" t="n">
        <v>-0.01016260948423589</v>
      </c>
      <c r="J9" s="8390" t="n">
        <v>6</v>
      </c>
      <c r="K9" s="8391" t="n">
        <v>0</v>
      </c>
      <c r="L9" s="8392" t="n">
        <v>0</v>
      </c>
    </row>
    <row r="10" ht="20" customHeight="1">
      <c r="A10" s="8381" t="inlineStr">
        <is>
          <t>2026-05-06</t>
        </is>
      </c>
      <c r="B10" s="648" t="n">
        <v>8</v>
      </c>
      <c r="C10" s="649" t="n">
        <v>299729.8232736588</v>
      </c>
      <c r="D10" s="650" t="n">
        <v>18423.81789112091</v>
      </c>
      <c r="E10" s="651" t="n">
        <v>281306.0053825378</v>
      </c>
      <c r="F10" s="652" t="n">
        <v>-270.1767263412476</v>
      </c>
      <c r="G10" s="653" t="n">
        <v>-0.0009005890878041585</v>
      </c>
      <c r="H10" s="654" t="n">
        <v>0</v>
      </c>
      <c r="I10" s="655" t="n">
        <v>-0.01454524845785893</v>
      </c>
      <c r="J10" s="656" t="n">
        <v>6</v>
      </c>
      <c r="K10" s="657" t="n">
        <v>0</v>
      </c>
      <c r="L10" s="658" t="n">
        <v>0</v>
      </c>
    </row>
    <row r="11" ht="20" customHeight="1">
      <c r="A11" s="8381" t="inlineStr">
        <is>
          <t>2026-05-07</t>
        </is>
      </c>
      <c r="B11" s="8382" t="n">
        <v>9</v>
      </c>
      <c r="C11" s="8383" t="n">
        <v>308341.8176355362</v>
      </c>
      <c r="D11" s="8384" t="n">
        <v>18423.81789112091</v>
      </c>
      <c r="E11" s="8385" t="n">
        <v>289917.9997444153</v>
      </c>
      <c r="F11" s="8386" t="n">
        <v>8341.817635536194</v>
      </c>
      <c r="G11" s="8387" t="n">
        <v>0.02780605878512065</v>
      </c>
      <c r="H11" s="8388" t="n">
        <v>0</v>
      </c>
      <c r="I11" s="8389" t="n">
        <v>0</v>
      </c>
      <c r="J11" s="8390" t="n">
        <v>6</v>
      </c>
      <c r="K11" s="8391" t="n">
        <v>0</v>
      </c>
      <c r="L11" s="8392" t="n">
        <v>0</v>
      </c>
    </row>
    <row r="12" ht="20" customHeight="1">
      <c r="A12" s="8381" t="inlineStr">
        <is>
          <t>2026-05-08</t>
        </is>
      </c>
      <c r="B12" s="8382" t="n">
        <v>10</v>
      </c>
      <c r="C12" s="8383" t="n">
        <v>311587.818192482</v>
      </c>
      <c r="D12" s="8384" t="n">
        <v>18423.81789112091</v>
      </c>
      <c r="E12" s="8385" t="n">
        <v>293164.0003013611</v>
      </c>
      <c r="F12" s="8386" t="n">
        <v>11587.81819248199</v>
      </c>
      <c r="G12" s="8387" t="n">
        <v>0.03862606064160665</v>
      </c>
      <c r="H12" s="8388" t="n">
        <v>0</v>
      </c>
      <c r="I12" s="8389" t="n">
        <v>0</v>
      </c>
      <c r="J12" s="8390" t="n">
        <v>6</v>
      </c>
      <c r="K12" s="8391" t="n">
        <v>0</v>
      </c>
      <c r="L12" s="8392" t="n">
        <v>0</v>
      </c>
    </row>
    <row r="13" ht="20" customHeight="1">
      <c r="A13" s="8381" t="inlineStr">
        <is>
          <t>2026-05-11</t>
        </is>
      </c>
      <c r="B13" s="8382" t="n">
        <v>11</v>
      </c>
      <c r="C13" s="8383" t="n">
        <v>310489.1351679564</v>
      </c>
      <c r="D13" s="8384" t="n">
        <v>48730.17694747448</v>
      </c>
      <c r="E13" s="8385" t="n">
        <v>261758.9582204819</v>
      </c>
      <c r="F13" s="8386" t="n">
        <v>10489.13516795635</v>
      </c>
      <c r="G13" s="8387" t="n">
        <v>0.03496378389318784</v>
      </c>
      <c r="H13" s="8388" t="n">
        <v>0</v>
      </c>
      <c r="I13" s="8389" t="n">
        <v>-0.003526078236623923</v>
      </c>
      <c r="J13" s="8390" t="n">
        <v>8</v>
      </c>
      <c r="K13" s="8391" t="n">
        <v>0</v>
      </c>
      <c r="L13" s="8392" t="n">
        <v>0</v>
      </c>
    </row>
    <row r="14" ht="20" customHeight="1">
      <c r="A14" s="8381" t="inlineStr">
        <is>
          <t>2026-05-12</t>
        </is>
      </c>
      <c r="B14" s="8382" t="n">
        <v>12</v>
      </c>
      <c r="C14" s="8383" t="n">
        <v>304964.1755083799</v>
      </c>
      <c r="D14" s="8384" t="n">
        <v>48730.17694747448</v>
      </c>
      <c r="E14" s="8385" t="n">
        <v>256233.9985609055</v>
      </c>
      <c r="F14" s="8386" t="n">
        <v>4964.175508379936</v>
      </c>
      <c r="G14" s="8387" t="n">
        <v>0.01654725169459979</v>
      </c>
      <c r="H14" s="8388" t="n">
        <v>0</v>
      </c>
      <c r="I14" s="8389" t="n">
        <v>-0.0212577074499438</v>
      </c>
      <c r="J14" s="8390" t="n">
        <v>8</v>
      </c>
      <c r="K14" s="8391" t="n">
        <v>0</v>
      </c>
      <c r="L14" s="8392" t="n">
        <v>0</v>
      </c>
    </row>
    <row r="15" ht="20" customHeight="1">
      <c r="A15" s="8381" t="inlineStr">
        <is>
          <t>2026-05-13</t>
        </is>
      </c>
      <c r="B15" s="8382" t="n">
        <v>13</v>
      </c>
      <c r="C15" s="8383" t="n">
        <v>302514.1766527891</v>
      </c>
      <c r="D15" s="8384" t="n">
        <v>48730.17694747448</v>
      </c>
      <c r="E15" s="8385" t="n">
        <v>253783.9997053146</v>
      </c>
      <c r="F15" s="8386" t="n">
        <v>2514.176652789116</v>
      </c>
      <c r="G15" s="8387" t="n">
        <v>0.008380588842630387</v>
      </c>
      <c r="H15" s="8388" t="n">
        <v>0</v>
      </c>
      <c r="I15" s="8389" t="n">
        <v>-0.0291206555902249</v>
      </c>
      <c r="J15" s="8390" t="n">
        <v>8</v>
      </c>
      <c r="K15" s="8391" t="n">
        <v>0</v>
      </c>
      <c r="L15" s="8392" t="n">
        <v>0</v>
      </c>
    </row>
    <row r="16" ht="20" customHeight="1">
      <c r="A16" s="8381" t="inlineStr">
        <is>
          <t>2026-05-14</t>
        </is>
      </c>
      <c r="B16" s="8382" t="n">
        <v>14</v>
      </c>
      <c r="C16" s="8383" t="n">
        <v>304920.1800802946</v>
      </c>
      <c r="D16" s="8384" t="n">
        <v>48730.17694747448</v>
      </c>
      <c r="E16" s="8385" t="n">
        <v>256190.0031328201</v>
      </c>
      <c r="F16" s="8386" t="n">
        <v>4920.180080294609</v>
      </c>
      <c r="G16" s="8387" t="n">
        <v>0.0164006002676487</v>
      </c>
      <c r="H16" s="8388" t="n">
        <v>0</v>
      </c>
      <c r="I16" s="8389" t="n">
        <v>-0.02139890497281406</v>
      </c>
      <c r="J16" s="8390" t="n">
        <v>8</v>
      </c>
      <c r="K16" s="8391" t="n">
        <v>0</v>
      </c>
      <c r="L16" s="8392" t="n">
        <v>0</v>
      </c>
    </row>
    <row r="17" ht="20" customHeight="1">
      <c r="A17" s="8381" t="inlineStr">
        <is>
          <t>2026-05-15</t>
        </is>
      </c>
      <c r="B17" s="8382" t="n">
        <v>15</v>
      </c>
      <c r="C17" s="8383" t="n">
        <v>308166.1738375425</v>
      </c>
      <c r="D17" s="8384" t="n">
        <v>48730.17694747448</v>
      </c>
      <c r="E17" s="8385" t="n">
        <v>259435.9968900681</v>
      </c>
      <c r="F17" s="8386" t="n">
        <v>8166.173837542534</v>
      </c>
      <c r="G17" s="8387" t="n">
        <v>0.02722057945847511</v>
      </c>
      <c r="H17" s="8388" t="n">
        <v>0</v>
      </c>
      <c r="I17" s="8389" t="n">
        <v>-0.01098131619775249</v>
      </c>
      <c r="J17" s="8390" t="n">
        <v>8</v>
      </c>
      <c r="K17" s="8391" t="n">
        <v>0</v>
      </c>
      <c r="L17" s="8392" t="n">
        <v>0</v>
      </c>
    </row>
    <row r="18" ht="20" customHeight="1">
      <c r="A18" s="8381" t="inlineStr">
        <is>
          <t>2026-05-18</t>
        </is>
      </c>
      <c r="B18" s="8382" t="n">
        <v>16</v>
      </c>
      <c r="C18" s="8383" t="n">
        <v>308376.1740664244</v>
      </c>
      <c r="D18" s="8384" t="n">
        <v>48730.17694747448</v>
      </c>
      <c r="E18" s="8385" t="n">
        <v>259645.9971189499</v>
      </c>
      <c r="F18" s="8386" t="n">
        <v>8376.17406642437</v>
      </c>
      <c r="G18" s="8387" t="n">
        <v>0.02792058022141457</v>
      </c>
      <c r="H18" s="8388" t="n">
        <v>0</v>
      </c>
      <c r="I18" s="8389" t="n">
        <v>-0.01030734816491974</v>
      </c>
      <c r="J18" s="8390" t="n">
        <v>8</v>
      </c>
      <c r="K18" s="8391" t="n">
        <v>0</v>
      </c>
      <c r="L18" s="8392" t="n">
        <v>0</v>
      </c>
    </row>
    <row r="19" ht="20" customHeight="1">
      <c r="A19" s="8381" t="inlineStr">
        <is>
          <t>2026-05-19</t>
        </is>
      </c>
      <c r="B19" s="8382" t="n">
        <v>17</v>
      </c>
      <c r="C19" s="8383" t="n">
        <v>303508.175180316</v>
      </c>
      <c r="D19" s="8384" t="n">
        <v>48730.17694747448</v>
      </c>
      <c r="E19" s="8385" t="n">
        <v>254777.9982328415</v>
      </c>
      <c r="F19" s="8386" t="n">
        <v>3508.175180315971</v>
      </c>
      <c r="G19" s="8387" t="n">
        <v>0.01169391726771991</v>
      </c>
      <c r="H19" s="8388" t="n">
        <v>0</v>
      </c>
      <c r="I19" s="8389" t="n">
        <v>-0.02593054843747088</v>
      </c>
      <c r="J19" s="8390" t="n">
        <v>8</v>
      </c>
      <c r="K19" s="8391" t="n">
        <v>0</v>
      </c>
      <c r="L19" s="8392" t="n">
        <v>0</v>
      </c>
    </row>
    <row r="20" ht="20" customHeight="1">
      <c r="A20" s="8381" t="inlineStr">
        <is>
          <t>2026-05-20</t>
        </is>
      </c>
      <c r="B20" s="8382" t="n">
        <v>18</v>
      </c>
      <c r="C20" s="8383" t="n">
        <v>313322.179959178</v>
      </c>
      <c r="D20" s="8384" t="n">
        <v>48730.17694747448</v>
      </c>
      <c r="E20" s="8385" t="n">
        <v>264592.0030117035</v>
      </c>
      <c r="F20" s="8386" t="n">
        <v>13322.17995917797</v>
      </c>
      <c r="G20" s="8387" t="n">
        <v>0.04440726653059324</v>
      </c>
      <c r="H20" s="8388" t="n">
        <v>0</v>
      </c>
      <c r="I20" s="8389" t="n">
        <v>0</v>
      </c>
      <c r="J20" s="8390" t="n">
        <v>8</v>
      </c>
      <c r="K20" s="8391" t="n">
        <v>0</v>
      </c>
      <c r="L20" s="8392" t="n">
        <v>0</v>
      </c>
    </row>
    <row r="21" ht="20" customHeight="1">
      <c r="A21" s="8381" t="inlineStr">
        <is>
          <t>2026-05-21</t>
        </is>
      </c>
      <c r="B21" s="8382" t="n">
        <v>19</v>
      </c>
      <c r="C21" s="8383" t="n">
        <v>313566.1793926954</v>
      </c>
      <c r="D21" s="8384" t="n">
        <v>48730.17694747448</v>
      </c>
      <c r="E21" s="8385" t="n">
        <v>264836.0024452209</v>
      </c>
      <c r="F21" s="8386" t="n">
        <v>13566.17939269543</v>
      </c>
      <c r="G21" s="8387" t="n">
        <v>0.04522059797565142</v>
      </c>
      <c r="H21" s="8388" t="n">
        <v>0</v>
      </c>
      <c r="I21" s="8389" t="n">
        <v>0</v>
      </c>
      <c r="J21" s="8390" t="n">
        <v>8</v>
      </c>
      <c r="K21" s="8391" t="n">
        <v>0</v>
      </c>
      <c r="L21" s="8392" t="n">
        <v>0</v>
      </c>
    </row>
    <row r="22" ht="20" customHeight="1">
      <c r="A22" s="8381" t="inlineStr">
        <is>
          <t>2026-05-22</t>
        </is>
      </c>
      <c r="B22" s="8382" t="n">
        <v>20</v>
      </c>
      <c r="C22" s="8383" t="n">
        <v>321999.1744259596</v>
      </c>
      <c r="D22" s="8384" t="n">
        <v>48730.17694747448</v>
      </c>
      <c r="E22" s="8385" t="n">
        <v>273268.9974784851</v>
      </c>
      <c r="F22" s="8386" t="n">
        <v>21999.17442595959</v>
      </c>
      <c r="G22" s="8387" t="n">
        <v>0.07333058141986529</v>
      </c>
      <c r="H22" s="8388" t="n">
        <v>0</v>
      </c>
      <c r="I22" s="8389" t="n">
        <v>0</v>
      </c>
      <c r="J22" s="8390" t="n">
        <v>8</v>
      </c>
      <c r="K22" s="8391" t="n">
        <v>0</v>
      </c>
      <c r="L22" s="8392" t="n">
        <v>0</v>
      </c>
    </row>
    <row r="23" ht="20" customHeight="1">
      <c r="A23" s="8381" t="inlineStr">
        <is>
          <t>2026-05-25</t>
        </is>
      </c>
      <c r="B23" s="8382" t="n">
        <v>21</v>
      </c>
      <c r="C23" s="8383" t="n">
        <v>323626.1765698195</v>
      </c>
      <c r="D23" s="8384" t="n">
        <v>48730.17694747448</v>
      </c>
      <c r="E23" s="8385" t="n">
        <v>274895.999622345</v>
      </c>
      <c r="F23" s="8386" t="n">
        <v>23626.17656981945</v>
      </c>
      <c r="G23" s="8387" t="n">
        <v>0.07875392189939817</v>
      </c>
      <c r="H23" s="8388" t="n">
        <v>0</v>
      </c>
      <c r="I23" s="8389" t="n">
        <v>0</v>
      </c>
      <c r="J23" s="8390" t="n">
        <v>8</v>
      </c>
      <c r="K23" s="8391" t="n">
        <v>0</v>
      </c>
      <c r="L23" s="8392" t="n">
        <v>0</v>
      </c>
    </row>
    <row r="24" ht="20" customHeight="1">
      <c r="A24" s="8381" t="inlineStr">
        <is>
          <t>2026-05-26</t>
        </is>
      </c>
      <c r="B24" s="8382" t="n">
        <v>22</v>
      </c>
      <c r="C24" s="8383" t="n">
        <v>327462.1705511808</v>
      </c>
      <c r="D24" s="8384" t="n">
        <v>48730.17694747448</v>
      </c>
      <c r="E24" s="8385" t="n">
        <v>278731.9936037064</v>
      </c>
      <c r="F24" s="8386" t="n">
        <v>27462.17055118084</v>
      </c>
      <c r="G24" s="8387" t="n">
        <v>0.09154056850393615</v>
      </c>
      <c r="H24" s="8388" t="n">
        <v>0</v>
      </c>
      <c r="I24" s="8389" t="n">
        <v>0</v>
      </c>
      <c r="J24" s="8390" t="n">
        <v>8</v>
      </c>
      <c r="K24" s="8391" t="n">
        <v>0</v>
      </c>
      <c r="L24" s="8392" t="n">
        <v>0</v>
      </c>
    </row>
    <row r="25" ht="20" customHeight="1">
      <c r="A25" s="8381" t="inlineStr">
        <is>
          <t>2026-05-27</t>
        </is>
      </c>
      <c r="B25" s="8382" t="n">
        <v>23</v>
      </c>
      <c r="C25" s="8383" t="n">
        <v>324376.1747578382</v>
      </c>
      <c r="D25" s="8384" t="n">
        <v>48730.17694747448</v>
      </c>
      <c r="E25" s="8385" t="n">
        <v>275645.9978103638</v>
      </c>
      <c r="F25" s="8386" t="n">
        <v>24376.17475783825</v>
      </c>
      <c r="G25" s="8387" t="n">
        <v>0.08125391585946083</v>
      </c>
      <c r="H25" s="8388" t="n">
        <v>0</v>
      </c>
      <c r="I25" s="8389" t="n">
        <v>-0.009423976479934384</v>
      </c>
      <c r="J25" s="8390" t="n">
        <v>8</v>
      </c>
      <c r="K25" s="8391" t="n">
        <v>0</v>
      </c>
      <c r="L25" s="8392" t="n">
        <v>0</v>
      </c>
    </row>
    <row r="26" ht="20" customHeight="1">
      <c r="A26" s="8381" t="inlineStr">
        <is>
          <t>2026-05-28</t>
        </is>
      </c>
      <c r="B26" s="8382" t="n">
        <v>24</v>
      </c>
      <c r="C26" s="8383" t="n">
        <v>325656.1784008741</v>
      </c>
      <c r="D26" s="8384" t="n">
        <v>48730.17694747448</v>
      </c>
      <c r="E26" s="8385" t="n">
        <v>276926.0014533997</v>
      </c>
      <c r="F26" s="8386" t="n">
        <v>25656.17840087414</v>
      </c>
      <c r="G26" s="8387" t="n">
        <v>0.08552059466958047</v>
      </c>
      <c r="H26" s="8388" t="n">
        <v>0</v>
      </c>
      <c r="I26" s="8389" t="n">
        <v>-0.005515116898134752</v>
      </c>
      <c r="J26" s="8390" t="n">
        <v>8</v>
      </c>
      <c r="K26" s="8391" t="n">
        <v>0</v>
      </c>
      <c r="L26" s="8392" t="n">
        <v>0</v>
      </c>
    </row>
    <row r="27" ht="20" customHeight="1">
      <c r="A27" s="8381" t="inlineStr">
        <is>
          <t>2026-05-29</t>
        </is>
      </c>
      <c r="B27" s="8382" t="n">
        <v>25</v>
      </c>
      <c r="C27" s="8383" t="n">
        <v>324000.1746157408</v>
      </c>
      <c r="D27" s="8384" t="n">
        <v>48730.17694747448</v>
      </c>
      <c r="E27" s="8385" t="n">
        <v>275269.9976682663</v>
      </c>
      <c r="F27" s="8386" t="n">
        <v>24000.17461574078</v>
      </c>
      <c r="G27" s="8387" t="n">
        <v>0.08000058205246924</v>
      </c>
      <c r="H27" s="8388" t="n">
        <v>0</v>
      </c>
      <c r="I27" s="8389" t="n">
        <v>-0.01057220114803755</v>
      </c>
      <c r="J27" s="8390" t="n">
        <v>8</v>
      </c>
      <c r="K27" s="8391" t="n">
        <v>0</v>
      </c>
      <c r="L27" s="8392" t="n">
        <v>0</v>
      </c>
    </row>
    <row r="28" ht="20" customHeight="1">
      <c r="A28" s="8381" t="inlineStr">
        <is>
          <t>2026-06-01</t>
        </is>
      </c>
      <c r="B28" s="8382" t="n">
        <v>26</v>
      </c>
      <c r="C28" s="8383" t="n">
        <v>323826.1759022474</v>
      </c>
      <c r="D28" s="8384" t="n">
        <v>48730.17694747448</v>
      </c>
      <c r="E28" s="8385" t="n">
        <v>275095.9989547729</v>
      </c>
      <c r="F28" s="8386" t="n">
        <v>23826.17590224743</v>
      </c>
      <c r="G28" s="8387" t="n">
        <v>0.07942058634082476</v>
      </c>
      <c r="H28" s="8388" t="n">
        <v>0</v>
      </c>
      <c r="I28" s="8389" t="n">
        <v>-0.01110355630640737</v>
      </c>
      <c r="J28" s="8390" t="n">
        <v>8</v>
      </c>
      <c r="K28" s="8391" t="n">
        <v>0</v>
      </c>
      <c r="L28" s="8392" t="n">
        <v>0</v>
      </c>
    </row>
    <row r="29" ht="20" customHeight="1">
      <c r="A29" s="8381" t="inlineStr">
        <is>
          <t>2026-06-02</t>
        </is>
      </c>
      <c r="B29" s="8382" t="n">
        <v>27</v>
      </c>
      <c r="C29" s="8383" t="n">
        <v>323826.1759022474</v>
      </c>
      <c r="D29" s="8384" t="n">
        <v>48730.17694747448</v>
      </c>
      <c r="E29" s="8385" t="n">
        <v>275095.9989547729</v>
      </c>
      <c r="F29" s="8386" t="n">
        <v>23826.17590224743</v>
      </c>
      <c r="G29" s="8387" t="n">
        <v>0.07942058634082476</v>
      </c>
      <c r="H29" s="8388" t="n">
        <v>0</v>
      </c>
      <c r="I29" s="8389" t="n">
        <v>-0.01110355630640737</v>
      </c>
      <c r="J29" s="8390" t="n">
        <v>8</v>
      </c>
      <c r="K29" s="8391" t="n">
        <v>0</v>
      </c>
      <c r="L29" s="8392" t="n">
        <v>0</v>
      </c>
    </row>
    <row r="30" ht="20" customHeight="1">
      <c r="A30" s="8381" t="inlineStr">
        <is>
          <t>2026-06-03</t>
        </is>
      </c>
      <c r="B30" s="8382" t="n">
        <v>28</v>
      </c>
      <c r="C30" s="8383" t="n">
        <v>333875.8358540917</v>
      </c>
      <c r="D30" s="8384" t="n">
        <v>45577.8367581749</v>
      </c>
      <c r="E30" s="8385" t="n">
        <v>288297.9990959168</v>
      </c>
      <c r="F30" s="8386" t="n">
        <v>33875.83585409168</v>
      </c>
      <c r="G30" s="8387" t="n">
        <v>0.1129194528469723</v>
      </c>
      <c r="H30" s="8388" t="n">
        <v>0</v>
      </c>
      <c r="I30" s="8389" t="n">
        <v>1.743392443018996e-16</v>
      </c>
      <c r="J30" s="8390" t="n">
        <v>9</v>
      </c>
      <c r="K30" s="8391" t="n">
        <v>0</v>
      </c>
      <c r="L30" s="8392" t="n">
        <v>0</v>
      </c>
    </row>
    <row r="31" ht="20" customHeight="1">
      <c r="A31" s="8381" t="inlineStr">
        <is>
          <t>2026-06-04</t>
        </is>
      </c>
      <c r="B31" s="8382" t="n">
        <v>29</v>
      </c>
      <c r="C31" s="8383" t="n">
        <v>335738.8358540917</v>
      </c>
      <c r="D31" s="8384" t="n">
        <v>47440.8367581749</v>
      </c>
      <c r="E31" s="8385" t="n">
        <v>288297.9990959168</v>
      </c>
      <c r="F31" s="8386" t="n">
        <v>35738.83585409168</v>
      </c>
      <c r="G31" s="8387" t="n">
        <v>0.1191294528469723</v>
      </c>
      <c r="H31" s="8388" t="n">
        <v>0</v>
      </c>
      <c r="I31" s="8389" t="n">
        <v>1.733718435205506e-16</v>
      </c>
      <c r="J31" s="8390" t="n">
        <v>9</v>
      </c>
      <c r="K31" s="8391" t="n">
        <v>0</v>
      </c>
      <c r="L31" s="8392" t="n">
        <v>0</v>
      </c>
    </row>
    <row r="32" ht="20" customHeight="1">
      <c r="A32" s="8381" t="inlineStr">
        <is>
          <t>2026-06-05</t>
        </is>
      </c>
      <c r="B32" s="8382" t="n">
        <v>30</v>
      </c>
      <c r="C32" s="8383" t="n">
        <v>334015.087936678</v>
      </c>
      <c r="D32" s="8384" t="n">
        <v>41526.08666256905</v>
      </c>
      <c r="E32" s="8385" t="n">
        <v>292489.0012741089</v>
      </c>
      <c r="F32" s="8386" t="n">
        <v>34015.08793667797</v>
      </c>
      <c r="G32" s="8387" t="n">
        <v>0.1133836264555932</v>
      </c>
      <c r="H32" s="8388" t="n">
        <v>0</v>
      </c>
      <c r="I32" s="8389" t="n">
        <v>-0.005134192810994243</v>
      </c>
      <c r="J32" s="8390" t="n">
        <v>10</v>
      </c>
      <c r="K32" s="8391" t="n">
        <v>0</v>
      </c>
      <c r="L32" s="8392" t="n">
        <v>0</v>
      </c>
    </row>
    <row r="33" ht="20" customHeight="1">
      <c r="A33" s="8381" t="inlineStr">
        <is>
          <t>2026-06-08</t>
        </is>
      </c>
      <c r="B33" s="8382" t="n">
        <v>31</v>
      </c>
      <c r="C33" s="8383" t="n">
        <v>336560.0870354557</v>
      </c>
      <c r="D33" s="8384" t="n">
        <v>41526.08666256905</v>
      </c>
      <c r="E33" s="8385" t="n">
        <v>295034.0003728867</v>
      </c>
      <c r="F33" s="8386" t="n">
        <v>36560.08703545574</v>
      </c>
      <c r="G33" s="8387" t="n">
        <v>0.1218669567848525</v>
      </c>
      <c r="H33" s="8388" t="n">
        <v>0</v>
      </c>
      <c r="I33" s="8389" t="n">
        <v>1.729487932635797e-16</v>
      </c>
      <c r="J33" s="8390" t="n">
        <v>10</v>
      </c>
      <c r="K33" s="8391" t="n">
        <v>0</v>
      </c>
      <c r="L33" s="8392" t="n">
        <v>0</v>
      </c>
    </row>
    <row r="34" ht="20" customHeight="1">
      <c r="A34" s="8381" t="inlineStr">
        <is>
          <t>2026-06-09</t>
        </is>
      </c>
      <c r="B34" s="8382" t="n">
        <v>32</v>
      </c>
      <c r="C34" s="8383" t="n">
        <v>330339.3137982273</v>
      </c>
      <c r="D34" s="8384" t="n">
        <v>98094.31379345895</v>
      </c>
      <c r="E34" s="8385" t="n">
        <v>232245.0000047684</v>
      </c>
      <c r="F34" s="8386" t="n">
        <v>30339.31379822735</v>
      </c>
      <c r="G34" s="8387" t="n">
        <v>0.1011310459940912</v>
      </c>
      <c r="H34" s="8388" t="n">
        <v>0</v>
      </c>
      <c r="I34" s="8389" t="n">
        <v>-0.01848339561598994</v>
      </c>
      <c r="J34" s="8390" t="n">
        <v>8</v>
      </c>
      <c r="K34" s="8391" t="n">
        <v>0</v>
      </c>
      <c r="L34" s="8392" t="n">
        <v>0</v>
      </c>
    </row>
    <row r="35" ht="20" customHeight="1">
      <c r="A35" s="8381" t="inlineStr">
        <is>
          <t>2026-06-10</t>
        </is>
      </c>
      <c r="B35" s="8382" t="n">
        <v>33</v>
      </c>
      <c r="C35" s="8383" t="n">
        <v>331910.3122284794</v>
      </c>
      <c r="D35" s="8384" t="n">
        <v>98094.31379345895</v>
      </c>
      <c r="E35" s="8385" t="n">
        <v>233815.9984350205</v>
      </c>
      <c r="F35" s="8386" t="n">
        <v>31910.31222847942</v>
      </c>
      <c r="G35" s="8387" t="n">
        <v>0.1063677074282647</v>
      </c>
      <c r="H35" s="8388" t="n">
        <v>0</v>
      </c>
      <c r="I35" s="8389" t="n">
        <v>-0.0138155859416759</v>
      </c>
      <c r="J35" s="8390" t="n">
        <v>8</v>
      </c>
      <c r="K35" s="8391" t="n">
        <v>0</v>
      </c>
      <c r="L35" s="8392" t="n">
        <v>0</v>
      </c>
    </row>
    <row r="36" ht="20" customHeight="1">
      <c r="A36" s="8381" t="inlineStr">
        <is>
          <t>2026-06-11</t>
        </is>
      </c>
      <c r="B36" s="8382" t="n">
        <v>34</v>
      </c>
      <c r="C36" s="8383" t="n">
        <v>331205.3153326893</v>
      </c>
      <c r="D36" s="8384" t="n">
        <v>98094.31379345895</v>
      </c>
      <c r="E36" s="8385" t="n">
        <v>233111.0015392304</v>
      </c>
      <c r="F36" s="8386" t="n">
        <v>31205.31533268932</v>
      </c>
      <c r="G36" s="8387" t="n">
        <v>0.1040177177756311</v>
      </c>
      <c r="H36" s="8388" t="n">
        <v>0</v>
      </c>
      <c r="I36" s="8389" t="n">
        <v>-0.01591029925720886</v>
      </c>
      <c r="J36" s="8390" t="n">
        <v>8</v>
      </c>
      <c r="K36" s="8391" t="n">
        <v>0</v>
      </c>
      <c r="L36" s="8392" t="n">
        <v>0</v>
      </c>
    </row>
    <row r="37" ht="20" customHeight="1">
      <c r="A37" s="8381" t="inlineStr">
        <is>
          <t>2026-06-12</t>
        </is>
      </c>
      <c r="B37" s="8382" t="n">
        <v>35</v>
      </c>
      <c r="C37" s="8383" t="n">
        <v>331353.4187199259</v>
      </c>
      <c r="D37" s="8384" t="n">
        <v>201925.4186035776</v>
      </c>
      <c r="E37" s="8385" t="n">
        <v>129428.0001163483</v>
      </c>
      <c r="F37" s="8386" t="n">
        <v>31353.41871992592</v>
      </c>
      <c r="G37" s="8387" t="n">
        <v>0.1045113957330864</v>
      </c>
      <c r="H37" s="8388" t="n">
        <v>0</v>
      </c>
      <c r="I37" s="8389" t="n">
        <v>-0.01547024889787735</v>
      </c>
      <c r="J37" s="8390" t="n">
        <v>4</v>
      </c>
      <c r="K37" s="8391" t="n">
        <v>0</v>
      </c>
      <c r="L37" s="8392" t="n">
        <v>0</v>
      </c>
    </row>
    <row r="38" ht="20" customHeight="1">
      <c r="A38" s="8381" t="inlineStr">
        <is>
          <t>2026-06-15</t>
        </is>
      </c>
      <c r="B38" s="8382" t="n">
        <v>36</v>
      </c>
      <c r="C38" s="8383" t="n">
        <v>331969.4185139323</v>
      </c>
      <c r="D38" s="8384" t="n">
        <v>201925.4186035776</v>
      </c>
      <c r="E38" s="8385" t="n">
        <v>130043.9999103546</v>
      </c>
      <c r="F38" s="8386" t="n">
        <v>31969.41851393227</v>
      </c>
      <c r="G38" s="8387" t="n">
        <v>0.1065647283797742</v>
      </c>
      <c r="H38" s="8388" t="n">
        <v>0</v>
      </c>
      <c r="I38" s="8389" t="n">
        <v>-0.01363996712135329</v>
      </c>
      <c r="J38" s="8390" t="n">
        <v>4</v>
      </c>
      <c r="K38" s="8391" t="n">
        <v>0</v>
      </c>
      <c r="L38" s="8392" t="n">
        <v>0</v>
      </c>
    </row>
    <row r="39" ht="20" customHeight="1">
      <c r="A39" s="8381" t="inlineStr">
        <is>
          <t>2026-06-16</t>
        </is>
      </c>
      <c r="B39" s="8382" t="n">
        <v>37</v>
      </c>
      <c r="C39" s="8383" t="n">
        <v>331975.2681500101</v>
      </c>
      <c r="D39" s="8384" t="n">
        <v>172191.2679917002</v>
      </c>
      <c r="E39" s="8385" t="n">
        <v>159784.00015831</v>
      </c>
      <c r="F39" s="8386" t="n">
        <v>31975.26815001015</v>
      </c>
      <c r="G39" s="8387" t="n">
        <v>0.1065842271667005</v>
      </c>
      <c r="H39" s="8388" t="n">
        <v>0</v>
      </c>
      <c r="I39" s="8389" t="n">
        <v>-0.01362258646243617</v>
      </c>
      <c r="J39" s="8390" t="n">
        <v>6</v>
      </c>
      <c r="K39" s="8391" t="n">
        <v>0</v>
      </c>
      <c r="L39" s="8392" t="n">
        <v>0</v>
      </c>
    </row>
    <row r="40" ht="20" customHeight="1">
      <c r="A40" s="8381" t="inlineStr">
        <is>
          <t>2026-06-17</t>
        </is>
      </c>
      <c r="B40" s="8382" t="n">
        <v>38</v>
      </c>
      <c r="C40" s="8383" t="n">
        <v>333751.267219224</v>
      </c>
      <c r="D40" s="8384" t="n">
        <v>172191.2679917002</v>
      </c>
      <c r="E40" s="8385" t="n">
        <v>161559.9992275238</v>
      </c>
      <c r="F40" s="8386" t="n">
        <v>33751.26721922401</v>
      </c>
      <c r="G40" s="8387" t="n">
        <v>0.11250422406408</v>
      </c>
      <c r="H40" s="8388" t="n">
        <v>0</v>
      </c>
      <c r="I40" s="8389" t="n">
        <v>-0.00834567117263601</v>
      </c>
      <c r="J40" s="8390" t="n">
        <v>6</v>
      </c>
      <c r="K40" s="8391" t="n">
        <v>0</v>
      </c>
      <c r="L40" s="8392" t="n">
        <v>0</v>
      </c>
    </row>
    <row r="41" ht="20" customHeight="1">
      <c r="A41" s="8381" t="inlineStr">
        <is>
          <t>2026-06-18</t>
        </is>
      </c>
      <c r="B41" s="8382" t="n">
        <v>39</v>
      </c>
      <c r="C41" s="8383" t="n">
        <v>336638.4799173856</v>
      </c>
      <c r="D41" s="8384" t="n">
        <v>129369.481175282</v>
      </c>
      <c r="E41" s="8385" t="n">
        <v>207268.9987421036</v>
      </c>
      <c r="F41" s="8386" t="n">
        <v>36638.47991738562</v>
      </c>
      <c r="G41" s="8387" t="n">
        <v>0.1221282663912854</v>
      </c>
      <c r="H41" s="8388" t="n">
        <v>0</v>
      </c>
      <c r="I41" s="8389" t="n">
        <v>0</v>
      </c>
      <c r="J41" s="8390" t="n">
        <v>8</v>
      </c>
      <c r="K41" s="8391" t="n">
        <v>0</v>
      </c>
      <c r="L41" s="8392" t="n">
        <v>0</v>
      </c>
    </row>
    <row r="42" ht="20" customHeight="1">
      <c r="A42" s="8381" t="inlineStr">
        <is>
          <t>2026-06-19</t>
        </is>
      </c>
      <c r="B42" s="8382" t="n">
        <v>40</v>
      </c>
      <c r="C42" s="8383" t="n">
        <v>335633.734803536</v>
      </c>
      <c r="D42" s="8384" t="n">
        <v>150815.7321265721</v>
      </c>
      <c r="E42" s="8385" t="n">
        <v>184818.0026769638</v>
      </c>
      <c r="F42" s="8386" t="n">
        <v>35633.73480353598</v>
      </c>
      <c r="G42" s="8387" t="n">
        <v>0.1187791160117866</v>
      </c>
      <c r="H42" s="8388" t="n">
        <v>0</v>
      </c>
      <c r="I42" s="8389" t="n">
        <v>-0.002984641310453321</v>
      </c>
      <c r="J42" s="8390" t="n">
        <v>7</v>
      </c>
      <c r="K42" s="8391" t="n">
        <v>0</v>
      </c>
      <c r="L42" s="8392" t="n">
        <v>0</v>
      </c>
    </row>
    <row r="43" ht="20" customHeight="1">
      <c r="A43" s="8381" t="inlineStr">
        <is>
          <t>2026-06-22</t>
        </is>
      </c>
      <c r="B43" s="8382" t="n">
        <v>41</v>
      </c>
      <c r="C43" s="8383" t="n">
        <v>335281.7330411458</v>
      </c>
      <c r="D43" s="8384" t="n">
        <v>150815.7321265721</v>
      </c>
      <c r="E43" s="8385" t="n">
        <v>184466.0009145737</v>
      </c>
      <c r="F43" s="8386" t="n">
        <v>35281.73304114584</v>
      </c>
      <c r="G43" s="8387" t="n">
        <v>0.1176057768038195</v>
      </c>
      <c r="H43" s="8388" t="n">
        <v>0</v>
      </c>
      <c r="I43" s="8389" t="n">
        <v>-0.004030278643643874</v>
      </c>
      <c r="J43" s="8390" t="n">
        <v>7</v>
      </c>
      <c r="K43" s="8391" t="n">
        <v>0</v>
      </c>
      <c r="L43" s="8392" t="n">
        <v>0</v>
      </c>
    </row>
    <row r="44" ht="20" customHeight="1">
      <c r="A44" s="8381" t="inlineStr">
        <is>
          <t>2026-06-23</t>
        </is>
      </c>
      <c r="B44" s="8382" t="n">
        <v>42</v>
      </c>
      <c r="C44" s="8383" t="n">
        <v>335407.7325395131</v>
      </c>
      <c r="D44" s="8384" t="n">
        <v>150815.7321265721</v>
      </c>
      <c r="E44" s="8385" t="n">
        <v>184592.000412941</v>
      </c>
      <c r="F44" s="8386" t="n">
        <v>35407.73253951315</v>
      </c>
      <c r="G44" s="8387" t="n">
        <v>0.1180257751317105</v>
      </c>
      <c r="H44" s="8388" t="n">
        <v>0</v>
      </c>
      <c r="I44" s="8389" t="n">
        <v>-0.003655991371439488</v>
      </c>
      <c r="J44" s="8390" t="n">
        <v>7</v>
      </c>
      <c r="K44" s="8391" t="n">
        <v>0</v>
      </c>
      <c r="L44" s="8392" t="n">
        <v>0</v>
      </c>
    </row>
    <row r="45" ht="20" customHeight="1">
      <c r="A45" s="8381" t="inlineStr">
        <is>
          <t>2026-06-24</t>
        </is>
      </c>
      <c r="B45" s="8382" t="n">
        <v>43</v>
      </c>
      <c r="C45" s="8383" t="n">
        <v>333549.7325709844</v>
      </c>
      <c r="D45" s="8384" t="n">
        <v>150815.7321265721</v>
      </c>
      <c r="E45" s="8385" t="n">
        <v>182734.0004444123</v>
      </c>
      <c r="F45" s="8386" t="n">
        <v>33549.7325709844</v>
      </c>
      <c r="G45" s="8387" t="n">
        <v>0.1118324419032813</v>
      </c>
      <c r="H45" s="8388" t="n">
        <v>0</v>
      </c>
      <c r="I45" s="8389" t="n">
        <v>-0.00917526524941303</v>
      </c>
      <c r="J45" s="8390" t="n">
        <v>7</v>
      </c>
      <c r="K45" s="8391" t="n">
        <v>0</v>
      </c>
      <c r="L45" s="8392" t="n">
        <v>0</v>
      </c>
    </row>
    <row r="46" ht="20" customHeight="1">
      <c r="A46" s="8381" t="inlineStr">
        <is>
          <t>2026-06-25</t>
        </is>
      </c>
      <c r="B46" s="8382" t="n">
        <v>44</v>
      </c>
      <c r="C46" s="8383" t="n">
        <v>336197.7344563985</v>
      </c>
      <c r="D46" s="8384" t="n">
        <v>150815.7321265721</v>
      </c>
      <c r="E46" s="8385" t="n">
        <v>185382.0023298264</v>
      </c>
      <c r="F46" s="8386" t="n">
        <v>36197.73445639852</v>
      </c>
      <c r="G46" s="8387" t="n">
        <v>0.1206591148546617</v>
      </c>
      <c r="H46" s="8388" t="n">
        <v>0</v>
      </c>
      <c r="I46" s="8389" t="n">
        <v>-0.001309254548366706</v>
      </c>
      <c r="J46" s="8390" t="n">
        <v>7</v>
      </c>
      <c r="K46" s="8391" t="n">
        <v>0</v>
      </c>
      <c r="L46" s="8392" t="n">
        <v>0</v>
      </c>
    </row>
    <row r="47" ht="20" customHeight="1">
      <c r="A47" s="8381" t="inlineStr">
        <is>
          <t>2026-06-26</t>
        </is>
      </c>
      <c r="B47" s="8382" t="n">
        <v>45</v>
      </c>
      <c r="C47" s="8383" t="n">
        <v>336521.7319539571</v>
      </c>
      <c r="D47" s="8384" t="n">
        <v>150815.7321265721</v>
      </c>
      <c r="E47" s="8385" t="n">
        <v>185705.999827385</v>
      </c>
      <c r="F47" s="8386" t="n">
        <v>36521.73195395712</v>
      </c>
      <c r="G47" s="8387" t="n">
        <v>0.1217391065131904</v>
      </c>
      <c r="H47" s="8388" t="n">
        <v>0</v>
      </c>
      <c r="I47" s="8389" t="n">
        <v>-0.0003468051645704568</v>
      </c>
      <c r="J47" s="8390" t="n">
        <v>7</v>
      </c>
      <c r="K47" s="8391" t="n">
        <v>0</v>
      </c>
      <c r="L47" s="8392" t="n">
        <v>0</v>
      </c>
    </row>
    <row r="48" ht="20" customHeight="1">
      <c r="A48" s="8381" t="inlineStr">
        <is>
          <t>2026-06-29</t>
        </is>
      </c>
      <c r="B48" s="8382" t="n">
        <v>46</v>
      </c>
      <c r="C48" s="8383" t="n">
        <v>336833.7356618429</v>
      </c>
      <c r="D48" s="8384" t="n">
        <v>150815.7321265721</v>
      </c>
      <c r="E48" s="8385" t="n">
        <v>186018.0035352707</v>
      </c>
      <c r="F48" s="8386" t="n">
        <v>36833.73566184286</v>
      </c>
      <c r="G48" s="8387" t="n">
        <v>0.1227791188728095</v>
      </c>
      <c r="H48" s="8388" t="n">
        <v>0</v>
      </c>
      <c r="I48" s="8389" t="n">
        <v>0</v>
      </c>
      <c r="J48" s="8390" t="n">
        <v>7</v>
      </c>
      <c r="K48" s="8391" t="n">
        <v>0</v>
      </c>
      <c r="L48" s="8392" t="n">
        <v>0</v>
      </c>
    </row>
    <row r="49" ht="20" customHeight="1">
      <c r="A49" s="8381" t="inlineStr">
        <is>
          <t>2026-06-30</t>
        </is>
      </c>
      <c r="B49" s="8382" t="n">
        <v>47</v>
      </c>
      <c r="C49" s="8383" t="n">
        <v>337977.7314694906</v>
      </c>
      <c r="D49" s="8384" t="n">
        <v>171563.7321265721</v>
      </c>
      <c r="E49" s="8385" t="n">
        <v>166413.9993429184</v>
      </c>
      <c r="F49" s="8386" t="n">
        <v>37977.73146949057</v>
      </c>
      <c r="G49" s="8387" t="n">
        <v>0.1265924382316352</v>
      </c>
      <c r="H49" s="8388" t="n">
        <v>0</v>
      </c>
      <c r="I49" s="8389" t="n">
        <v>0</v>
      </c>
      <c r="J49" s="8390" t="n">
        <v>6</v>
      </c>
      <c r="K49" s="8391" t="n">
        <v>0</v>
      </c>
      <c r="L49" s="8392" t="n">
        <v>0</v>
      </c>
    </row>
    <row r="50" ht="20" customHeight="1">
      <c r="A50" s="8381" t="inlineStr">
        <is>
          <t>2026-07-01</t>
        </is>
      </c>
      <c r="B50" s="8382" t="n">
        <v>48</v>
      </c>
      <c r="C50" s="8383" t="n">
        <v>339009.7334416891</v>
      </c>
      <c r="D50" s="8384" t="n">
        <v>171563.7321265721</v>
      </c>
      <c r="E50" s="8385" t="n">
        <v>167446.0013151169</v>
      </c>
      <c r="F50" s="8386" t="n">
        <v>39009.73344168905</v>
      </c>
      <c r="G50" s="8387" t="n">
        <v>0.1300324448056302</v>
      </c>
      <c r="H50" s="8388" t="n">
        <v>0</v>
      </c>
      <c r="I50" s="8389" t="n">
        <v>0</v>
      </c>
      <c r="J50" s="8390" t="n">
        <v>6</v>
      </c>
      <c r="K50" s="8391" t="n">
        <v>0</v>
      </c>
      <c r="L50" s="8392" t="n">
        <v>0</v>
      </c>
    </row>
    <row r="51" ht="20" customHeight="1">
      <c r="A51" s="8381" t="inlineStr">
        <is>
          <t>2026-07-02</t>
        </is>
      </c>
      <c r="B51" s="8382" t="n">
        <v>49</v>
      </c>
      <c r="C51" s="8383" t="n">
        <v>339531.7319901967</v>
      </c>
      <c r="D51" s="8384" t="n">
        <v>171563.7321265721</v>
      </c>
      <c r="E51" s="8385" t="n">
        <v>167967.9998636246</v>
      </c>
      <c r="F51" s="8386" t="n">
        <v>39531.73199019674</v>
      </c>
      <c r="G51" s="8387" t="n">
        <v>0.1317724399673225</v>
      </c>
      <c r="H51" s="8388" t="n">
        <v>0</v>
      </c>
      <c r="I51" s="8389" t="n">
        <v>0</v>
      </c>
      <c r="J51" s="8390" t="n">
        <v>6</v>
      </c>
      <c r="K51" s="8391" t="n">
        <v>0</v>
      </c>
      <c r="L51" s="8392" t="n">
        <v>0</v>
      </c>
    </row>
    <row r="52" ht="20" customHeight="1">
      <c r="A52" s="8381" t="inlineStr">
        <is>
          <t>2026-07-03</t>
        </is>
      </c>
      <c r="B52" s="8382" t="n">
        <v>50</v>
      </c>
      <c r="C52" s="8383" t="n">
        <v>341103.7304910207</v>
      </c>
      <c r="D52" s="8384" t="n">
        <v>171563.7321265721</v>
      </c>
      <c r="E52" s="8385" t="n">
        <v>169539.9983644486</v>
      </c>
      <c r="F52" s="8386" t="n">
        <v>41103.73049102072</v>
      </c>
      <c r="G52" s="8387" t="n">
        <v>0.1370124349700691</v>
      </c>
      <c r="H52" s="8388" t="n">
        <v>0</v>
      </c>
      <c r="I52" s="8389" t="n">
        <v>0</v>
      </c>
      <c r="J52" s="8390" t="n">
        <v>6</v>
      </c>
      <c r="K52" s="8391" t="n">
        <v>0</v>
      </c>
      <c r="L52" s="8392" t="n">
        <v>0</v>
      </c>
    </row>
    <row r="53" ht="20" customHeight="1">
      <c r="A53" s="8381" t="inlineStr">
        <is>
          <t>2026-07-06</t>
        </is>
      </c>
      <c r="B53" s="8382" t="n">
        <v>51</v>
      </c>
      <c r="C53" s="8383" t="n">
        <v>342877.7296575094</v>
      </c>
      <c r="D53" s="8384" t="n">
        <v>171563.7321265721</v>
      </c>
      <c r="E53" s="8385" t="n">
        <v>171313.9975309372</v>
      </c>
      <c r="F53" s="8386" t="n">
        <v>42877.72965750936</v>
      </c>
      <c r="G53" s="8387" t="n">
        <v>0.1429257655250312</v>
      </c>
      <c r="H53" s="8388" t="n">
        <v>0</v>
      </c>
      <c r="I53" s="8389" t="n">
        <v>0</v>
      </c>
      <c r="J53" s="8390" t="n">
        <v>6</v>
      </c>
      <c r="K53" s="8391" t="n">
        <v>0</v>
      </c>
      <c r="L53" s="8392" t="n">
        <v>0</v>
      </c>
    </row>
    <row r="54" ht="20" customHeight="1">
      <c r="A54" s="8381" t="inlineStr">
        <is>
          <t>2026-07-07</t>
        </is>
      </c>
      <c r="B54" s="8382" t="n">
        <v>52</v>
      </c>
      <c r="C54" s="8383" t="n">
        <v>345093.729737618</v>
      </c>
      <c r="D54" s="8384" t="n">
        <v>171563.7321265721</v>
      </c>
      <c r="E54" s="8385" t="n">
        <v>173529.9976110459</v>
      </c>
      <c r="F54" s="8386" t="n">
        <v>45093.72973761801</v>
      </c>
      <c r="G54" s="8387" t="n">
        <v>0.1503124324587267</v>
      </c>
      <c r="H54" s="8388" t="n">
        <v>0</v>
      </c>
      <c r="I54" s="8389" t="n">
        <v>0</v>
      </c>
      <c r="J54" s="8390" t="n">
        <v>6</v>
      </c>
      <c r="K54" s="8391" t="n">
        <v>0</v>
      </c>
      <c r="L54" s="8392" t="n">
        <v>0</v>
      </c>
    </row>
    <row r="55" ht="20" customHeight="1">
      <c r="A55" s="8381" t="inlineStr">
        <is>
          <t>2026-07-08</t>
        </is>
      </c>
      <c r="B55" s="8382" t="n">
        <v>53</v>
      </c>
      <c r="C55" s="8383" t="n">
        <v>344195.7337411428</v>
      </c>
      <c r="D55" s="8384" t="n">
        <v>171563.7321265721</v>
      </c>
      <c r="E55" s="8385" t="n">
        <v>172632.0016145706</v>
      </c>
      <c r="F55" s="8386" t="n">
        <v>44195.73374114279</v>
      </c>
      <c r="G55" s="8387" t="n">
        <v>0.147319112470476</v>
      </c>
      <c r="H55" s="8388" t="n">
        <v>0</v>
      </c>
      <c r="I55" s="8389" t="n">
        <v>-0.002602179985008667</v>
      </c>
      <c r="J55" s="8390" t="n">
        <v>6</v>
      </c>
      <c r="K55" s="8391" t="n">
        <v>0</v>
      </c>
      <c r="L55" s="8392" t="n">
        <v>0</v>
      </c>
    </row>
    <row r="56" ht="20" customHeight="1">
      <c r="A56" s="8381" t="inlineStr">
        <is>
          <t>2026-07-09</t>
        </is>
      </c>
      <c r="B56" s="8382" t="n">
        <v>54</v>
      </c>
      <c r="C56" s="8383" t="n">
        <v>340861.733392098</v>
      </c>
      <c r="D56" s="8384" t="n">
        <v>171563.7321265721</v>
      </c>
      <c r="E56" s="8385" t="n">
        <v>169298.0012655258</v>
      </c>
      <c r="F56" s="8386" t="n">
        <v>40861.73339209799</v>
      </c>
      <c r="G56" s="8387" t="n">
        <v>0.13620577797366</v>
      </c>
      <c r="H56" s="8388" t="n">
        <v>0</v>
      </c>
      <c r="I56" s="8389" t="n">
        <v>-0.01226332436911472</v>
      </c>
      <c r="J56" s="8390" t="n">
        <v>6</v>
      </c>
      <c r="K56" s="8391" t="n">
        <v>0</v>
      </c>
      <c r="L56" s="8392" t="n">
        <v>0</v>
      </c>
    </row>
    <row r="57" ht="20" customHeight="1">
      <c r="A57" s="8381" t="inlineStr">
        <is>
          <t>2026-07-10</t>
        </is>
      </c>
      <c r="B57" s="8382" t="n">
        <v>55</v>
      </c>
      <c r="C57" s="8383" t="n">
        <v>344227.7305635</v>
      </c>
      <c r="D57" s="8384" t="n">
        <v>171563.7321265721</v>
      </c>
      <c r="E57" s="8385" t="n">
        <v>172663.9984369278</v>
      </c>
      <c r="F57" s="8386" t="n">
        <v>44227.73056349996</v>
      </c>
      <c r="G57" s="8387" t="n">
        <v>0.1474257685449999</v>
      </c>
      <c r="H57" s="8388" t="n">
        <v>0</v>
      </c>
      <c r="I57" s="8389" t="n">
        <v>-0.002509460762374556</v>
      </c>
      <c r="J57" s="8390" t="n">
        <v>6</v>
      </c>
      <c r="K57" s="8391" t="n">
        <v>0</v>
      </c>
      <c r="L57" s="8392" t="n">
        <v>0</v>
      </c>
    </row>
    <row r="58" ht="20" customHeight="1">
      <c r="A58" s="8381" t="inlineStr">
        <is>
          <t>2026-07-13</t>
        </is>
      </c>
      <c r="B58" s="8382" t="n">
        <v>56</v>
      </c>
      <c r="C58" s="8383" t="n">
        <v>348479.7291787649</v>
      </c>
      <c r="D58" s="8384" t="n">
        <v>171563.7321265721</v>
      </c>
      <c r="E58" s="8385" t="n">
        <v>176915.9970521927</v>
      </c>
      <c r="F58" s="8386" t="n">
        <v>48479.72917876486</v>
      </c>
      <c r="G58" s="8387" t="n">
        <v>0.1615990972625495</v>
      </c>
      <c r="H58" s="8388" t="n">
        <v>0</v>
      </c>
      <c r="I58" s="8389" t="n">
        <v>0</v>
      </c>
      <c r="J58" s="8390" t="n">
        <v>6</v>
      </c>
      <c r="K58" s="8391" t="n">
        <v>0</v>
      </c>
      <c r="L58" s="8392" t="n">
        <v>0</v>
      </c>
    </row>
    <row r="59" ht="20" customHeight="1">
      <c r="A59" s="8381" t="inlineStr">
        <is>
          <t>2026-07-14</t>
        </is>
      </c>
      <c r="B59" s="8382" t="n">
        <v>57</v>
      </c>
      <c r="C59" s="8383" t="n">
        <v>348809.7293408895</v>
      </c>
      <c r="D59" s="8384" t="n">
        <v>171563.7321265721</v>
      </c>
      <c r="E59" s="8385" t="n">
        <v>177245.9972143174</v>
      </c>
      <c r="F59" s="8386" t="n">
        <v>48809.72934088949</v>
      </c>
      <c r="G59" s="8387" t="n">
        <v>0.1626990978029649</v>
      </c>
      <c r="H59" s="8388" t="n">
        <v>0</v>
      </c>
      <c r="I59" s="8389" t="n">
        <v>0</v>
      </c>
      <c r="J59" s="8390" t="n">
        <v>6</v>
      </c>
      <c r="K59" s="8391" t="n">
        <v>0</v>
      </c>
      <c r="L59" s="8392" t="n">
        <v>0</v>
      </c>
    </row>
    <row r="60" ht="20" customHeight="1">
      <c r="A60" s="8381" t="inlineStr">
        <is>
          <t>2026-07-15</t>
        </is>
      </c>
      <c r="B60" s="8382" t="n">
        <v>58</v>
      </c>
      <c r="C60" s="8383" t="n">
        <v>346504.333505013</v>
      </c>
      <c r="D60" s="8384" t="n">
        <v>186486.3327353978</v>
      </c>
      <c r="E60" s="8385" t="n">
        <v>160018.0007696152</v>
      </c>
      <c r="F60" s="8386" t="n">
        <v>46504.33350501303</v>
      </c>
      <c r="G60" s="8387" t="n">
        <v>0.1550144450167101</v>
      </c>
      <c r="H60" s="8388" t="n">
        <v>0</v>
      </c>
      <c r="I60" s="8389" t="n">
        <v>-0.006609322051402461</v>
      </c>
      <c r="J60" s="8390" t="n">
        <v>5</v>
      </c>
      <c r="K60" s="8391" t="n">
        <v>0</v>
      </c>
      <c r="L60" s="8392" t="n">
        <v>0</v>
      </c>
    </row>
    <row r="61" ht="20" customHeight="1">
      <c r="A61" s="8381" t="inlineStr">
        <is>
          <t>2026-07-16</t>
        </is>
      </c>
      <c r="B61" s="8382" t="n">
        <v>59</v>
      </c>
      <c r="C61" s="8383" t="n">
        <v>349688.3302777791</v>
      </c>
      <c r="D61" s="8384" t="n">
        <v>186486.3327353978</v>
      </c>
      <c r="E61" s="8385" t="n">
        <v>163201.9975423813</v>
      </c>
      <c r="F61" s="8386" t="n">
        <v>49688.33027777914</v>
      </c>
      <c r="G61" s="8387" t="n">
        <v>0.1656277675925971</v>
      </c>
      <c r="H61" s="8388" t="n">
        <v>0</v>
      </c>
      <c r="I61" s="8389" t="n">
        <v>0</v>
      </c>
      <c r="J61" s="8390" t="n">
        <v>5</v>
      </c>
      <c r="K61" s="8391" t="n">
        <v>0</v>
      </c>
      <c r="L61" s="8392" t="n">
        <v>0</v>
      </c>
    </row>
    <row r="62" ht="20" customHeight="1">
      <c r="A62" s="8381" t="inlineStr">
        <is>
          <t>2026-07-17</t>
        </is>
      </c>
      <c r="B62" s="8382" t="n">
        <v>60</v>
      </c>
      <c r="C62" s="8383" t="n">
        <v>350394.3335107351</v>
      </c>
      <c r="D62" s="8384" t="n">
        <v>247932.3327353978</v>
      </c>
      <c r="E62" s="8385" t="n">
        <v>102462.0007753372</v>
      </c>
      <c r="F62" s="8386" t="n">
        <v>50394.33351073507</v>
      </c>
      <c r="G62" s="8387" t="n">
        <v>0.1679811117024503</v>
      </c>
      <c r="H62" s="8388" t="n">
        <v>0</v>
      </c>
      <c r="I62" s="8389" t="n">
        <v>0</v>
      </c>
      <c r="J62" s="8390" t="n">
        <v>4</v>
      </c>
      <c r="K62" s="8391" t="n">
        <v>0</v>
      </c>
      <c r="L62" s="8392" t="n">
        <v>0</v>
      </c>
    </row>
    <row r="63" ht="20" customHeight="1">
      <c r="A63" s="8381" t="inlineStr">
        <is>
          <t>2026-07-20</t>
        </is>
      </c>
      <c r="B63" s="8382" t="n">
        <v>61</v>
      </c>
      <c r="C63" s="8383" t="n">
        <v>350922.3307183767</v>
      </c>
      <c r="D63" s="8384" t="n">
        <v>247932.3327353978</v>
      </c>
      <c r="E63" s="8385" t="n">
        <v>102989.9979829788</v>
      </c>
      <c r="F63" s="8386" t="n">
        <v>50922.33071837667</v>
      </c>
      <c r="G63" s="8387" t="n">
        <v>0.1697411023945889</v>
      </c>
      <c r="H63" s="8388" t="n">
        <v>0</v>
      </c>
      <c r="I63" s="8389" t="n">
        <v>0</v>
      </c>
      <c r="J63" s="8390" t="n">
        <v>4</v>
      </c>
      <c r="K63" s="8391" t="n">
        <v>0</v>
      </c>
      <c r="L63" s="8392" t="n">
        <v>0</v>
      </c>
    </row>
    <row r="64" ht="20" customHeight="1">
      <c r="A64" s="8381" t="inlineStr">
        <is>
          <t>2026-07-21</t>
        </is>
      </c>
      <c r="B64" s="8382" t="n">
        <v>62</v>
      </c>
      <c r="C64" s="8383" t="n">
        <v>350822.3307183767</v>
      </c>
      <c r="D64" s="8384" t="n">
        <v>247932.3327353978</v>
      </c>
      <c r="E64" s="8385" t="n">
        <v>102889.9979829788</v>
      </c>
      <c r="F64" s="8386" t="n">
        <v>50822.33071837667</v>
      </c>
      <c r="G64" s="8387" t="n">
        <v>0.1694077690612556</v>
      </c>
      <c r="H64" s="8388" t="n">
        <v>0</v>
      </c>
      <c r="I64" s="8389" t="n">
        <v>-0.0002849633415898298</v>
      </c>
      <c r="J64" s="8390" t="n">
        <v>4</v>
      </c>
      <c r="K64" s="8391" t="n">
        <v>0</v>
      </c>
      <c r="L64" s="8392" t="n">
        <v>0</v>
      </c>
    </row>
    <row r="65" ht="20" customHeight="1">
      <c r="A65" s="8381" t="inlineStr">
        <is>
          <t>2026-07-22</t>
        </is>
      </c>
      <c r="B65" s="8382" t="n">
        <v>63</v>
      </c>
      <c r="C65" s="8383" t="n">
        <v>351092.3304608846</v>
      </c>
      <c r="D65" s="8384" t="n">
        <v>247932.3327353978</v>
      </c>
      <c r="E65" s="8385" t="n">
        <v>103159.9977254868</v>
      </c>
      <c r="F65" s="8386" t="n">
        <v>51092.33046088461</v>
      </c>
      <c r="G65" s="8387" t="n">
        <v>0.1703077682029487</v>
      </c>
      <c r="H65" s="8388" t="n">
        <v>0</v>
      </c>
      <c r="I65" s="8389" t="n">
        <v>0</v>
      </c>
      <c r="J65" s="8390" t="n">
        <v>4</v>
      </c>
      <c r="K65" s="8391" t="n">
        <v>0</v>
      </c>
      <c r="L65" s="8392" t="n">
        <v>0</v>
      </c>
    </row>
    <row r="66" ht="20" customHeight="1">
      <c r="A66" s="8381" t="inlineStr">
        <is>
          <t>2026-07-23</t>
        </is>
      </c>
      <c r="B66" s="8382" t="n">
        <v>64</v>
      </c>
      <c r="C66" s="8383" t="n">
        <v>350698.3307412649</v>
      </c>
      <c r="D66" s="8384" t="n">
        <v>247932.3327353978</v>
      </c>
      <c r="E66" s="8385" t="n">
        <v>102765.998005867</v>
      </c>
      <c r="F66" s="8386" t="n">
        <v>50698.33074126486</v>
      </c>
      <c r="G66" s="8387" t="n">
        <v>0.1689944358042162</v>
      </c>
      <c r="H66" s="8388" t="n">
        <v>0</v>
      </c>
      <c r="I66" s="8389" t="n">
        <v>-0.001122211126351126</v>
      </c>
      <c r="J66" s="8390" t="n">
        <v>4</v>
      </c>
      <c r="K66" s="8391" t="n">
        <v>0</v>
      </c>
      <c r="L66" s="8392" t="n">
        <v>0</v>
      </c>
    </row>
    <row r="67" ht="20" customHeight="1">
      <c r="A67" s="8381" t="inlineStr">
        <is>
          <t>2026-07-24</t>
        </is>
      </c>
      <c r="B67" s="8382" t="n">
        <v>65</v>
      </c>
      <c r="C67" s="8383" t="n">
        <v>349440.3338483358</v>
      </c>
      <c r="D67" s="8384" t="n">
        <v>247932.3327353978</v>
      </c>
      <c r="E67" s="8385" t="n">
        <v>101508.001112938</v>
      </c>
      <c r="F67" s="8386" t="n">
        <v>49440.33384833578</v>
      </c>
      <c r="G67" s="8387" t="n">
        <v>0.1648011128277859</v>
      </c>
      <c r="H67" s="8388" t="n">
        <v>0</v>
      </c>
      <c r="I67" s="8389" t="n">
        <v>-0.004705305326323208</v>
      </c>
      <c r="J67" s="8390" t="n">
        <v>4</v>
      </c>
      <c r="K67" s="8391" t="n">
        <v>0</v>
      </c>
      <c r="L67" s="8392" t="n">
        <v>0</v>
      </c>
    </row>
    <row r="68" ht="20" customHeight="1">
      <c r="A68" s="8381" t="inlineStr">
        <is>
          <t>2026-07-27</t>
        </is>
      </c>
      <c r="B68" s="8382" t="n">
        <v>66</v>
      </c>
      <c r="C68" s="8383" t="n">
        <v>346405.3320458913</v>
      </c>
      <c r="D68" s="8384" t="n">
        <v>247932.3327353978</v>
      </c>
      <c r="E68" s="8385" t="n">
        <v>98472.9993104935</v>
      </c>
      <c r="F68" s="8386" t="n">
        <v>46405.33204589132</v>
      </c>
      <c r="G68" s="8387" t="n">
        <v>0.1546844401529711</v>
      </c>
      <c r="H68" s="8388" t="n">
        <v>0</v>
      </c>
      <c r="I68" s="8389" t="n">
        <v>-0.01334976018656</v>
      </c>
      <c r="J68" s="8390" t="n">
        <v>4</v>
      </c>
      <c r="K68" s="8391" t="n">
        <v>0</v>
      </c>
      <c r="L68" s="8392" t="n">
        <v>0</v>
      </c>
    </row>
    <row r="69" ht="20" customHeight="1">
      <c r="A69" s="8381" t="inlineStr">
        <is>
          <t>2026-07-28</t>
        </is>
      </c>
      <c r="B69" s="8382" t="n">
        <v>67</v>
      </c>
      <c r="C69" s="8383" t="n">
        <v>345423.333745339</v>
      </c>
      <c r="D69" s="8384" t="n">
        <v>247932.3327353978</v>
      </c>
      <c r="E69" s="8385" t="n">
        <v>97491.00100994113</v>
      </c>
      <c r="F69" s="8386" t="n">
        <v>45423.33374533895</v>
      </c>
      <c r="G69" s="8387" t="n">
        <v>0.1514111124844632</v>
      </c>
      <c r="H69" s="8388" t="n">
        <v>0</v>
      </c>
      <c r="I69" s="8389" t="n">
        <v>-0.01614674039761527</v>
      </c>
      <c r="J69" s="8390" t="n">
        <v>4</v>
      </c>
      <c r="K69" s="8391" t="n">
        <v>0</v>
      </c>
      <c r="L69" s="8392" t="n">
        <v>0</v>
      </c>
    </row>
    <row r="70" ht="20" customHeight="1">
      <c r="A70" s="8381" t="inlineStr">
        <is>
          <t>2026-07-29</t>
        </is>
      </c>
      <c r="B70" s="8382" t="n">
        <v>68</v>
      </c>
      <c r="C70" s="8383" t="n">
        <v>345423.333745339</v>
      </c>
      <c r="D70" s="8384" t="n">
        <v>247932.3327353978</v>
      </c>
      <c r="E70" s="8385" t="n">
        <v>97491.00100994113</v>
      </c>
      <c r="F70" s="8386" t="n">
        <v>45423.33374533895</v>
      </c>
      <c r="G70" s="8387" t="n">
        <v>0.1514111124844632</v>
      </c>
      <c r="H70" s="8388" t="n">
        <v>0</v>
      </c>
      <c r="I70" s="8389" t="n">
        <v>-0.01614674039761527</v>
      </c>
      <c r="J70" s="8390" t="n">
        <v>4</v>
      </c>
      <c r="K70" s="8391" t="n">
        <v>0</v>
      </c>
      <c r="L70" s="8392" t="n">
        <v>0</v>
      </c>
    </row>
    <row r="71" ht="20" customHeight="1">
      <c r="A71" s="8381" t="inlineStr">
        <is>
          <t>2026-07-30</t>
        </is>
      </c>
      <c r="B71" s="8382" t="n">
        <v>69</v>
      </c>
      <c r="C71" s="8383" t="n">
        <v>345423.333745339</v>
      </c>
      <c r="D71" s="8384" t="n">
        <v>247932.3327353978</v>
      </c>
      <c r="E71" s="8385" t="n">
        <v>97491.00100994113</v>
      </c>
      <c r="F71" s="8386" t="n">
        <v>45423.33374533895</v>
      </c>
      <c r="G71" s="8387" t="n">
        <v>0.1514111124844632</v>
      </c>
      <c r="H71" s="8388" t="n">
        <v>0</v>
      </c>
      <c r="I71" s="8389" t="n">
        <v>-0.01614674039761527</v>
      </c>
      <c r="J71" s="8390" t="n">
        <v>4</v>
      </c>
      <c r="K71" s="8391" t="n">
        <v>0</v>
      </c>
      <c r="L71" s="8392" t="n">
        <v>0</v>
      </c>
    </row>
    <row r="72" ht="20" customHeight="1">
      <c r="A72" s="8381" t="inlineStr">
        <is>
          <t>2026-07-31</t>
        </is>
      </c>
      <c r="B72" s="8382" t="n">
        <v>70</v>
      </c>
      <c r="C72" s="8383" t="n">
        <v>344057.8147519613</v>
      </c>
      <c r="D72" s="8384" t="n">
        <v>299211.8152011419</v>
      </c>
      <c r="E72" s="8385" t="n">
        <v>44845.9995508194</v>
      </c>
      <c r="F72" s="8386" t="n">
        <v>44057.81475196127</v>
      </c>
      <c r="G72" s="8387" t="n">
        <v>0.1468593825065376</v>
      </c>
      <c r="H72" s="8388" t="n">
        <v>0</v>
      </c>
      <c r="I72" s="8389" t="n">
        <v>-0.02003608480905583</v>
      </c>
      <c r="J72" s="8390" t="n">
        <v>3</v>
      </c>
      <c r="K72" s="8391" t="n">
        <v>0</v>
      </c>
      <c r="L72" s="8392" t="n">
        <v>0</v>
      </c>
    </row>
    <row r="73" ht="20" customHeight="1">
      <c r="A73" s="8381" t="inlineStr">
        <is>
          <t>2026-08-03</t>
        </is>
      </c>
      <c r="B73" s="8382" t="n">
        <v>71</v>
      </c>
      <c r="C73" s="8383" t="n">
        <v>344110.814963677</v>
      </c>
      <c r="D73" s="8384" t="n">
        <v>299211.8152011419</v>
      </c>
      <c r="E73" s="8385" t="n">
        <v>44898.9997625351</v>
      </c>
      <c r="F73" s="8386" t="n">
        <v>44110.81496367697</v>
      </c>
      <c r="G73" s="8387" t="n">
        <v>0.1470360498789232</v>
      </c>
      <c r="H73" s="8388" t="n">
        <v>0</v>
      </c>
      <c r="I73" s="8389" t="n">
        <v>-0.01988512676435538</v>
      </c>
      <c r="J73" s="8390" t="n">
        <v>3</v>
      </c>
      <c r="K73" s="8391" t="n">
        <v>0</v>
      </c>
      <c r="L73" s="8392" t="n">
        <v>0</v>
      </c>
    </row>
    <row r="74" ht="20" customHeight="1">
      <c r="A74" s="8381" t="inlineStr">
        <is>
          <t>2026-08-04</t>
        </is>
      </c>
      <c r="B74" s="8382" t="n">
        <v>72</v>
      </c>
      <c r="C74" s="8383" t="n">
        <v>344899.8144258047</v>
      </c>
      <c r="D74" s="8384" t="n">
        <v>299211.8152011419</v>
      </c>
      <c r="E74" s="8385" t="n">
        <v>45687.99922466278</v>
      </c>
      <c r="F74" s="8386" t="n">
        <v>44899.81442580465</v>
      </c>
      <c r="G74" s="8387" t="n">
        <v>0.1496660480860155</v>
      </c>
      <c r="H74" s="8388" t="n">
        <v>0</v>
      </c>
      <c r="I74" s="8389" t="n">
        <v>-0.01763785619284517</v>
      </c>
      <c r="J74" s="8390" t="n">
        <v>3</v>
      </c>
      <c r="K74" s="8391" t="n">
        <v>0</v>
      </c>
      <c r="L74" s="8392" t="n">
        <v>0</v>
      </c>
    </row>
    <row r="75" ht="20" customHeight="1">
      <c r="A75" s="8381" t="inlineStr">
        <is>
          <t>2026-08-05</t>
        </is>
      </c>
      <c r="B75" s="8382" t="n">
        <v>73</v>
      </c>
      <c r="C75" s="8383" t="n">
        <v>343010.814963677</v>
      </c>
      <c r="D75" s="8384" t="n">
        <v>299211.8152011419</v>
      </c>
      <c r="E75" s="8385" t="n">
        <v>43798.9997625351</v>
      </c>
      <c r="F75" s="8386" t="n">
        <v>43010.81496367697</v>
      </c>
      <c r="G75" s="8387" t="n">
        <v>0.1433693832122566</v>
      </c>
      <c r="H75" s="8388" t="n">
        <v>0</v>
      </c>
      <c r="I75" s="8389" t="n">
        <v>-0.02301820574262874</v>
      </c>
      <c r="J75" s="8390" t="n">
        <v>3</v>
      </c>
      <c r="K75" s="8391" t="n">
        <v>0</v>
      </c>
      <c r="L75" s="8392" t="n">
        <v>0</v>
      </c>
    </row>
    <row r="76" ht="20" customHeight="1">
      <c r="A76" s="8381" t="inlineStr">
        <is>
          <t>2026-08-06</t>
        </is>
      </c>
      <c r="B76" s="8382" t="n">
        <v>74</v>
      </c>
      <c r="C76" s="8383" t="n">
        <v>344057.8147519613</v>
      </c>
      <c r="D76" s="8384" t="n">
        <v>299211.8152011419</v>
      </c>
      <c r="E76" s="8385" t="n">
        <v>44845.9995508194</v>
      </c>
      <c r="F76" s="8386" t="n">
        <v>44057.81475196127</v>
      </c>
      <c r="G76" s="8387" t="n">
        <v>0.1468593825065376</v>
      </c>
      <c r="H76" s="8388" t="n">
        <v>0</v>
      </c>
      <c r="I76" s="8389" t="n">
        <v>-0.02003608480905583</v>
      </c>
      <c r="J76" s="8390" t="n">
        <v>3</v>
      </c>
      <c r="K76" s="8391" t="n">
        <v>0</v>
      </c>
      <c r="L76" s="8392" t="n">
        <v>0</v>
      </c>
    </row>
    <row r="77" ht="20" customHeight="1">
      <c r="A77" s="8381" t="inlineStr">
        <is>
          <t>2026-08-07</t>
        </is>
      </c>
      <c r="B77" s="8382" t="n">
        <v>75</v>
      </c>
      <c r="C77" s="8383" t="n">
        <v>343807.8148950124</v>
      </c>
      <c r="D77" s="8384" t="n">
        <v>299211.8152011419</v>
      </c>
      <c r="E77" s="8385" t="n">
        <v>44595.99969387054</v>
      </c>
      <c r="F77" s="8386" t="n">
        <v>43807.81489501242</v>
      </c>
      <c r="G77" s="8387" t="n">
        <v>0.1460260496500414</v>
      </c>
      <c r="H77" s="8388" t="n">
        <v>0</v>
      </c>
      <c r="I77" s="8389" t="n">
        <v>-0.02074814780576292</v>
      </c>
      <c r="J77" s="8390" t="n">
        <v>3</v>
      </c>
      <c r="K77" s="8391" t="n">
        <v>0</v>
      </c>
      <c r="L77" s="8392" t="n">
        <v>0</v>
      </c>
    </row>
    <row r="78" ht="20" customHeight="1">
      <c r="A78" s="8381" t="inlineStr">
        <is>
          <t>2026-08-10</t>
        </is>
      </c>
      <c r="B78" s="8382" t="n">
        <v>76</v>
      </c>
      <c r="C78" s="8383" t="n">
        <v>343707.8148950124</v>
      </c>
      <c r="D78" s="8384" t="n">
        <v>299211.8152011419</v>
      </c>
      <c r="E78" s="8385" t="n">
        <v>44495.99969387054</v>
      </c>
      <c r="F78" s="8386" t="n">
        <v>43707.81489501242</v>
      </c>
      <c r="G78" s="8387" t="n">
        <v>0.145692716316708</v>
      </c>
      <c r="H78" s="8388" t="n">
        <v>0</v>
      </c>
      <c r="I78" s="8389" t="n">
        <v>-0.02103297316742413</v>
      </c>
      <c r="J78" s="8390" t="n">
        <v>3</v>
      </c>
      <c r="K78" s="8391" t="n">
        <v>0</v>
      </c>
      <c r="L78" s="8392" t="n">
        <v>0</v>
      </c>
    </row>
    <row r="79" ht="20" customHeight="1">
      <c r="A79" s="8381" t="inlineStr">
        <is>
          <t>2026-08-11</t>
        </is>
      </c>
      <c r="B79" s="8382" t="n">
        <v>77</v>
      </c>
      <c r="C79" s="8383" t="n">
        <v>343770.3144300962</v>
      </c>
      <c r="D79" s="8384" t="n">
        <v>269738.3146275068</v>
      </c>
      <c r="E79" s="8385" t="n">
        <v>74031.99980258942</v>
      </c>
      <c r="F79" s="8386" t="n">
        <v>43770.31443009619</v>
      </c>
      <c r="G79" s="8387" t="n">
        <v>0.1459010481003206</v>
      </c>
      <c r="H79" s="8388" t="n">
        <v>0</v>
      </c>
      <c r="I79" s="8389" t="n">
        <v>-0.02085495864058521</v>
      </c>
      <c r="J79" s="8390" t="n">
        <v>4</v>
      </c>
      <c r="K79" s="8391" t="n">
        <v>0</v>
      </c>
      <c r="L79" s="8392" t="n">
        <v>0</v>
      </c>
    </row>
    <row r="80" ht="20" customHeight="1">
      <c r="A80" s="8381" t="inlineStr">
        <is>
          <t>2026-08-12</t>
        </is>
      </c>
      <c r="B80" s="8382" t="n">
        <v>78</v>
      </c>
      <c r="C80" s="8383" t="n">
        <v>344209.3136061216</v>
      </c>
      <c r="D80" s="8384" t="n">
        <v>269738.3146275068</v>
      </c>
      <c r="E80" s="8385" t="n">
        <v>74470.99897861481</v>
      </c>
      <c r="F80" s="8386" t="n">
        <v>44209.31360612158</v>
      </c>
      <c r="G80" s="8387" t="n">
        <v>0.1473643786870719</v>
      </c>
      <c r="H80" s="8388" t="n">
        <v>0</v>
      </c>
      <c r="I80" s="8389" t="n">
        <v>-0.01960457764978114</v>
      </c>
      <c r="J80" s="8390" t="n">
        <v>4</v>
      </c>
      <c r="K80" s="8391" t="n">
        <v>0</v>
      </c>
      <c r="L80" s="8392" t="n">
        <v>0</v>
      </c>
    </row>
    <row r="81" ht="20" customHeight="1">
      <c r="A81" s="8381" t="inlineStr">
        <is>
          <t>2026-08-13</t>
        </is>
      </c>
      <c r="B81" s="8382" t="n">
        <v>79</v>
      </c>
      <c r="C81" s="8383" t="n">
        <v>344209.3136061216</v>
      </c>
      <c r="D81" s="8384" t="n">
        <v>269738.3146275068</v>
      </c>
      <c r="E81" s="8385" t="n">
        <v>74470.99897861481</v>
      </c>
      <c r="F81" s="8386" t="n">
        <v>44209.31360612158</v>
      </c>
      <c r="G81" s="8387" t="n">
        <v>0.1473643786870719</v>
      </c>
      <c r="H81" s="8388" t="n">
        <v>0</v>
      </c>
      <c r="I81" s="8389" t="n">
        <v>-0.01960457764978114</v>
      </c>
      <c r="J81" s="8390" t="n">
        <v>4</v>
      </c>
      <c r="K81" s="8391" t="n">
        <v>0</v>
      </c>
      <c r="L81" s="8392" t="n">
        <v>0</v>
      </c>
    </row>
    <row r="82" ht="20" customHeight="1">
      <c r="A82" s="8381" t="inlineStr">
        <is>
          <t>2026-08-14</t>
        </is>
      </c>
      <c r="B82" s="8382" t="n">
        <v>80</v>
      </c>
      <c r="C82" s="8383" t="n">
        <v>345148.3132113004</v>
      </c>
      <c r="D82" s="8384" t="n">
        <v>269738.3146275068</v>
      </c>
      <c r="E82" s="8385" t="n">
        <v>75409.99858379364</v>
      </c>
      <c r="F82" s="8386" t="n">
        <v>45148.31321130041</v>
      </c>
      <c r="G82" s="8387" t="n">
        <v>0.1504943773710014</v>
      </c>
      <c r="H82" s="8388" t="n">
        <v>0</v>
      </c>
      <c r="I82" s="8389" t="n">
        <v>-0.01693006862833315</v>
      </c>
      <c r="J82" s="8390" t="n">
        <v>4</v>
      </c>
      <c r="K82" s="8391" t="n">
        <v>0</v>
      </c>
      <c r="L82" s="8392" t="n">
        <v>0</v>
      </c>
    </row>
    <row r="83" ht="20" customHeight="1">
      <c r="A83" s="8381" t="inlineStr">
        <is>
          <t>2026-08-17</t>
        </is>
      </c>
      <c r="B83" s="8382" t="n">
        <v>81</v>
      </c>
      <c r="C83" s="8383" t="n">
        <v>343479.3042751933</v>
      </c>
      <c r="D83" s="8384" t="n">
        <v>290889.3047901774</v>
      </c>
      <c r="E83" s="8385" t="n">
        <v>52589.99948501587</v>
      </c>
      <c r="F83" s="8386" t="n">
        <v>43479.30427519325</v>
      </c>
      <c r="G83" s="8387" t="n">
        <v>0.1449310142506442</v>
      </c>
      <c r="H83" s="8388" t="n">
        <v>0</v>
      </c>
      <c r="I83" s="8389" t="n">
        <v>-0.02168382936675835</v>
      </c>
      <c r="J83" s="8390" t="n">
        <v>3</v>
      </c>
      <c r="K83" s="8391" t="n">
        <v>0</v>
      </c>
      <c r="L83" s="8392" t="n">
        <v>0</v>
      </c>
    </row>
    <row r="84" ht="20" customHeight="1">
      <c r="A84" s="8381" t="inlineStr">
        <is>
          <t>2026-08-18</t>
        </is>
      </c>
      <c r="B84" s="8382" t="n">
        <v>82</v>
      </c>
      <c r="C84" s="8383" t="n">
        <v>344479.6724181557</v>
      </c>
      <c r="D84" s="8384" t="n">
        <v>212841.6700702095</v>
      </c>
      <c r="E84" s="8385" t="n">
        <v>131638.0023479462</v>
      </c>
      <c r="F84" s="8386" t="n">
        <v>44479.67241815571</v>
      </c>
      <c r="G84" s="8387" t="n">
        <v>0.1482655747271857</v>
      </c>
      <c r="H84" s="8388" t="n">
        <v>0</v>
      </c>
      <c r="I84" s="8389" t="n">
        <v>-0.01883452718562196</v>
      </c>
      <c r="J84" s="8390" t="n">
        <v>6</v>
      </c>
      <c r="K84" s="8391" t="n">
        <v>0</v>
      </c>
      <c r="L84" s="8392" t="n">
        <v>0</v>
      </c>
    </row>
    <row r="85" ht="20" customHeight="1">
      <c r="A85" s="8381" t="inlineStr">
        <is>
          <t>2026-08-19</t>
        </is>
      </c>
      <c r="B85" s="8382" t="n">
        <v>83</v>
      </c>
      <c r="C85" s="8383" t="n">
        <v>343635.1229589367</v>
      </c>
      <c r="D85" s="8384" t="n">
        <v>191368.1204717541</v>
      </c>
      <c r="E85" s="8385" t="n">
        <v>152267.0024871826</v>
      </c>
      <c r="F85" s="8386" t="n">
        <v>43635.12295893673</v>
      </c>
      <c r="G85" s="8387" t="n">
        <v>0.1454504098631224</v>
      </c>
      <c r="H85" s="8388" t="n">
        <v>0</v>
      </c>
      <c r="I85" s="8389" t="n">
        <v>-0.02124001823725025</v>
      </c>
      <c r="J85" s="8390" t="n">
        <v>7</v>
      </c>
      <c r="K85" s="8391" t="n">
        <v>0</v>
      </c>
      <c r="L85" s="8392" t="n">
        <v>0</v>
      </c>
    </row>
    <row r="86" ht="20" customHeight="1">
      <c r="A86" s="8381" t="inlineStr">
        <is>
          <t>2026-08-20</t>
        </is>
      </c>
      <c r="B86" s="8382" t="n">
        <v>84</v>
      </c>
      <c r="C86" s="8383" t="n">
        <v>342222.9239344979</v>
      </c>
      <c r="D86" s="8384" t="n">
        <v>181022.9208350563</v>
      </c>
      <c r="E86" s="8385" t="n">
        <v>161200.0030994415</v>
      </c>
      <c r="F86" s="8386" t="n">
        <v>42222.92393449787</v>
      </c>
      <c r="G86" s="8387" t="n">
        <v>0.1407430797816596</v>
      </c>
      <c r="H86" s="8388" t="n">
        <v>0</v>
      </c>
      <c r="I86" s="8389" t="n">
        <v>-0.02526231921598436</v>
      </c>
      <c r="J86" s="8390" t="n">
        <v>8</v>
      </c>
      <c r="K86" s="8391" t="n">
        <v>0</v>
      </c>
      <c r="L86" s="8392" t="n">
        <v>0</v>
      </c>
    </row>
    <row r="87" ht="20" customHeight="1">
      <c r="A87" s="8381" t="inlineStr">
        <is>
          <t>2026-08-21</t>
        </is>
      </c>
      <c r="B87" s="8382" t="n">
        <v>85</v>
      </c>
      <c r="C87" s="8383" t="n">
        <v>345557.9200625801</v>
      </c>
      <c r="D87" s="8384" t="n">
        <v>181022.9208350563</v>
      </c>
      <c r="E87" s="8385" t="n">
        <v>164534.9992275238</v>
      </c>
      <c r="F87" s="8386" t="n">
        <v>45557.92006258015</v>
      </c>
      <c r="G87" s="8387" t="n">
        <v>0.1518597335419338</v>
      </c>
      <c r="H87" s="8388" t="n">
        <v>0</v>
      </c>
      <c r="I87" s="8389" t="n">
        <v>-0.01576340443278653</v>
      </c>
      <c r="J87" s="8390" t="n">
        <v>8</v>
      </c>
      <c r="K87" s="8391" t="n">
        <v>0</v>
      </c>
      <c r="L87" s="8392" t="n">
        <v>0</v>
      </c>
    </row>
    <row r="88" ht="20" customHeight="1">
      <c r="A88" s="8381" t="inlineStr">
        <is>
          <t>2026-08-24</t>
        </is>
      </c>
      <c r="B88" s="8382" t="n">
        <v>86</v>
      </c>
      <c r="C88" s="8383" t="n">
        <v>346135.9222293282</v>
      </c>
      <c r="D88" s="8384" t="n">
        <v>181022.9208350563</v>
      </c>
      <c r="E88" s="8385" t="n">
        <v>165113.0013942719</v>
      </c>
      <c r="F88" s="8386" t="n">
        <v>46135.92222932819</v>
      </c>
      <c r="G88" s="8387" t="n">
        <v>0.153786407431094</v>
      </c>
      <c r="H88" s="8388" t="n">
        <v>0</v>
      </c>
      <c r="I88" s="8389" t="n">
        <v>-0.01411710767093675</v>
      </c>
      <c r="J88" s="8390" t="n">
        <v>8</v>
      </c>
      <c r="K88" s="8391" t="n">
        <v>0</v>
      </c>
      <c r="L88" s="8392" t="n">
        <v>0</v>
      </c>
    </row>
    <row r="89" ht="20" customHeight="1">
      <c r="A89" s="8381" t="inlineStr">
        <is>
          <t>2026-08-25</t>
        </is>
      </c>
      <c r="B89" s="8382" t="n">
        <v>87</v>
      </c>
      <c r="C89" s="8383" t="n">
        <v>344635.4962010765</v>
      </c>
      <c r="D89" s="8384" t="n">
        <v>201541.4966721917</v>
      </c>
      <c r="E89" s="8385" t="n">
        <v>143093.9995288849</v>
      </c>
      <c r="F89" s="8386" t="n">
        <v>44635.49620107654</v>
      </c>
      <c r="G89" s="8387" t="n">
        <v>0.1487849873369218</v>
      </c>
      <c r="H89" s="8388" t="n">
        <v>0</v>
      </c>
      <c r="I89" s="8389" t="n">
        <v>-0.0183907015323635</v>
      </c>
      <c r="J89" s="8390" t="n">
        <v>7</v>
      </c>
      <c r="K89" s="8391" t="n">
        <v>0</v>
      </c>
      <c r="L89" s="8392" t="n">
        <v>0</v>
      </c>
    </row>
    <row r="90" ht="20" customHeight="1">
      <c r="A90" s="8381" t="inlineStr">
        <is>
          <t>2026-08-26</t>
        </is>
      </c>
      <c r="B90" s="8382" t="n">
        <v>88</v>
      </c>
      <c r="C90" s="8383" t="n">
        <v>343846.4991708184</v>
      </c>
      <c r="D90" s="8384" t="n">
        <v>201541.4966721917</v>
      </c>
      <c r="E90" s="8385" t="n">
        <v>142305.0024986267</v>
      </c>
      <c r="F90" s="8386" t="n">
        <v>43846.49917081837</v>
      </c>
      <c r="G90" s="8387" t="n">
        <v>0.1461549972360612</v>
      </c>
      <c r="H90" s="8388" t="n">
        <v>0</v>
      </c>
      <c r="I90" s="8389" t="n">
        <v>-0.0206379651772926</v>
      </c>
      <c r="J90" s="8390" t="n">
        <v>7</v>
      </c>
      <c r="K90" s="8391" t="n">
        <v>0</v>
      </c>
      <c r="L90" s="8392" t="n">
        <v>0</v>
      </c>
    </row>
    <row r="91" ht="20" customHeight="1">
      <c r="A91" s="8381" t="inlineStr">
        <is>
          <t>2026-08-27</t>
        </is>
      </c>
      <c r="B91" s="8382" t="n">
        <v>89</v>
      </c>
      <c r="C91" s="8383" t="n">
        <v>345914.1245007897</v>
      </c>
      <c r="D91" s="8384" t="n">
        <v>216055.1216721917</v>
      </c>
      <c r="E91" s="8385" t="n">
        <v>129859.002828598</v>
      </c>
      <c r="F91" s="8386" t="n">
        <v>45914.12450078968</v>
      </c>
      <c r="G91" s="8387" t="n">
        <v>0.1530470816692989</v>
      </c>
      <c r="H91" s="8388" t="n">
        <v>0</v>
      </c>
      <c r="I91" s="8389" t="n">
        <v>-0.01474884385340293</v>
      </c>
      <c r="J91" s="8390" t="n">
        <v>6</v>
      </c>
      <c r="K91" s="8391" t="n">
        <v>0</v>
      </c>
      <c r="L91" s="8392" t="n">
        <v>0</v>
      </c>
    </row>
    <row r="92" ht="20" customHeight="1">
      <c r="A92" s="8381" t="inlineStr">
        <is>
          <t>2026-08-28</t>
        </is>
      </c>
      <c r="B92" s="8382" t="n">
        <v>90</v>
      </c>
      <c r="C92" s="8383" t="n">
        <v>344211.1209988976</v>
      </c>
      <c r="D92" s="8384" t="n">
        <v>216055.1216721917</v>
      </c>
      <c r="E92" s="8385" t="n">
        <v>128155.9993267059</v>
      </c>
      <c r="F92" s="8386" t="n">
        <v>44211.12099889759</v>
      </c>
      <c r="G92" s="8387" t="n">
        <v>0.1473704033296586</v>
      </c>
      <c r="H92" s="8388" t="n">
        <v>0</v>
      </c>
      <c r="I92" s="8389" t="n">
        <v>-0.01959942973677022</v>
      </c>
      <c r="J92" s="8390" t="n">
        <v>6</v>
      </c>
      <c r="K92" s="8391" t="n">
        <v>0</v>
      </c>
      <c r="L92" s="8392" t="n">
        <v>0</v>
      </c>
    </row>
    <row r="93" ht="20" customHeight="1">
      <c r="A93" s="8381" t="inlineStr">
        <is>
          <t>2026-08-31</t>
        </is>
      </c>
      <c r="B93" s="8382" t="n">
        <v>91</v>
      </c>
      <c r="C93" s="8383" t="n">
        <v>343452.1214127922</v>
      </c>
      <c r="D93" s="8384" t="n">
        <v>216055.1216721917</v>
      </c>
      <c r="E93" s="8385" t="n">
        <v>127396.9997406006</v>
      </c>
      <c r="F93" s="8386" t="n">
        <v>43452.12141279224</v>
      </c>
      <c r="G93" s="8387" t="n">
        <v>0.1448404047093075</v>
      </c>
      <c r="H93" s="8388" t="n">
        <v>0</v>
      </c>
      <c r="I93" s="8389" t="n">
        <v>-0.0217612530529019</v>
      </c>
      <c r="J93" s="8390" t="n">
        <v>6</v>
      </c>
      <c r="K93" s="8391" t="n">
        <v>0</v>
      </c>
      <c r="L93" s="8392" t="n">
        <v>0</v>
      </c>
    </row>
    <row r="94" ht="20" customHeight="1">
      <c r="A94" s="8381" t="inlineStr">
        <is>
          <t>2026-09-01</t>
        </is>
      </c>
      <c r="B94" s="8382" t="n">
        <v>92</v>
      </c>
      <c r="C94" s="8383" t="n">
        <v>345735.4838587428</v>
      </c>
      <c r="D94" s="8384" t="n">
        <v>253360.4851938868</v>
      </c>
      <c r="E94" s="8385" t="n">
        <v>92374.99866485596</v>
      </c>
      <c r="F94" s="8386" t="n">
        <v>45735.48385874275</v>
      </c>
      <c r="G94" s="8387" t="n">
        <v>0.1524516128624758</v>
      </c>
      <c r="H94" s="8388" t="n">
        <v>0</v>
      </c>
      <c r="I94" s="8389" t="n">
        <v>-0.01525765770818701</v>
      </c>
      <c r="J94" s="8390" t="n">
        <v>4</v>
      </c>
      <c r="K94" s="8391" t="n">
        <v>0</v>
      </c>
      <c r="L94" s="8392" t="n">
        <v>0</v>
      </c>
    </row>
    <row r="95" ht="20" customHeight="1">
      <c r="A95" s="8381" t="inlineStr">
        <is>
          <t>2026-09-02</t>
        </is>
      </c>
      <c r="B95" s="8382" t="n">
        <v>93</v>
      </c>
      <c r="C95" s="8383" t="n">
        <v>344311.9855181361</v>
      </c>
      <c r="D95" s="8384" t="n">
        <v>256826.9851938868</v>
      </c>
      <c r="E95" s="8385" t="n">
        <v>87485.00032424927</v>
      </c>
      <c r="F95" s="8386" t="n">
        <v>44311.98551813606</v>
      </c>
      <c r="G95" s="8387" t="n">
        <v>0.1477066183937869</v>
      </c>
      <c r="H95" s="8388" t="n">
        <v>0</v>
      </c>
      <c r="I95" s="8389" t="n">
        <v>-0.0193121420050614</v>
      </c>
      <c r="J95" s="8390" t="n">
        <v>4</v>
      </c>
      <c r="K95" s="8391" t="n">
        <v>0</v>
      </c>
      <c r="L95" s="8392" t="n">
        <v>0</v>
      </c>
    </row>
    <row r="96" ht="20" customHeight="1">
      <c r="A96" s="8381" t="inlineStr">
        <is>
          <t>2026-09-03</t>
        </is>
      </c>
      <c r="B96" s="8382" t="n">
        <v>94</v>
      </c>
      <c r="C96" s="8383" t="n">
        <v>344016.9859186793</v>
      </c>
      <c r="D96" s="8384" t="n">
        <v>256826.9851938868</v>
      </c>
      <c r="E96" s="8385" t="n">
        <v>87190.00072479248</v>
      </c>
      <c r="F96" s="8386" t="n">
        <v>44016.98591867927</v>
      </c>
      <c r="G96" s="8387" t="n">
        <v>0.1467232863955976</v>
      </c>
      <c r="H96" s="8388" t="n">
        <v>0</v>
      </c>
      <c r="I96" s="8389" t="n">
        <v>-0.02015237568111333</v>
      </c>
      <c r="J96" s="8390" t="n">
        <v>4</v>
      </c>
      <c r="K96" s="8391" t="n">
        <v>0</v>
      </c>
      <c r="L96" s="8392" t="n">
        <v>0</v>
      </c>
    </row>
    <row r="97" ht="20" customHeight="1">
      <c r="A97" s="8381" t="inlineStr">
        <is>
          <t>2026-09-04</t>
        </is>
      </c>
      <c r="B97" s="8382" t="n">
        <v>95</v>
      </c>
      <c r="C97" s="8383" t="n">
        <v>344486.9859949732</v>
      </c>
      <c r="D97" s="8384" t="n">
        <v>256826.9851938868</v>
      </c>
      <c r="E97" s="8385" t="n">
        <v>87660.00080108643</v>
      </c>
      <c r="F97" s="8386" t="n">
        <v>44486.98599497322</v>
      </c>
      <c r="G97" s="8387" t="n">
        <v>0.1482899533165774</v>
      </c>
      <c r="H97" s="8388" t="n">
        <v>0</v>
      </c>
      <c r="I97" s="8389" t="n">
        <v>-0.01881369626400111</v>
      </c>
      <c r="J97" s="8390" t="n">
        <v>4</v>
      </c>
      <c r="K97" s="8391" t="n">
        <v>0</v>
      </c>
      <c r="L97" s="8392" t="n">
        <v>0</v>
      </c>
    </row>
    <row r="98" ht="20" customHeight="1">
      <c r="A98" s="8381" t="inlineStr">
        <is>
          <t>2026-09-07</t>
        </is>
      </c>
      <c r="B98" s="8382" t="n">
        <v>96</v>
      </c>
      <c r="C98" s="8383" t="n">
        <v>345726.9859568262</v>
      </c>
      <c r="D98" s="8384" t="n">
        <v>256826.9851938868</v>
      </c>
      <c r="E98" s="8385" t="n">
        <v>88900.00076293945</v>
      </c>
      <c r="F98" s="8386" t="n">
        <v>45726.98595682625</v>
      </c>
      <c r="G98" s="8387" t="n">
        <v>0.1524232865227542</v>
      </c>
      <c r="H98" s="8388" t="n">
        <v>0</v>
      </c>
      <c r="I98" s="8389" t="n">
        <v>-0.01528186188805431</v>
      </c>
      <c r="J98" s="8390" t="n">
        <v>4</v>
      </c>
      <c r="K98" s="8391" t="n">
        <v>0</v>
      </c>
      <c r="L98" s="8392" t="n">
        <v>0</v>
      </c>
    </row>
    <row r="99" ht="20" customHeight="1">
      <c r="A99" s="8381" t="inlineStr">
        <is>
          <t>2026-09-08</t>
        </is>
      </c>
      <c r="B99" s="8382" t="n">
        <v>97</v>
      </c>
      <c r="C99" s="8383" t="n">
        <v>344926.9867197657</v>
      </c>
      <c r="D99" s="8384" t="n">
        <v>256826.9851938868</v>
      </c>
      <c r="E99" s="8385" t="n">
        <v>88100.00152587891</v>
      </c>
      <c r="F99" s="8386" t="n">
        <v>44926.9867197657</v>
      </c>
      <c r="G99" s="8387" t="n">
        <v>0.149756622399219</v>
      </c>
      <c r="H99" s="8388" t="n">
        <v>0</v>
      </c>
      <c r="I99" s="8389" t="n">
        <v>-0.01756046260829897</v>
      </c>
      <c r="J99" s="8390" t="n">
        <v>4</v>
      </c>
      <c r="K99" s="8391" t="n">
        <v>0</v>
      </c>
      <c r="L99" s="8392" t="n">
        <v>0</v>
      </c>
    </row>
    <row r="100" ht="20" customHeight="1">
      <c r="A100" s="8381" t="inlineStr">
        <is>
          <t>2026-09-09</t>
        </is>
      </c>
      <c r="B100" s="8382" t="n">
        <v>98</v>
      </c>
      <c r="C100" s="8383" t="n">
        <v>346756.9840685511</v>
      </c>
      <c r="D100" s="8384" t="n">
        <v>256826.9851938868</v>
      </c>
      <c r="E100" s="8385" t="n">
        <v>89929.99887466431</v>
      </c>
      <c r="F100" s="8386" t="n">
        <v>46756.9840685511</v>
      </c>
      <c r="G100" s="8387" t="n">
        <v>0.155856613561837</v>
      </c>
      <c r="H100" s="8388" t="n">
        <v>0</v>
      </c>
      <c r="I100" s="8389" t="n">
        <v>-0.01234816604123032</v>
      </c>
      <c r="J100" s="8390" t="n">
        <v>4</v>
      </c>
      <c r="K100" s="8391" t="n">
        <v>0</v>
      </c>
      <c r="L100" s="8392" t="n">
        <v>0</v>
      </c>
    </row>
    <row r="101" ht="20" customHeight="1">
      <c r="A101" s="8381" t="inlineStr">
        <is>
          <t>2026-09-10</t>
        </is>
      </c>
      <c r="B101" s="8382" t="n">
        <v>99</v>
      </c>
      <c r="C101" s="8383" t="n">
        <v>348336.9844690943</v>
      </c>
      <c r="D101" s="8384" t="n">
        <v>256826.9851938868</v>
      </c>
      <c r="E101" s="8385" t="n">
        <v>91509.99927520752</v>
      </c>
      <c r="F101" s="8386" t="n">
        <v>48336.98446909431</v>
      </c>
      <c r="G101" s="8387" t="n">
        <v>0.1611232815636477</v>
      </c>
      <c r="H101" s="8388" t="n">
        <v>0</v>
      </c>
      <c r="I101" s="8389" t="n">
        <v>-0.007847924186134477</v>
      </c>
      <c r="J101" s="8390" t="n">
        <v>4</v>
      </c>
      <c r="K101" s="8391" t="n">
        <v>0</v>
      </c>
      <c r="L101" s="8392" t="n">
        <v>0</v>
      </c>
    </row>
    <row r="102" ht="20" customHeight="1">
      <c r="A102" s="8381" t="inlineStr">
        <is>
          <t>2026-09-11</t>
        </is>
      </c>
      <c r="B102" s="8382" t="n">
        <v>100</v>
      </c>
      <c r="C102" s="8383" t="n">
        <v>347326.9851938868</v>
      </c>
      <c r="D102" s="8384" t="n">
        <v>256826.9851938868</v>
      </c>
      <c r="E102" s="8385" t="n">
        <v>90500</v>
      </c>
      <c r="F102" s="8386" t="n">
        <v>47326.98519388679</v>
      </c>
      <c r="G102" s="8387" t="n">
        <v>0.157756617312956</v>
      </c>
      <c r="H102" s="8388" t="n">
        <v>0</v>
      </c>
      <c r="I102" s="8389" t="n">
        <v>-0.01072465827451994</v>
      </c>
      <c r="J102" s="8390" t="n">
        <v>4</v>
      </c>
      <c r="K102" s="8391" t="n">
        <v>0</v>
      </c>
      <c r="L102" s="8392" t="n">
        <v>0</v>
      </c>
    </row>
    <row r="103" ht="20" customHeight="1">
      <c r="A103" s="8381" t="inlineStr">
        <is>
          <t>2026-09-14</t>
        </is>
      </c>
      <c r="B103" s="8382" t="n">
        <v>101</v>
      </c>
      <c r="C103" s="8383" t="n">
        <v>347246.9852701807</v>
      </c>
      <c r="D103" s="8384" t="n">
        <v>256826.9851938868</v>
      </c>
      <c r="E103" s="8385" t="n">
        <v>90420.00007629395</v>
      </c>
      <c r="F103" s="8386" t="n">
        <v>47246.98527018074</v>
      </c>
      <c r="G103" s="8387" t="n">
        <v>0.1574899509006025</v>
      </c>
      <c r="H103" s="8388" t="n">
        <v>0</v>
      </c>
      <c r="I103" s="8389" t="n">
        <v>-0.0109525183465444</v>
      </c>
      <c r="J103" s="8390" t="n">
        <v>4</v>
      </c>
      <c r="K103" s="8391" t="n">
        <v>0</v>
      </c>
      <c r="L103" s="8392" t="n">
        <v>0</v>
      </c>
    </row>
    <row r="104" ht="20" customHeight="1">
      <c r="A104" s="8381" t="inlineStr">
        <is>
          <t>2026-09-15</t>
        </is>
      </c>
      <c r="B104" s="8382" t="n">
        <v>102</v>
      </c>
      <c r="C104" s="8383" t="n">
        <v>347336.9859949732</v>
      </c>
      <c r="D104" s="8384" t="n">
        <v>256826.9851938868</v>
      </c>
      <c r="E104" s="8385" t="n">
        <v>90510.00080108643</v>
      </c>
      <c r="F104" s="8386" t="n">
        <v>47336.98599497322</v>
      </c>
      <c r="G104" s="8387" t="n">
        <v>0.1577899533165774</v>
      </c>
      <c r="H104" s="8388" t="n">
        <v>0</v>
      </c>
      <c r="I104" s="8389" t="n">
        <v>-0.01069617345665651</v>
      </c>
      <c r="J104" s="8390" t="n">
        <v>4</v>
      </c>
      <c r="K104" s="8391" t="n">
        <v>0</v>
      </c>
      <c r="L104" s="8392" t="n">
        <v>0</v>
      </c>
    </row>
    <row r="105" ht="20" customHeight="1">
      <c r="A105" s="8381" t="inlineStr">
        <is>
          <t>2026-09-16</t>
        </is>
      </c>
      <c r="B105" s="8382" t="n">
        <v>103</v>
      </c>
      <c r="C105" s="8383" t="n">
        <v>348530.2352701807</v>
      </c>
      <c r="D105" s="8384" t="n">
        <v>230060.2351938868</v>
      </c>
      <c r="E105" s="8385" t="n">
        <v>118470.0000762939</v>
      </c>
      <c r="F105" s="8386" t="n">
        <v>48530.23527018074</v>
      </c>
      <c r="G105" s="8387" t="n">
        <v>0.1617674509006025</v>
      </c>
      <c r="H105" s="8388" t="n">
        <v>0</v>
      </c>
      <c r="I105" s="8389" t="n">
        <v>-0.007297496893026872</v>
      </c>
      <c r="J105" s="8390" t="n">
        <v>5</v>
      </c>
      <c r="K105" s="8391" t="n">
        <v>0</v>
      </c>
      <c r="L105" s="8392" t="n">
        <v>0</v>
      </c>
    </row>
    <row r="106" ht="20" customHeight="1">
      <c r="A106" s="8381" t="inlineStr">
        <is>
          <t>2026-09-17</t>
        </is>
      </c>
      <c r="B106" s="8382" t="n">
        <v>104</v>
      </c>
      <c r="C106" s="8383" t="n">
        <v>346570.2344690943</v>
      </c>
      <c r="D106" s="8384" t="n">
        <v>230060.2351938868</v>
      </c>
      <c r="E106" s="8385" t="n">
        <v>116509.9992752075</v>
      </c>
      <c r="F106" s="8386" t="n">
        <v>46570.23446909431</v>
      </c>
      <c r="G106" s="8387" t="n">
        <v>0.1552341148969811</v>
      </c>
      <c r="H106" s="8388" t="n">
        <v>0</v>
      </c>
      <c r="I106" s="8389" t="n">
        <v>-0.01288007626328398</v>
      </c>
      <c r="J106" s="8390" t="n">
        <v>5</v>
      </c>
      <c r="K106" s="8391" t="n">
        <v>0</v>
      </c>
      <c r="L106" s="8392" t="n">
        <v>0</v>
      </c>
    </row>
    <row r="107" ht="20" customHeight="1">
      <c r="A107" s="8381" t="inlineStr">
        <is>
          <t>2026-09-18</t>
        </is>
      </c>
      <c r="B107" s="8382" t="n">
        <v>105</v>
      </c>
      <c r="C107" s="8383" t="n">
        <v>348400.2351557398</v>
      </c>
      <c r="D107" s="8384" t="n">
        <v>230060.2351938868</v>
      </c>
      <c r="E107" s="8385" t="n">
        <v>118339.999961853</v>
      </c>
      <c r="F107" s="8386" t="n">
        <v>48400.23515573982</v>
      </c>
      <c r="G107" s="8387" t="n">
        <v>0.1613341171857994</v>
      </c>
      <c r="H107" s="8388" t="n">
        <v>0</v>
      </c>
      <c r="I107" s="8389" t="n">
        <v>-0.007667770189143208</v>
      </c>
      <c r="J107" s="8390" t="n">
        <v>5</v>
      </c>
      <c r="K107" s="8391" t="n">
        <v>0</v>
      </c>
      <c r="L107" s="8392" t="n">
        <v>0</v>
      </c>
    </row>
    <row r="108" ht="20" customHeight="1">
      <c r="A108" s="8381" t="inlineStr">
        <is>
          <t>2026-09-21</t>
        </is>
      </c>
      <c r="B108" s="8382" t="n">
        <v>106</v>
      </c>
      <c r="C108" s="8383" t="n">
        <v>349060.2344309473</v>
      </c>
      <c r="D108" s="8384" t="n">
        <v>230060.2351938868</v>
      </c>
      <c r="E108" s="8385" t="n">
        <v>118999.9992370605</v>
      </c>
      <c r="F108" s="8386" t="n">
        <v>49060.23443094734</v>
      </c>
      <c r="G108" s="8387" t="n">
        <v>0.1635341147698245</v>
      </c>
      <c r="H108" s="8388" t="n">
        <v>0</v>
      </c>
      <c r="I108" s="8389" t="n">
        <v>-0.005787924866571998</v>
      </c>
      <c r="J108" s="8390" t="n">
        <v>5</v>
      </c>
      <c r="K108" s="8391" t="n">
        <v>0</v>
      </c>
      <c r="L108" s="8392" t="n">
        <v>0</v>
      </c>
    </row>
    <row r="109" ht="20" customHeight="1">
      <c r="A109" s="8381" t="inlineStr">
        <is>
          <t>2026-09-22</t>
        </is>
      </c>
      <c r="B109" s="8382" t="n">
        <v>107</v>
      </c>
      <c r="C109" s="8383" t="n">
        <v>350228.2351175928</v>
      </c>
      <c r="D109" s="8384" t="n">
        <v>230348.2351938868</v>
      </c>
      <c r="E109" s="8385" t="n">
        <v>119879.9999237061</v>
      </c>
      <c r="F109" s="8386" t="n">
        <v>50228.23511759285</v>
      </c>
      <c r="G109" s="8387" t="n">
        <v>0.1674274503919762</v>
      </c>
      <c r="H109" s="8388" t="n">
        <v>0</v>
      </c>
      <c r="I109" s="8389" t="n">
        <v>-0.002461162686628465</v>
      </c>
      <c r="J109" s="8390" t="n">
        <v>5</v>
      </c>
      <c r="K109" s="8391" t="n">
        <v>0</v>
      </c>
      <c r="L109" s="8392" t="n">
        <v>0</v>
      </c>
    </row>
    <row r="110" ht="20" customHeight="1">
      <c r="A110" s="8381" t="inlineStr">
        <is>
          <t>2026-09-23</t>
        </is>
      </c>
      <c r="B110" s="8382" t="n">
        <v>108</v>
      </c>
      <c r="C110" s="8383" t="n">
        <v>349838.2343928004</v>
      </c>
      <c r="D110" s="8384" t="n">
        <v>230348.2351938868</v>
      </c>
      <c r="E110" s="8385" t="n">
        <v>119489.9991989136</v>
      </c>
      <c r="F110" s="8386" t="n">
        <v>49838.23439280037</v>
      </c>
      <c r="G110" s="8387" t="n">
        <v>0.1661274479760012</v>
      </c>
      <c r="H110" s="8388" t="n">
        <v>0</v>
      </c>
      <c r="I110" s="8389" t="n">
        <v>-0.003571983661500004</v>
      </c>
      <c r="J110" s="8390" t="n">
        <v>5</v>
      </c>
      <c r="K110" s="8391" t="n">
        <v>0</v>
      </c>
      <c r="L110" s="8392" t="n">
        <v>0</v>
      </c>
    </row>
    <row r="111" ht="20" customHeight="1">
      <c r="A111" s="8381" t="inlineStr">
        <is>
          <t>2026-09-24</t>
        </is>
      </c>
      <c r="B111" s="8382" t="n">
        <v>109</v>
      </c>
      <c r="C111" s="8383" t="n">
        <v>349226.235556283</v>
      </c>
      <c r="D111" s="8384" t="n">
        <v>230636.2351938868</v>
      </c>
      <c r="E111" s="8385" t="n">
        <v>118590.0003623962</v>
      </c>
      <c r="F111" s="8386" t="n">
        <v>49226.23555628303</v>
      </c>
      <c r="G111" s="8387" t="n">
        <v>0.1640874518542768</v>
      </c>
      <c r="H111" s="8388" t="n">
        <v>0</v>
      </c>
      <c r="I111" s="8389" t="n">
        <v>-0.005315111560972923</v>
      </c>
      <c r="J111" s="8390" t="n">
        <v>5</v>
      </c>
      <c r="K111" s="8391" t="n">
        <v>0</v>
      </c>
      <c r="L111" s="8392" t="n">
        <v>0</v>
      </c>
    </row>
    <row r="112" ht="20" customHeight="1">
      <c r="A112" s="8381" t="inlineStr">
        <is>
          <t>2026-09-25</t>
        </is>
      </c>
      <c r="B112" s="8382" t="n">
        <v>110</v>
      </c>
      <c r="C112" s="8383" t="n">
        <v>351266.23559443</v>
      </c>
      <c r="D112" s="8384" t="n">
        <v>230636.2351938868</v>
      </c>
      <c r="E112" s="8385" t="n">
        <v>120630.0004005432</v>
      </c>
      <c r="F112" s="8386" t="n">
        <v>51266.23559443001</v>
      </c>
      <c r="G112" s="8387" t="n">
        <v>0.1708874519814333</v>
      </c>
      <c r="H112" s="8388" t="n">
        <v>0</v>
      </c>
      <c r="I112" s="8389" t="n">
        <v>0</v>
      </c>
      <c r="J112" s="8390" t="n">
        <v>5</v>
      </c>
      <c r="K112" s="8391" t="n">
        <v>0</v>
      </c>
      <c r="L112" s="8392" t="n">
        <v>0</v>
      </c>
    </row>
    <row r="113" ht="20" customHeight="1">
      <c r="A113" s="8381" t="inlineStr">
        <is>
          <t>2026-09-28</t>
        </is>
      </c>
      <c r="B113" s="8382" t="n">
        <v>111</v>
      </c>
      <c r="C113" s="8383" t="n">
        <v>348886.2348314906</v>
      </c>
      <c r="D113" s="8384" t="n">
        <v>230636.2351938868</v>
      </c>
      <c r="E113" s="8385" t="n">
        <v>118249.9996376038</v>
      </c>
      <c r="F113" s="8386" t="n">
        <v>48886.23483149055</v>
      </c>
      <c r="G113" s="8387" t="n">
        <v>0.1629541161049685</v>
      </c>
      <c r="H113" s="8388" t="n">
        <v>0</v>
      </c>
      <c r="I113" s="8389" t="n">
        <v>-0.006775489704872712</v>
      </c>
      <c r="J113" s="8390" t="n">
        <v>5</v>
      </c>
      <c r="K113" s="8391" t="n">
        <v>0</v>
      </c>
      <c r="L113" s="8392" t="n">
        <v>0</v>
      </c>
    </row>
    <row r="114" ht="20" customHeight="1">
      <c r="A114" s="8381" t="inlineStr">
        <is>
          <t>2026-09-29</t>
        </is>
      </c>
      <c r="B114" s="8382" t="n">
        <v>112</v>
      </c>
      <c r="C114" s="8383" t="n">
        <v>350626.2343928004</v>
      </c>
      <c r="D114" s="8384" t="n">
        <v>230636.2351938868</v>
      </c>
      <c r="E114" s="8385" t="n">
        <v>119989.9991989136</v>
      </c>
      <c r="F114" s="8386" t="n">
        <v>50626.23439280037</v>
      </c>
      <c r="G114" s="8387" t="n">
        <v>0.1687541146426679</v>
      </c>
      <c r="H114" s="8388" t="n">
        <v>0</v>
      </c>
      <c r="I114" s="8389" t="n">
        <v>-0.001821983261632298</v>
      </c>
      <c r="J114" s="8390" t="n">
        <v>5</v>
      </c>
      <c r="K114" s="8391" t="n">
        <v>0</v>
      </c>
      <c r="L114" s="8392" t="n">
        <v>0</v>
      </c>
    </row>
    <row r="115" ht="20" customHeight="1">
      <c r="A115" s="8381" t="inlineStr">
        <is>
          <t>2026-09-30</t>
        </is>
      </c>
      <c r="B115" s="8382" t="n">
        <v>113</v>
      </c>
      <c r="C115" s="8383" t="n">
        <v>349473.4825016642</v>
      </c>
      <c r="D115" s="8384" t="n">
        <v>229003.4840466166</v>
      </c>
      <c r="E115" s="8385" t="n">
        <v>120469.9984550476</v>
      </c>
      <c r="F115" s="8386" t="n">
        <v>49473.4825016642</v>
      </c>
      <c r="G115" s="8387" t="n">
        <v>0.1649116083388807</v>
      </c>
      <c r="H115" s="8388" t="n">
        <v>0</v>
      </c>
      <c r="I115" s="8389" t="n">
        <v>-0.005103687491432312</v>
      </c>
      <c r="J115" s="8390" t="n">
        <v>5</v>
      </c>
      <c r="K115" s="8391" t="n">
        <v>0</v>
      </c>
      <c r="L115" s="8392" t="n">
        <v>0</v>
      </c>
    </row>
    <row r="116" ht="20" customHeight="1">
      <c r="A116" s="8381" t="inlineStr">
        <is>
          <t>2026-10-01</t>
        </is>
      </c>
      <c r="B116" s="8382" t="n">
        <v>114</v>
      </c>
      <c r="C116" s="8383" t="n">
        <v>348241.9832836771</v>
      </c>
      <c r="D116" s="8384" t="n">
        <v>253541.9840466166</v>
      </c>
      <c r="E116" s="8385" t="n">
        <v>94699.99923706055</v>
      </c>
      <c r="F116" s="8386" t="n">
        <v>48241.98328367714</v>
      </c>
      <c r="G116" s="8387" t="n">
        <v>0.1608066109455905</v>
      </c>
      <c r="H116" s="8388" t="n">
        <v>0</v>
      </c>
      <c r="I116" s="8389" t="n">
        <v>-0.008609573036916229</v>
      </c>
      <c r="J116" s="8390" t="n">
        <v>4</v>
      </c>
      <c r="K116" s="8391" t="n">
        <v>0</v>
      </c>
      <c r="L116" s="8392" t="n">
        <v>0</v>
      </c>
    </row>
    <row r="117" ht="20" customHeight="1">
      <c r="A117" s="8381" t="inlineStr">
        <is>
          <t>2026-10-02</t>
        </is>
      </c>
      <c r="B117" s="8382" t="n">
        <v>115</v>
      </c>
      <c r="C117" s="8383" t="n">
        <v>348441.983474412</v>
      </c>
      <c r="D117" s="8384" t="n">
        <v>253541.9840466166</v>
      </c>
      <c r="E117" s="8385" t="n">
        <v>94899.99942779541</v>
      </c>
      <c r="F117" s="8386" t="n">
        <v>48441.983474412</v>
      </c>
      <c r="G117" s="8387" t="n">
        <v>0.16147327824804</v>
      </c>
      <c r="H117" s="8388" t="n">
        <v>0</v>
      </c>
      <c r="I117" s="8389" t="n">
        <v>-0.008040203793679934</v>
      </c>
      <c r="J117" s="8390" t="n">
        <v>4</v>
      </c>
      <c r="K117" s="8391" t="n">
        <v>0</v>
      </c>
      <c r="L117" s="8392" t="n">
        <v>0</v>
      </c>
    </row>
    <row r="118" ht="20" customHeight="1">
      <c r="A118" s="8381" t="inlineStr">
        <is>
          <t>2026-10-05</t>
        </is>
      </c>
      <c r="B118" s="8382" t="n">
        <v>116</v>
      </c>
      <c r="C118" s="8383" t="n">
        <v>349851.9846569682</v>
      </c>
      <c r="D118" s="8384" t="n">
        <v>253541.9840466166</v>
      </c>
      <c r="E118" s="8385" t="n">
        <v>96310.00061035156</v>
      </c>
      <c r="F118" s="8386" t="n">
        <v>49851.98465696815</v>
      </c>
      <c r="G118" s="8387" t="n">
        <v>0.1661732821898939</v>
      </c>
      <c r="H118" s="8388" t="n">
        <v>0</v>
      </c>
      <c r="I118" s="8389" t="n">
        <v>-0.004026151090407502</v>
      </c>
      <c r="J118" s="8390" t="n">
        <v>4</v>
      </c>
      <c r="K118" s="8391" t="n">
        <v>0</v>
      </c>
      <c r="L118" s="8392" t="n">
        <v>0</v>
      </c>
    </row>
    <row r="119" ht="20" customHeight="1">
      <c r="A119" s="8381" t="inlineStr">
        <is>
          <t>2026-10-06</t>
        </is>
      </c>
      <c r="B119" s="8382" t="n">
        <v>117</v>
      </c>
      <c r="C119" s="8383" t="n">
        <v>351411.9849812174</v>
      </c>
      <c r="D119" s="8384" t="n">
        <v>253541.9840466166</v>
      </c>
      <c r="E119" s="8385" t="n">
        <v>97870.00093460083</v>
      </c>
      <c r="F119" s="8386" t="n">
        <v>51411.98498121742</v>
      </c>
      <c r="G119" s="8387" t="n">
        <v>0.1713732832707247</v>
      </c>
      <c r="H119" s="8388" t="n">
        <v>0</v>
      </c>
      <c r="I119" s="8389" t="n">
        <v>0</v>
      </c>
      <c r="J119" s="8390" t="n">
        <v>4</v>
      </c>
      <c r="K119" s="8391" t="n">
        <v>0</v>
      </c>
      <c r="L119" s="8392" t="n">
        <v>0</v>
      </c>
    </row>
    <row r="120" ht="20" customHeight="1">
      <c r="A120" s="8381" t="inlineStr">
        <is>
          <t>2026-10-07</t>
        </is>
      </c>
      <c r="B120" s="8382" t="n">
        <v>118</v>
      </c>
      <c r="C120" s="8383" t="n">
        <v>352071.9842564249</v>
      </c>
      <c r="D120" s="8384" t="n">
        <v>253541.9840466166</v>
      </c>
      <c r="E120" s="8385" t="n">
        <v>98530.00020980835</v>
      </c>
      <c r="F120" s="8386" t="n">
        <v>52071.98425642494</v>
      </c>
      <c r="G120" s="8387" t="n">
        <v>0.1735732808547498</v>
      </c>
      <c r="H120" s="8388" t="n">
        <v>0</v>
      </c>
      <c r="I120" s="8389" t="n">
        <v>0</v>
      </c>
      <c r="J120" s="8390" t="n">
        <v>4</v>
      </c>
      <c r="K120" s="8391" t="n">
        <v>0</v>
      </c>
      <c r="L120" s="8392" t="n">
        <v>0</v>
      </c>
    </row>
    <row r="121" ht="20" customHeight="1">
      <c r="A121" s="8381" t="inlineStr">
        <is>
          <t>2026-10-08</t>
        </is>
      </c>
      <c r="B121" s="8382" t="n">
        <v>119</v>
      </c>
      <c r="C121" s="8383" t="n">
        <v>353214.0830947543</v>
      </c>
      <c r="D121" s="8384" t="n">
        <v>284624.0833236361</v>
      </c>
      <c r="E121" s="8385" t="n">
        <v>68589.99977111816</v>
      </c>
      <c r="F121" s="8386" t="n">
        <v>53214.08309475426</v>
      </c>
      <c r="G121" s="8387" t="n">
        <v>0.1773802769825142</v>
      </c>
      <c r="H121" s="8388" t="n">
        <v>0</v>
      </c>
      <c r="I121" s="8389" t="n">
        <v>0</v>
      </c>
      <c r="J121" s="8390" t="n">
        <v>3</v>
      </c>
      <c r="K121" s="8391" t="n">
        <v>0</v>
      </c>
      <c r="L121" s="8392" t="n">
        <v>0</v>
      </c>
    </row>
    <row r="122" ht="20" customHeight="1">
      <c r="A122" s="8381" t="inlineStr">
        <is>
          <t>2026-10-09</t>
        </is>
      </c>
      <c r="B122" s="8382" t="n">
        <v>120</v>
      </c>
      <c r="C122" s="8383" t="n">
        <v>352304.0848685885</v>
      </c>
      <c r="D122" s="8384" t="n">
        <v>284624.0833236361</v>
      </c>
      <c r="E122" s="8385" t="n">
        <v>67680.00154495239</v>
      </c>
      <c r="F122" s="8386" t="n">
        <v>52304.08486858848</v>
      </c>
      <c r="G122" s="8387" t="n">
        <v>0.1743469495619616</v>
      </c>
      <c r="H122" s="8388" t="n">
        <v>0</v>
      </c>
      <c r="I122" s="8389" t="n">
        <v>-0.002576336193032407</v>
      </c>
      <c r="J122" s="8390" t="n">
        <v>3</v>
      </c>
      <c r="K122" s="8391" t="n">
        <v>0</v>
      </c>
      <c r="L122" s="8392" t="n">
        <v>0</v>
      </c>
    </row>
    <row r="123" ht="20" customHeight="1">
      <c r="A123" s="8381" t="inlineStr">
        <is>
          <t>2026-10-12</t>
        </is>
      </c>
      <c r="B123" s="8382" t="n">
        <v>121</v>
      </c>
      <c r="C123" s="8383" t="n">
        <v>352844.0829230929</v>
      </c>
      <c r="D123" s="8384" t="n">
        <v>284624.0833236361</v>
      </c>
      <c r="E123" s="8385" t="n">
        <v>68219.99959945679</v>
      </c>
      <c r="F123" s="8386" t="n">
        <v>52844.08292309288</v>
      </c>
      <c r="G123" s="8387" t="n">
        <v>0.1761469430769763</v>
      </c>
      <c r="H123" s="8388" t="n">
        <v>0</v>
      </c>
      <c r="I123" s="8389" t="n">
        <v>-0.001047523837157194</v>
      </c>
      <c r="J123" s="8390" t="n">
        <v>3</v>
      </c>
      <c r="K123" s="8391" t="n">
        <v>0</v>
      </c>
      <c r="L123" s="8392" t="n">
        <v>0</v>
      </c>
    </row>
    <row r="124" ht="20" customHeight="1">
      <c r="A124" s="8381" t="inlineStr">
        <is>
          <t>2026-10-13</t>
        </is>
      </c>
      <c r="B124" s="8382" t="n">
        <v>122</v>
      </c>
      <c r="C124" s="8383" t="n">
        <v>352094.0840675021</v>
      </c>
      <c r="D124" s="8384" t="n">
        <v>284624.0833236361</v>
      </c>
      <c r="E124" s="8385" t="n">
        <v>67470.00074386597</v>
      </c>
      <c r="F124" s="8386" t="n">
        <v>52094.08406750206</v>
      </c>
      <c r="G124" s="8387" t="n">
        <v>0.1736469468916735</v>
      </c>
      <c r="H124" s="8388" t="n">
        <v>0</v>
      </c>
      <c r="I124" s="8389" t="n">
        <v>-0.003170878741411177</v>
      </c>
      <c r="J124" s="8390" t="n">
        <v>3</v>
      </c>
      <c r="K124" s="8391" t="n">
        <v>0</v>
      </c>
      <c r="L124" s="8392" t="n">
        <v>0</v>
      </c>
    </row>
    <row r="125" ht="20" customHeight="1">
      <c r="A125" s="8381" t="inlineStr">
        <is>
          <t>2026-10-14</t>
        </is>
      </c>
      <c r="B125" s="8382" t="n">
        <v>123</v>
      </c>
      <c r="C125" s="8383" t="n">
        <v>351694.0817786837</v>
      </c>
      <c r="D125" s="8384" t="n">
        <v>284624.0833236361</v>
      </c>
      <c r="E125" s="8385" t="n">
        <v>67069.99845504761</v>
      </c>
      <c r="F125" s="8386" t="n">
        <v>51694.0817786837</v>
      </c>
      <c r="G125" s="8387" t="n">
        <v>0.1723136059289457</v>
      </c>
      <c r="H125" s="8388" t="n">
        <v>0</v>
      </c>
      <c r="I125" s="8389" t="n">
        <v>-0.004303342898314721</v>
      </c>
      <c r="J125" s="8390" t="n">
        <v>3</v>
      </c>
      <c r="K125" s="8391" t="n">
        <v>0</v>
      </c>
      <c r="L125" s="8392" t="n">
        <v>0</v>
      </c>
    </row>
    <row r="126" ht="20" customHeight="1">
      <c r="A126" s="8381" t="inlineStr">
        <is>
          <t>2026-10-15</t>
        </is>
      </c>
      <c r="B126" s="8382" t="n">
        <v>124</v>
      </c>
      <c r="C126" s="8383" t="n">
        <v>351230.2085539484</v>
      </c>
      <c r="D126" s="8384" t="n">
        <v>295170.207752862</v>
      </c>
      <c r="E126" s="8385" t="n">
        <v>56060.00080108643</v>
      </c>
      <c r="F126" s="8386" t="n">
        <v>51230.20855394844</v>
      </c>
      <c r="G126" s="8387" t="n">
        <v>0.1707673618464948</v>
      </c>
      <c r="H126" s="8388" t="n">
        <v>0</v>
      </c>
      <c r="I126" s="8389" t="n">
        <v>-0.00561663488449756</v>
      </c>
      <c r="J126" s="8390" t="n">
        <v>3</v>
      </c>
      <c r="K126" s="8391" t="n">
        <v>0</v>
      </c>
      <c r="L126" s="8392" t="n">
        <v>0</v>
      </c>
    </row>
    <row r="127" ht="20" customHeight="1">
      <c r="A127" s="8381" t="inlineStr">
        <is>
          <t>2026-10-16</t>
        </is>
      </c>
      <c r="B127" s="8382" t="n">
        <v>125</v>
      </c>
      <c r="C127" s="8383" t="n">
        <v>351500.2081534052</v>
      </c>
      <c r="D127" s="8384" t="n">
        <v>295170.207752862</v>
      </c>
      <c r="E127" s="8385" t="n">
        <v>56330.00040054321</v>
      </c>
      <c r="F127" s="8386" t="n">
        <v>51500.20815340523</v>
      </c>
      <c r="G127" s="8387" t="n">
        <v>0.1716673605113508</v>
      </c>
      <c r="H127" s="8388" t="n">
        <v>0</v>
      </c>
      <c r="I127" s="8389" t="n">
        <v>-0.004852227086566252</v>
      </c>
      <c r="J127" s="8390" t="n">
        <v>3</v>
      </c>
      <c r="K127" s="8391" t="n">
        <v>0</v>
      </c>
      <c r="L127" s="8392" t="n">
        <v>0</v>
      </c>
    </row>
    <row r="128" ht="20" customHeight="1">
      <c r="A128" s="8381" t="inlineStr">
        <is>
          <t>2026-10-19</t>
        </is>
      </c>
      <c r="B128" s="8382" t="n">
        <v>126</v>
      </c>
      <c r="C128" s="8383" t="n">
        <v>351500.2081534052</v>
      </c>
      <c r="D128" s="8384" t="n">
        <v>295170.207752862</v>
      </c>
      <c r="E128" s="8385" t="n">
        <v>56330.00040054321</v>
      </c>
      <c r="F128" s="8386" t="n">
        <v>51500.20815340523</v>
      </c>
      <c r="G128" s="8387" t="n">
        <v>0.1716673605113508</v>
      </c>
      <c r="H128" s="8388" t="n">
        <v>0</v>
      </c>
      <c r="I128" s="8389" t="n">
        <v>-0.004852227086566252</v>
      </c>
      <c r="J128" s="8390" t="n">
        <v>3</v>
      </c>
      <c r="K128" s="8391" t="n">
        <v>0</v>
      </c>
      <c r="L128" s="8392" t="n">
        <v>0</v>
      </c>
    </row>
    <row r="129" ht="20" customHeight="1">
      <c r="A129" s="8381" t="inlineStr">
        <is>
          <t>2026-10-20</t>
        </is>
      </c>
      <c r="B129" s="8382" t="n">
        <v>127</v>
      </c>
      <c r="C129" s="8383" t="n">
        <v>351032.2717806483</v>
      </c>
      <c r="D129" s="8384" t="n">
        <v>249882.2710177088</v>
      </c>
      <c r="E129" s="8385" t="n">
        <v>101150.0007629395</v>
      </c>
      <c r="F129" s="8386" t="n">
        <v>51032.27178064827</v>
      </c>
      <c r="G129" s="8387" t="n">
        <v>0.1701075726021609</v>
      </c>
      <c r="H129" s="8388" t="n">
        <v>0</v>
      </c>
      <c r="I129" s="8389" t="n">
        <v>-0.006177022430673264</v>
      </c>
      <c r="J129" s="8390" t="n">
        <v>5</v>
      </c>
      <c r="K129" s="8391" t="n">
        <v>0</v>
      </c>
      <c r="L129" s="8392" t="n">
        <v>0</v>
      </c>
    </row>
    <row r="130" ht="20" customHeight="1">
      <c r="A130" s="8381" t="inlineStr">
        <is>
          <t>2026-10-21</t>
        </is>
      </c>
      <c r="B130" s="8382" t="n">
        <v>128</v>
      </c>
      <c r="C130" s="8383" t="n">
        <v>348933.1956543112</v>
      </c>
      <c r="D130" s="8384" t="n">
        <v>271458.1964172507</v>
      </c>
      <c r="E130" s="8385" t="n">
        <v>77474.99923706055</v>
      </c>
      <c r="F130" s="8386" t="n">
        <v>48933.19565431122</v>
      </c>
      <c r="G130" s="8387" t="n">
        <v>0.1631106521810374</v>
      </c>
      <c r="H130" s="8388" t="n">
        <v>0</v>
      </c>
      <c r="I130" s="8389" t="n">
        <v>-0.01211980961499385</v>
      </c>
      <c r="J130" s="8390" t="n">
        <v>4</v>
      </c>
      <c r="K130" s="8391" t="n">
        <v>0</v>
      </c>
      <c r="L130" s="8392" t="n">
        <v>0</v>
      </c>
    </row>
    <row r="131" ht="20" customHeight="1">
      <c r="A131" s="8381" t="inlineStr">
        <is>
          <t>2026-10-22</t>
        </is>
      </c>
      <c r="B131" s="8382" t="n">
        <v>129</v>
      </c>
      <c r="C131" s="8383" t="n">
        <v>346083.1960357809</v>
      </c>
      <c r="D131" s="8384" t="n">
        <v>271458.1964172507</v>
      </c>
      <c r="E131" s="8385" t="n">
        <v>74624.99961853027</v>
      </c>
      <c r="F131" s="8386" t="n">
        <v>46083.19603578094</v>
      </c>
      <c r="G131" s="8387" t="n">
        <v>0.1536106534526031</v>
      </c>
      <c r="H131" s="8388" t="n">
        <v>0</v>
      </c>
      <c r="I131" s="8389" t="n">
        <v>-0.02018856948311532</v>
      </c>
      <c r="J131" s="8390" t="n">
        <v>4</v>
      </c>
      <c r="K131" s="8391" t="n">
        <v>0</v>
      </c>
      <c r="L131" s="8392" t="n">
        <v>0</v>
      </c>
    </row>
    <row r="132" ht="20" customHeight="1">
      <c r="A132" s="8381" t="inlineStr">
        <is>
          <t>2026-10-23</t>
        </is>
      </c>
      <c r="B132" s="8382" t="n">
        <v>130</v>
      </c>
      <c r="C132" s="8383" t="n">
        <v>350058.1971801901</v>
      </c>
      <c r="D132" s="8384" t="n">
        <v>271458.1964172507</v>
      </c>
      <c r="E132" s="8385" t="n">
        <v>78600.00076293945</v>
      </c>
      <c r="F132" s="8386" t="n">
        <v>50058.19718019012</v>
      </c>
      <c r="G132" s="8387" t="n">
        <v>0.1668606572673004</v>
      </c>
      <c r="H132" s="8388" t="n">
        <v>0</v>
      </c>
      <c r="I132" s="8389" t="n">
        <v>-0.008934768078648566</v>
      </c>
      <c r="J132" s="8390" t="n">
        <v>4</v>
      </c>
      <c r="K132" s="8391" t="n">
        <v>0</v>
      </c>
      <c r="L132" s="8392" t="n">
        <v>0</v>
      </c>
    </row>
    <row r="133" ht="20" customHeight="1">
      <c r="A133" s="8454" t="inlineStr">
        <is>
          <t>2026-10-26</t>
        </is>
      </c>
      <c r="B133" s="8455" t="n">
        <v>131</v>
      </c>
      <c r="C133" s="8456" t="n">
        <v>350058.1971801901</v>
      </c>
      <c r="D133" s="8457" t="n">
        <v>271458.1964172507</v>
      </c>
      <c r="E133" s="8458" t="n">
        <v>78600.00076293945</v>
      </c>
      <c r="F133" s="8459" t="n">
        <v>50058.19718019012</v>
      </c>
      <c r="G133" s="8460" t="n">
        <v>0.1668606572673004</v>
      </c>
      <c r="H133" s="8461" t="n">
        <v>0</v>
      </c>
      <c r="I133" s="8462" t="n">
        <v>-0.008934768078648566</v>
      </c>
      <c r="J133" s="8463" t="n">
        <v>4</v>
      </c>
      <c r="K133" s="8464" t="n">
        <v>0</v>
      </c>
      <c r="L133" s="84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3" customWidth="1" min="4" max="4"/>
    <col width="13" customWidth="1" min="5" max="5"/>
    <col width="14" customWidth="1" min="6" max="6"/>
    <col width="18" customWidth="1" min="7" max="7"/>
    <col width="16" customWidth="1" min="8" max="8"/>
    <col width="14" customWidth="1" min="9" max="9"/>
    <col width="14" customWidth="1" min="10" max="10"/>
    <col width="12" customWidth="1" min="11" max="11"/>
  </cols>
  <sheetData>
    <row r="1" ht="34" customHeight="1">
      <c r="A1" s="8466" t="inlineStr">
        <is>
          <t>Current Holdings  —  26 Oct 2026</t>
        </is>
      </c>
    </row>
    <row r="2" ht="22" customHeight="1">
      <c r="A2" s="8467" t="inlineStr">
        <is>
          <t>Ticker</t>
        </is>
      </c>
      <c r="B2" s="8467" t="inlineStr">
        <is>
          <t>Stock Name</t>
        </is>
      </c>
      <c r="C2" s="8467" t="inlineStr">
        <is>
          <t>Shares</t>
        </is>
      </c>
      <c r="D2" s="8467" t="inlineStr">
        <is>
          <t>Avg Cost (฿)</t>
        </is>
      </c>
      <c r="E2" s="8467" t="inlineStr">
        <is>
          <t>Current Price (฿)</t>
        </is>
      </c>
      <c r="F2" s="8467" t="inlineStr">
        <is>
          <t>Market Value (฿)</t>
        </is>
      </c>
      <c r="G2" s="8467" t="inlineStr">
        <is>
          <t>Unrealised P&amp;L (฿)</t>
        </is>
      </c>
      <c r="H2" s="8467" t="inlineStr">
        <is>
          <t>P&amp;L %</t>
        </is>
      </c>
      <c r="I2" s="8467" t="inlineStr">
        <is>
          <t>Entry Date</t>
        </is>
      </c>
      <c r="J2" s="8467" t="inlineStr">
        <is>
          <t>Comp Score</t>
        </is>
      </c>
      <c r="K2" s="8467" t="inlineStr">
        <is>
          <t>Signal</t>
        </is>
      </c>
    </row>
    <row r="3" ht="20" customHeight="1">
      <c r="A3" s="8468" t="inlineStr">
        <is>
          <t>SAWAD.BK</t>
        </is>
      </c>
      <c r="B3" s="8469" t="inlineStr">
        <is>
          <t>SAWAD</t>
        </is>
      </c>
      <c r="C3" s="8470" t="n">
        <v>1000</v>
      </c>
      <c r="D3" s="8471" t="n">
        <v>23.3</v>
      </c>
      <c r="E3" s="8472" t="n">
        <v>22.70000076293945</v>
      </c>
      <c r="F3" s="8473">
        <f>C3*E3</f>
        <v/>
      </c>
      <c r="G3" s="8474">
        <f>F3-C3*D3</f>
        <v/>
      </c>
      <c r="H3" s="8475">
        <f>(E3-D3)/D3</f>
        <v/>
      </c>
      <c r="I3" s="8476" t="inlineStr">
        <is>
          <t>2026-10-19</t>
        </is>
      </c>
      <c r="J3" s="8477" t="n">
        <v>6.92</v>
      </c>
      <c r="K3" s="8478" t="inlineStr">
        <is>
          <t>WEAK</t>
        </is>
      </c>
    </row>
    <row r="4" ht="20" customHeight="1">
      <c r="A4" s="8479" t="inlineStr">
        <is>
          <t>KTB.BK</t>
        </is>
      </c>
      <c r="B4" s="8480" t="inlineStr">
        <is>
          <t>KTB</t>
        </is>
      </c>
      <c r="C4" s="8481" t="n">
        <v>500</v>
      </c>
      <c r="D4" s="8482" t="n">
        <v>43.75</v>
      </c>
      <c r="E4" s="8483" t="n">
        <v>43</v>
      </c>
      <c r="F4" s="8484">
        <f>C4*E4</f>
        <v/>
      </c>
      <c r="G4" s="8485">
        <f>F4-C4*D4</f>
        <v/>
      </c>
      <c r="H4" s="8486">
        <f>(E4-D4)/D4</f>
        <v/>
      </c>
      <c r="I4" s="8487" t="inlineStr">
        <is>
          <t>2026-10-19</t>
        </is>
      </c>
      <c r="J4" s="8488" t="n">
        <v>4.28</v>
      </c>
      <c r="K4" s="8489" t="inlineStr">
        <is>
          <t>AVOID</t>
        </is>
      </c>
    </row>
    <row r="5" ht="20" customHeight="1">
      <c r="A5" s="8490" t="inlineStr">
        <is>
          <t>CENTEL.BK</t>
        </is>
      </c>
      <c r="B5" s="8491" t="inlineStr">
        <is>
          <t>CENTEL</t>
        </is>
      </c>
      <c r="C5" s="8492" t="n">
        <v>400</v>
      </c>
      <c r="D5" s="8493" t="n">
        <v>35.75</v>
      </c>
      <c r="E5" s="8494" t="n">
        <v>45.25</v>
      </c>
      <c r="F5" s="8495">
        <f>C5*E5</f>
        <v/>
      </c>
      <c r="G5" s="8496">
        <f>F5-C5*D5</f>
        <v/>
      </c>
      <c r="H5" s="8497">
        <f>(E5-D5)/D5</f>
        <v/>
      </c>
      <c r="I5" s="8498" t="inlineStr">
        <is>
          <t>2026-06-15</t>
        </is>
      </c>
      <c r="J5" s="8499" t="n">
        <v>6.08</v>
      </c>
      <c r="K5" s="8500" t="inlineStr">
        <is>
          <t>AVOID</t>
        </is>
      </c>
    </row>
    <row r="6" ht="20" customHeight="1">
      <c r="A6" s="8490" t="inlineStr">
        <is>
          <t>PTTEP.BK</t>
        </is>
      </c>
      <c r="B6" s="8491" t="inlineStr">
        <is>
          <t>PTTEP</t>
        </is>
      </c>
      <c r="C6" s="8492" t="n">
        <v>100</v>
      </c>
      <c r="D6" s="8493" t="n">
        <v>154.5</v>
      </c>
      <c r="E6" s="8494" t="n">
        <v>163</v>
      </c>
      <c r="F6" s="8495">
        <f>C6*E6</f>
        <v/>
      </c>
      <c r="G6" s="8496">
        <f>F6-C6*D6</f>
        <v/>
      </c>
      <c r="H6" s="8497">
        <f>(E6-D6)/D6</f>
        <v/>
      </c>
      <c r="I6" s="8498" t="inlineStr">
        <is>
          <t>2026-10-14</t>
        </is>
      </c>
      <c r="J6" s="8501" t="n">
        <v>7.16</v>
      </c>
      <c r="K6" s="8502" t="inlineStr">
        <is>
          <t>WEAK</t>
        </is>
      </c>
    </row>
    <row r="7" ht="22" customHeight="1">
      <c r="B7" s="8503" t="inlineStr">
        <is>
          <t>TOTAL</t>
        </is>
      </c>
      <c r="F7" s="8504">
        <f>SUM(F3:F6)</f>
        <v/>
      </c>
      <c r="G7" s="8505">
        <f>SUM(G3:G6)</f>
        <v/>
      </c>
      <c r="H7" s="8506">
        <f>G7/SUMPRODUCT(C3:C6,D3:D6)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8" customWidth="1" min="4" max="4"/>
    <col width="13" customWidth="1" min="5" max="5"/>
    <col width="8" customWidth="1" min="6" max="6"/>
    <col width="14" customWidth="1" min="7" max="7"/>
    <col width="13" customWidth="1" min="8" max="8"/>
    <col width="18" customWidth="1" min="9" max="9"/>
  </cols>
  <sheetData>
    <row r="1" ht="34" customHeight="1">
      <c r="A1" s="8466" t="inlineStr">
        <is>
          <t>Today's Trades  —  26 Oct 2026</t>
        </is>
      </c>
    </row>
    <row r="3" ht="30" customHeight="1">
      <c r="A3" s="8507" t="inlineStr">
        <is>
          <t>No trades were executed today.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6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8" customWidth="1" min="4" max="4"/>
    <col width="8" customWidth="1" min="5" max="5"/>
    <col width="13" customWidth="1" min="6" max="6"/>
    <col width="10" customWidth="1" min="7" max="7"/>
    <col width="14" customWidth="1" min="8" max="8"/>
    <col width="14" customWidth="1" min="9" max="9"/>
    <col width="18" customWidth="1" min="10" max="10"/>
  </cols>
  <sheetData>
    <row r="1" ht="34" customHeight="1">
      <c r="A1" s="8466" t="inlineStr">
        <is>
          <t>Complete Trade History  —  since 2026-04-27</t>
        </is>
      </c>
    </row>
    <row r="2" ht="22" customHeight="1">
      <c r="A2" s="8467" t="inlineStr">
        <is>
          <t>Date</t>
        </is>
      </c>
      <c r="B2" s="8467" t="inlineStr">
        <is>
          <t>Ticker</t>
        </is>
      </c>
      <c r="C2" s="8467" t="inlineStr">
        <is>
          <t>Stock</t>
        </is>
      </c>
      <c r="D2" s="8467" t="inlineStr">
        <is>
          <t>Action</t>
        </is>
      </c>
      <c r="E2" s="8467" t="inlineStr">
        <is>
          <t>Shares</t>
        </is>
      </c>
      <c r="F2" s="8467" t="inlineStr">
        <is>
          <t>Price (฿)</t>
        </is>
      </c>
      <c r="G2" s="8467" t="inlineStr">
        <is>
          <t>Lots</t>
        </is>
      </c>
      <c r="H2" s="8467" t="inlineStr">
        <is>
          <t>Value (฿)</t>
        </is>
      </c>
      <c r="I2" s="8467" t="inlineStr">
        <is>
          <t>Realised P&amp;L (฿)</t>
        </is>
      </c>
      <c r="J2" s="8467" t="inlineStr">
        <is>
          <t>Reason / Signal</t>
        </is>
      </c>
    </row>
    <row r="3" ht="17" customHeight="1">
      <c r="A3" s="8508" t="inlineStr">
        <is>
          <t>2026-04-27</t>
        </is>
      </c>
      <c r="B3" s="8509" t="inlineStr">
        <is>
          <t>AMATA.BK</t>
        </is>
      </c>
      <c r="C3" s="8510" t="inlineStr">
        <is>
          <t>AMATA</t>
        </is>
      </c>
      <c r="D3" s="8511" t="inlineStr">
        <is>
          <t>BUY</t>
        </is>
      </c>
      <c r="E3" s="8512" t="n">
        <v>2300</v>
      </c>
      <c r="F3" s="8513" t="n">
        <v>20.3</v>
      </c>
      <c r="G3" s="8512" t="n">
        <v>23</v>
      </c>
      <c r="H3" s="8514">
        <f>E3*F3</f>
        <v/>
      </c>
      <c r="I3" s="8515" t="inlineStr">
        <is>
          <t>—</t>
        </is>
      </c>
      <c r="J3" s="8516" t="inlineStr">
        <is>
          <t>BUY (Day 1)</t>
        </is>
      </c>
    </row>
    <row r="4" ht="17" customHeight="1">
      <c r="A4" s="8517" t="inlineStr">
        <is>
          <t>2026-04-27</t>
        </is>
      </c>
      <c r="B4" s="8518" t="inlineStr">
        <is>
          <t>CK.BK</t>
        </is>
      </c>
      <c r="C4" s="8480" t="inlineStr">
        <is>
          <t>CK</t>
        </is>
      </c>
      <c r="D4" s="8511" t="inlineStr">
        <is>
          <t>BUY</t>
        </is>
      </c>
      <c r="E4" s="8481" t="n">
        <v>2800</v>
      </c>
      <c r="F4" s="8482" t="n">
        <v>16.5</v>
      </c>
      <c r="G4" s="8481" t="n">
        <v>28</v>
      </c>
      <c r="H4" s="8484">
        <f>E4*F4</f>
        <v/>
      </c>
      <c r="I4" s="8519" t="inlineStr">
        <is>
          <t>—</t>
        </is>
      </c>
      <c r="J4" s="8520" t="inlineStr">
        <is>
          <t>BUY (Day 1)</t>
        </is>
      </c>
    </row>
    <row r="5" ht="17" customHeight="1">
      <c r="A5" s="8508" t="inlineStr">
        <is>
          <t>2026-04-27</t>
        </is>
      </c>
      <c r="B5" s="8509" t="inlineStr">
        <is>
          <t>TIDLOR.BK</t>
        </is>
      </c>
      <c r="C5" s="8510" t="inlineStr">
        <is>
          <t>TIDLOR</t>
        </is>
      </c>
      <c r="D5" s="8511" t="inlineStr">
        <is>
          <t>BUY</t>
        </is>
      </c>
      <c r="E5" s="8512" t="n">
        <v>2700</v>
      </c>
      <c r="F5" s="8513" t="n">
        <v>17.4</v>
      </c>
      <c r="G5" s="8512" t="n">
        <v>27</v>
      </c>
      <c r="H5" s="8514">
        <f>E5*F5</f>
        <v/>
      </c>
      <c r="I5" s="8515" t="inlineStr">
        <is>
          <t>—</t>
        </is>
      </c>
      <c r="J5" s="8516" t="inlineStr">
        <is>
          <t>BUY (Day 1)</t>
        </is>
      </c>
    </row>
    <row r="6" ht="17" customHeight="1">
      <c r="A6" s="8517" t="inlineStr">
        <is>
          <t>2026-04-27</t>
        </is>
      </c>
      <c r="B6" s="8518" t="inlineStr">
        <is>
          <t>WHA.BK</t>
        </is>
      </c>
      <c r="C6" s="8480" t="inlineStr">
        <is>
          <t>WHA</t>
        </is>
      </c>
      <c r="D6" s="8511" t="inlineStr">
        <is>
          <t>BUY</t>
        </is>
      </c>
      <c r="E6" s="8481" t="n">
        <v>10800</v>
      </c>
      <c r="F6" s="8482" t="n">
        <v>4.38</v>
      </c>
      <c r="G6" s="8481" t="n">
        <v>108</v>
      </c>
      <c r="H6" s="8484">
        <f>E6*F6</f>
        <v/>
      </c>
      <c r="I6" s="8519" t="inlineStr">
        <is>
          <t>—</t>
        </is>
      </c>
      <c r="J6" s="8520" t="inlineStr">
        <is>
          <t>BUY (Day 1)</t>
        </is>
      </c>
    </row>
    <row r="7" ht="17" customHeight="1">
      <c r="A7" s="8508" t="inlineStr">
        <is>
          <t>2026-04-27</t>
        </is>
      </c>
      <c r="B7" s="8509" t="inlineStr">
        <is>
          <t>KTC.BK</t>
        </is>
      </c>
      <c r="C7" s="8510" t="inlineStr">
        <is>
          <t>KTC</t>
        </is>
      </c>
      <c r="D7" s="8511" t="inlineStr">
        <is>
          <t>BUY</t>
        </is>
      </c>
      <c r="E7" s="8512" t="n">
        <v>1600</v>
      </c>
      <c r="F7" s="8513" t="n">
        <v>29.25</v>
      </c>
      <c r="G7" s="8512" t="n">
        <v>16</v>
      </c>
      <c r="H7" s="8514">
        <f>E7*F7</f>
        <v/>
      </c>
      <c r="I7" s="8515" t="inlineStr">
        <is>
          <t>—</t>
        </is>
      </c>
      <c r="J7" s="8516" t="inlineStr">
        <is>
          <t>BUY (Day 1)</t>
        </is>
      </c>
    </row>
    <row r="8" ht="17" customHeight="1">
      <c r="A8" s="8517" t="inlineStr">
        <is>
          <t>2026-04-27</t>
        </is>
      </c>
      <c r="B8" s="8518" t="inlineStr">
        <is>
          <t>JASIF.BK</t>
        </is>
      </c>
      <c r="C8" s="8480" t="inlineStr">
        <is>
          <t>JASIF</t>
        </is>
      </c>
      <c r="D8" s="8511" t="inlineStr">
        <is>
          <t>BUY</t>
        </is>
      </c>
      <c r="E8" s="8481" t="n">
        <v>7000</v>
      </c>
      <c r="F8" s="8482" t="n">
        <v>6.7</v>
      </c>
      <c r="G8" s="8481" t="n">
        <v>70</v>
      </c>
      <c r="H8" s="8484">
        <f>E8*F8</f>
        <v/>
      </c>
      <c r="I8" s="8519" t="inlineStr">
        <is>
          <t>—</t>
        </is>
      </c>
      <c r="J8" s="8520" t="inlineStr">
        <is>
          <t>BUY (Day 1)</t>
        </is>
      </c>
    </row>
    <row r="9" ht="17" customHeight="1">
      <c r="A9" s="8508" t="inlineStr">
        <is>
          <t>2026-05-05</t>
        </is>
      </c>
      <c r="B9" s="8509" t="inlineStr">
        <is>
          <t>AMATA.BK</t>
        </is>
      </c>
      <c r="C9" s="8510" t="inlineStr">
        <is>
          <t>AMATA</t>
        </is>
      </c>
      <c r="D9" s="8521" t="inlineStr">
        <is>
          <t>DIVIDEND</t>
        </is>
      </c>
      <c r="E9" s="8512" t="n">
        <v>2300</v>
      </c>
      <c r="F9" s="8513" t="n">
        <v>0.75</v>
      </c>
      <c r="G9" s="8512" t="n">
        <v>23</v>
      </c>
      <c r="H9" s="8514">
        <f>E9*F9</f>
        <v/>
      </c>
      <c r="I9" s="8522" t="n">
        <v>1725</v>
      </c>
      <c r="J9" s="8516" t="inlineStr">
        <is>
          <t>Dividend ฿0.7500/share</t>
        </is>
      </c>
    </row>
    <row r="10" ht="17" customHeight="1">
      <c r="A10" s="8517" t="inlineStr">
        <is>
          <t>2026-05-08</t>
        </is>
      </c>
      <c r="B10" s="8518" t="inlineStr">
        <is>
          <t>JASIF.BK</t>
        </is>
      </c>
      <c r="C10" s="8480" t="inlineStr">
        <is>
          <t>JASIF</t>
        </is>
      </c>
      <c r="D10" s="8521" t="inlineStr">
        <is>
          <t>SELL</t>
        </is>
      </c>
      <c r="E10" s="8481" t="n">
        <v>7000</v>
      </c>
      <c r="F10" s="8482" t="n">
        <v>6.7</v>
      </c>
      <c r="G10" s="8481" t="n">
        <v>70</v>
      </c>
      <c r="H10" s="8484">
        <f>E10*F10</f>
        <v/>
      </c>
      <c r="I10" s="8523" t="n">
        <v>-234.5</v>
      </c>
      <c r="J10" s="8520" t="inlineStr">
        <is>
          <t>SELL</t>
        </is>
      </c>
    </row>
    <row r="11" ht="17" customHeight="1">
      <c r="A11" s="8508" t="inlineStr">
        <is>
          <t>2026-05-08</t>
        </is>
      </c>
      <c r="B11" s="8509" t="inlineStr">
        <is>
          <t>KGI.BK</t>
        </is>
      </c>
      <c r="C11" s="8510" t="inlineStr">
        <is>
          <t>KGI</t>
        </is>
      </c>
      <c r="D11" s="8511" t="inlineStr">
        <is>
          <t>BUY</t>
        </is>
      </c>
      <c r="E11" s="8512" t="n">
        <v>1500</v>
      </c>
      <c r="F11" s="8513" t="n">
        <v>4.22</v>
      </c>
      <c r="G11" s="8512" t="n">
        <v>15</v>
      </c>
      <c r="H11" s="8514">
        <f>E11*F11</f>
        <v/>
      </c>
      <c r="I11" s="8515" t="inlineStr">
        <is>
          <t>—</t>
        </is>
      </c>
      <c r="J11" s="8516" t="inlineStr">
        <is>
          <t>BUY</t>
        </is>
      </c>
    </row>
    <row r="12" ht="17" customHeight="1">
      <c r="A12" s="8517" t="inlineStr">
        <is>
          <t>2026-05-08</t>
        </is>
      </c>
      <c r="B12" s="8518" t="inlineStr">
        <is>
          <t>TU.BK</t>
        </is>
      </c>
      <c r="C12" s="8480" t="inlineStr">
        <is>
          <t>TU</t>
        </is>
      </c>
      <c r="D12" s="8511" t="inlineStr">
        <is>
          <t>BUY</t>
        </is>
      </c>
      <c r="E12" s="8481" t="n">
        <v>500</v>
      </c>
      <c r="F12" s="8482" t="n">
        <v>11.6</v>
      </c>
      <c r="G12" s="8481" t="n">
        <v>5</v>
      </c>
      <c r="H12" s="8484">
        <f>E12*F12</f>
        <v/>
      </c>
      <c r="I12" s="8519" t="inlineStr">
        <is>
          <t>—</t>
        </is>
      </c>
      <c r="J12" s="8520" t="inlineStr">
        <is>
          <t>BUY</t>
        </is>
      </c>
    </row>
    <row r="13" ht="17" customHeight="1">
      <c r="A13" s="8508" t="inlineStr">
        <is>
          <t>2026-05-08</t>
        </is>
      </c>
      <c r="B13" s="8509" t="inlineStr">
        <is>
          <t>BTSGIF.BK</t>
        </is>
      </c>
      <c r="C13" s="8510" t="inlineStr">
        <is>
          <t>BTSGIF</t>
        </is>
      </c>
      <c r="D13" s="8511" t="inlineStr">
        <is>
          <t>BUY</t>
        </is>
      </c>
      <c r="E13" s="8512" t="n">
        <v>2300</v>
      </c>
      <c r="F13" s="8513" t="n">
        <v>2.62</v>
      </c>
      <c r="G13" s="8512" t="n">
        <v>23</v>
      </c>
      <c r="H13" s="8514">
        <f>E13*F13</f>
        <v/>
      </c>
      <c r="I13" s="8515" t="inlineStr">
        <is>
          <t>—</t>
        </is>
      </c>
      <c r="J13" s="8516" t="inlineStr">
        <is>
          <t>BUY</t>
        </is>
      </c>
    </row>
    <row r="14" ht="17" customHeight="1">
      <c r="A14" s="8517" t="inlineStr">
        <is>
          <t>2026-05-11</t>
        </is>
      </c>
      <c r="B14" s="8518" t="inlineStr">
        <is>
          <t>WHA.BK</t>
        </is>
      </c>
      <c r="C14" s="8480" t="inlineStr">
        <is>
          <t>WHA</t>
        </is>
      </c>
      <c r="D14" s="8521" t="inlineStr">
        <is>
          <t>DIVIDEND</t>
        </is>
      </c>
      <c r="E14" s="8481" t="n">
        <v>10800</v>
      </c>
      <c r="F14" s="8482" t="n">
        <v>0.1438</v>
      </c>
      <c r="G14" s="8481" t="n">
        <v>108</v>
      </c>
      <c r="H14" s="8484">
        <f>E14*F14</f>
        <v/>
      </c>
      <c r="I14" s="8524" t="n">
        <v>1553.04</v>
      </c>
      <c r="J14" s="8520" t="inlineStr">
        <is>
          <t>Dividend ฿0.1438/share</t>
        </is>
      </c>
    </row>
    <row r="15" ht="17" customHeight="1">
      <c r="A15" s="8508" t="inlineStr">
        <is>
          <t>2026-06-02</t>
        </is>
      </c>
      <c r="B15" s="8509" t="inlineStr">
        <is>
          <t>TIDLOR.BK</t>
        </is>
      </c>
      <c r="C15" s="8510" t="inlineStr">
        <is>
          <t>TIDLOR</t>
        </is>
      </c>
      <c r="D15" s="8521" t="inlineStr">
        <is>
          <t>DIVIDEND</t>
        </is>
      </c>
      <c r="E15" s="8512" t="n">
        <v>2700</v>
      </c>
      <c r="F15" s="8513" t="n">
        <v>0.6899999999999999</v>
      </c>
      <c r="G15" s="8512" t="n">
        <v>27</v>
      </c>
      <c r="H15" s="8514">
        <f>E15*F15</f>
        <v/>
      </c>
      <c r="I15" s="8522" t="n">
        <v>1863</v>
      </c>
      <c r="J15" s="8516" t="inlineStr">
        <is>
          <t>Dividend ฿0.6900/share</t>
        </is>
      </c>
    </row>
    <row r="16" ht="17" customHeight="1">
      <c r="A16" s="8517" t="inlineStr">
        <is>
          <t>2026-06-02</t>
        </is>
      </c>
      <c r="B16" s="8518" t="inlineStr">
        <is>
          <t>LH.BK</t>
        </is>
      </c>
      <c r="C16" s="8480" t="inlineStr">
        <is>
          <t>LH</t>
        </is>
      </c>
      <c r="D16" s="8511" t="inlineStr">
        <is>
          <t>BUY</t>
        </is>
      </c>
      <c r="E16" s="8481" t="n">
        <v>1800</v>
      </c>
      <c r="F16" s="8482" t="n">
        <v>3.64</v>
      </c>
      <c r="G16" s="8481" t="n">
        <v>18</v>
      </c>
      <c r="H16" s="8484">
        <f>E16*F16</f>
        <v/>
      </c>
      <c r="I16" s="8519" t="inlineStr">
        <is>
          <t>—</t>
        </is>
      </c>
      <c r="J16" s="8520" t="inlineStr">
        <is>
          <t>BUY</t>
        </is>
      </c>
    </row>
    <row r="17" ht="17" customHeight="1">
      <c r="A17" s="8508" t="inlineStr">
        <is>
          <t>2026-06-02</t>
        </is>
      </c>
      <c r="B17" s="8509" t="inlineStr">
        <is>
          <t>TIDLOR.BK</t>
        </is>
      </c>
      <c r="C17" s="8510" t="inlineStr">
        <is>
          <t>TIDLOR</t>
        </is>
      </c>
      <c r="D17" s="8521" t="inlineStr">
        <is>
          <t>DIVIDEND</t>
        </is>
      </c>
      <c r="E17" s="8512" t="n">
        <v>2700</v>
      </c>
      <c r="F17" s="8513" t="n">
        <v>0.6899999999999999</v>
      </c>
      <c r="G17" s="8512" t="n">
        <v>27</v>
      </c>
      <c r="H17" s="8514">
        <f>E17*F17</f>
        <v/>
      </c>
      <c r="I17" s="8522" t="n">
        <v>1863</v>
      </c>
      <c r="J17" s="8516" t="inlineStr">
        <is>
          <t>Dividend ฿0.6900/share</t>
        </is>
      </c>
    </row>
    <row r="18" ht="17" customHeight="1">
      <c r="A18" s="8517" t="inlineStr">
        <is>
          <t>2026-06-04</t>
        </is>
      </c>
      <c r="B18" s="8518" t="inlineStr">
        <is>
          <t>BPP.BK</t>
        </is>
      </c>
      <c r="C18" s="8480" t="inlineStr">
        <is>
          <t>BPP</t>
        </is>
      </c>
      <c r="D18" s="8511" t="inlineStr">
        <is>
          <t>BUY</t>
        </is>
      </c>
      <c r="E18" s="8481" t="n">
        <v>500</v>
      </c>
      <c r="F18" s="8482" t="n">
        <v>11.8</v>
      </c>
      <c r="G18" s="8481" t="n">
        <v>5</v>
      </c>
      <c r="H18" s="8484">
        <f>E18*F18</f>
        <v/>
      </c>
      <c r="I18" s="8519" t="inlineStr">
        <is>
          <t>—</t>
        </is>
      </c>
      <c r="J18" s="8520" t="inlineStr">
        <is>
          <t>BUY</t>
        </is>
      </c>
    </row>
    <row r="19" ht="17" customHeight="1">
      <c r="A19" s="8508" t="inlineStr">
        <is>
          <t>2026-06-08</t>
        </is>
      </c>
      <c r="B19" s="8509" t="inlineStr">
        <is>
          <t>BPP.BK</t>
        </is>
      </c>
      <c r="C19" s="8510" t="inlineStr">
        <is>
          <t>BPP</t>
        </is>
      </c>
      <c r="D19" s="8521" t="inlineStr">
        <is>
          <t>SELL</t>
        </is>
      </c>
      <c r="E19" s="8512" t="n">
        <v>500</v>
      </c>
      <c r="F19" s="8513" t="n">
        <v>11.5</v>
      </c>
      <c r="G19" s="8512" t="n">
        <v>5</v>
      </c>
      <c r="H19" s="8514">
        <f>E19*F19</f>
        <v/>
      </c>
      <c r="I19" s="8525" t="n">
        <v>-179.12</v>
      </c>
      <c r="J19" s="8516" t="inlineStr">
        <is>
          <t>SELL</t>
        </is>
      </c>
    </row>
    <row r="20" ht="17" customHeight="1">
      <c r="A20" s="8517" t="inlineStr">
        <is>
          <t>2026-06-08</t>
        </is>
      </c>
      <c r="B20" s="8518" t="inlineStr">
        <is>
          <t>CK.BK</t>
        </is>
      </c>
      <c r="C20" s="8480" t="inlineStr">
        <is>
          <t>CK</t>
        </is>
      </c>
      <c r="D20" s="8521" t="inlineStr">
        <is>
          <t>SELL</t>
        </is>
      </c>
      <c r="E20" s="8481" t="n">
        <v>2800</v>
      </c>
      <c r="F20" s="8482" t="n">
        <v>18.2</v>
      </c>
      <c r="G20" s="8481" t="n">
        <v>28</v>
      </c>
      <c r="H20" s="8484">
        <f>E20*F20</f>
        <v/>
      </c>
      <c r="I20" s="8524" t="n">
        <v>4517.1</v>
      </c>
      <c r="J20" s="8520" t="inlineStr">
        <is>
          <t>ATR stop ฿18.23 (--10.3%)</t>
        </is>
      </c>
    </row>
    <row r="21" ht="17" customHeight="1">
      <c r="A21" s="8508" t="inlineStr">
        <is>
          <t>2026-06-11</t>
        </is>
      </c>
      <c r="B21" s="8509" t="inlineStr">
        <is>
          <t>AMATA.BK</t>
        </is>
      </c>
      <c r="C21" s="8510" t="inlineStr">
        <is>
          <t>AMATA</t>
        </is>
      </c>
      <c r="D21" s="8521" t="inlineStr">
        <is>
          <t>SELL</t>
        </is>
      </c>
      <c r="E21" s="8512" t="n">
        <v>2300</v>
      </c>
      <c r="F21" s="8513" t="n">
        <v>27.5</v>
      </c>
      <c r="G21" s="8512" t="n">
        <v>23</v>
      </c>
      <c r="H21" s="8514">
        <f>E21*F21</f>
        <v/>
      </c>
      <c r="I21" s="8522" t="n">
        <v>16285.15</v>
      </c>
      <c r="J21" s="8516" t="inlineStr">
        <is>
          <t>Take-profit +35.5% (target 30%)</t>
        </is>
      </c>
    </row>
    <row r="22" ht="17" customHeight="1">
      <c r="A22" s="8517" t="inlineStr">
        <is>
          <t>2026-06-11</t>
        </is>
      </c>
      <c r="B22" s="8518" t="inlineStr">
        <is>
          <t>TIDLOR.BK</t>
        </is>
      </c>
      <c r="C22" s="8480" t="inlineStr">
        <is>
          <t>TIDLOR</t>
        </is>
      </c>
      <c r="D22" s="8521" t="inlineStr">
        <is>
          <t>SELL</t>
        </is>
      </c>
      <c r="E22" s="8481" t="n">
        <v>2700</v>
      </c>
      <c r="F22" s="8482" t="n">
        <v>16.5</v>
      </c>
      <c r="G22" s="8481" t="n">
        <v>27</v>
      </c>
      <c r="H22" s="8484">
        <f>E22*F22</f>
        <v/>
      </c>
      <c r="I22" s="8523" t="n">
        <v>-2658.82</v>
      </c>
      <c r="J22" s="8520" t="inlineStr">
        <is>
          <t>ATR stop ฿16.51 (-5.2%)</t>
        </is>
      </c>
    </row>
    <row r="23" ht="17" customHeight="1">
      <c r="A23" s="8508" t="inlineStr">
        <is>
          <t>2026-06-11</t>
        </is>
      </c>
      <c r="B23" s="8509" t="inlineStr">
        <is>
          <t>TU.BK</t>
        </is>
      </c>
      <c r="C23" s="8510" t="inlineStr">
        <is>
          <t>TU</t>
        </is>
      </c>
      <c r="D23" s="8521" t="inlineStr">
        <is>
          <t>SELL</t>
        </is>
      </c>
      <c r="E23" s="8512" t="n">
        <v>500</v>
      </c>
      <c r="F23" s="8513" t="n">
        <v>11.1</v>
      </c>
      <c r="G23" s="8512" t="n">
        <v>5</v>
      </c>
      <c r="H23" s="8514">
        <f>E23*F23</f>
        <v/>
      </c>
      <c r="I23" s="8525" t="n">
        <v>-278.37</v>
      </c>
      <c r="J23" s="8516" t="inlineStr">
        <is>
          <t>ATR stop ฿11.13 (-4.3%)</t>
        </is>
      </c>
    </row>
    <row r="24" ht="17" customHeight="1">
      <c r="A24" s="8517" t="inlineStr">
        <is>
          <t>2026-06-11</t>
        </is>
      </c>
      <c r="B24" s="8518" t="inlineStr">
        <is>
          <t>BTSGIF.BK</t>
        </is>
      </c>
      <c r="C24" s="8480" t="inlineStr">
        <is>
          <t>BTSGIF</t>
        </is>
      </c>
      <c r="D24" s="8521" t="inlineStr">
        <is>
          <t>SELL</t>
        </is>
      </c>
      <c r="E24" s="8481" t="n">
        <v>2300</v>
      </c>
      <c r="F24" s="8482" t="n">
        <v>2.44</v>
      </c>
      <c r="G24" s="8481" t="n">
        <v>23</v>
      </c>
      <c r="H24" s="8484">
        <f>E24*F24</f>
        <v/>
      </c>
      <c r="I24" s="8523" t="n">
        <v>-443.09</v>
      </c>
      <c r="J24" s="8520" t="inlineStr">
        <is>
          <t>ATR stop ฿2.59 (-6.9%)</t>
        </is>
      </c>
    </row>
    <row r="25" ht="17" customHeight="1">
      <c r="A25" s="8508" t="inlineStr">
        <is>
          <t>2026-06-11</t>
        </is>
      </c>
      <c r="B25" s="8509" t="inlineStr">
        <is>
          <t>LH.BK</t>
        </is>
      </c>
      <c r="C25" s="8510" t="inlineStr">
        <is>
          <t>LH</t>
        </is>
      </c>
      <c r="D25" s="8521" t="inlineStr">
        <is>
          <t>SELL</t>
        </is>
      </c>
      <c r="E25" s="8512" t="n">
        <v>1800</v>
      </c>
      <c r="F25" s="8513" t="n">
        <v>3.62</v>
      </c>
      <c r="G25" s="8512" t="n">
        <v>18</v>
      </c>
      <c r="H25" s="8514">
        <f>E25*F25</f>
        <v/>
      </c>
      <c r="I25" s="8525" t="n">
        <v>-68.67</v>
      </c>
      <c r="J25" s="8516" t="inlineStr">
        <is>
          <t>SELL</t>
        </is>
      </c>
    </row>
    <row r="26" ht="17" customHeight="1">
      <c r="A26" s="8517" t="inlineStr">
        <is>
          <t>2026-06-11</t>
        </is>
      </c>
      <c r="B26" s="8518" t="inlineStr">
        <is>
          <t>BAM.BK</t>
        </is>
      </c>
      <c r="C26" s="8480" t="inlineStr">
        <is>
          <t>BAM</t>
        </is>
      </c>
      <c r="D26" s="8511" t="inlineStr">
        <is>
          <t>BUY</t>
        </is>
      </c>
      <c r="E26" s="8481" t="n">
        <v>3200</v>
      </c>
      <c r="F26" s="8482" t="n">
        <v>6.65</v>
      </c>
      <c r="G26" s="8481" t="n">
        <v>32</v>
      </c>
      <c r="H26" s="8484">
        <f>E26*F26</f>
        <v/>
      </c>
      <c r="I26" s="8519" t="inlineStr">
        <is>
          <t>—</t>
        </is>
      </c>
      <c r="J26" s="8520" t="inlineStr">
        <is>
          <t>BUY</t>
        </is>
      </c>
    </row>
    <row r="27" ht="17" customHeight="1">
      <c r="A27" s="8508" t="inlineStr">
        <is>
          <t>2026-06-15</t>
        </is>
      </c>
      <c r="B27" s="8509" t="inlineStr">
        <is>
          <t>CK.BK</t>
        </is>
      </c>
      <c r="C27" s="8510" t="inlineStr">
        <is>
          <t>CK</t>
        </is>
      </c>
      <c r="D27" s="8511" t="inlineStr">
        <is>
          <t>BUY</t>
        </is>
      </c>
      <c r="E27" s="8512" t="n">
        <v>800</v>
      </c>
      <c r="F27" s="8513" t="n">
        <v>19.2</v>
      </c>
      <c r="G27" s="8512" t="n">
        <v>8</v>
      </c>
      <c r="H27" s="8514">
        <f>E27*F27</f>
        <v/>
      </c>
      <c r="I27" s="8515" t="inlineStr">
        <is>
          <t>—</t>
        </is>
      </c>
      <c r="J27" s="8516" t="inlineStr">
        <is>
          <t>BUY</t>
        </is>
      </c>
    </row>
    <row r="28" ht="17" customHeight="1">
      <c r="A28" s="8517" t="inlineStr">
        <is>
          <t>2026-06-15</t>
        </is>
      </c>
      <c r="B28" s="8518" t="inlineStr">
        <is>
          <t>CENTEL.BK</t>
        </is>
      </c>
      <c r="C28" s="8480" t="inlineStr">
        <is>
          <t>CENTEL</t>
        </is>
      </c>
      <c r="D28" s="8511" t="inlineStr">
        <is>
          <t>BUY</t>
        </is>
      </c>
      <c r="E28" s="8481" t="n">
        <v>400</v>
      </c>
      <c r="F28" s="8482" t="n">
        <v>35.75</v>
      </c>
      <c r="G28" s="8481" t="n">
        <v>4</v>
      </c>
      <c r="H28" s="8484">
        <f>E28*F28</f>
        <v/>
      </c>
      <c r="I28" s="8519" t="inlineStr">
        <is>
          <t>—</t>
        </is>
      </c>
      <c r="J28" s="8520" t="inlineStr">
        <is>
          <t>BUY</t>
        </is>
      </c>
    </row>
    <row r="29" ht="17" customHeight="1">
      <c r="A29" s="8508" t="inlineStr">
        <is>
          <t>2026-06-17</t>
        </is>
      </c>
      <c r="B29" s="8509" t="inlineStr">
        <is>
          <t>GFPT.BK</t>
        </is>
      </c>
      <c r="C29" s="8510" t="inlineStr">
        <is>
          <t>GFPT</t>
        </is>
      </c>
      <c r="D29" s="8511" t="inlineStr">
        <is>
          <t>BUY</t>
        </is>
      </c>
      <c r="E29" s="8512" t="n">
        <v>2500</v>
      </c>
      <c r="F29" s="8513" t="n">
        <v>8.65</v>
      </c>
      <c r="G29" s="8512" t="n">
        <v>25</v>
      </c>
      <c r="H29" s="8514">
        <f>E29*F29</f>
        <v/>
      </c>
      <c r="I29" s="8515" t="inlineStr">
        <is>
          <t>—</t>
        </is>
      </c>
      <c r="J29" s="8516" t="inlineStr">
        <is>
          <t>BUY</t>
        </is>
      </c>
    </row>
    <row r="30" ht="17" customHeight="1">
      <c r="A30" s="8517" t="inlineStr">
        <is>
          <t>2026-06-17</t>
        </is>
      </c>
      <c r="B30" s="8518" t="inlineStr">
        <is>
          <t>LH.BK</t>
        </is>
      </c>
      <c r="C30" s="8480" t="inlineStr">
        <is>
          <t>LH</t>
        </is>
      </c>
      <c r="D30" s="8511" t="inlineStr">
        <is>
          <t>BUY</t>
        </is>
      </c>
      <c r="E30" s="8481" t="n">
        <v>5700</v>
      </c>
      <c r="F30" s="8482" t="n">
        <v>3.7</v>
      </c>
      <c r="G30" s="8481" t="n">
        <v>57</v>
      </c>
      <c r="H30" s="8484">
        <f>E30*F30</f>
        <v/>
      </c>
      <c r="I30" s="8519" t="inlineStr">
        <is>
          <t>—</t>
        </is>
      </c>
      <c r="J30" s="8520" t="inlineStr">
        <is>
          <t>BUY</t>
        </is>
      </c>
    </row>
    <row r="31" ht="17" customHeight="1">
      <c r="A31" s="8508" t="inlineStr">
        <is>
          <t>2026-06-18</t>
        </is>
      </c>
      <c r="B31" s="8509" t="inlineStr">
        <is>
          <t>GFPT.BK</t>
        </is>
      </c>
      <c r="C31" s="8510" t="inlineStr">
        <is>
          <t>GFPT</t>
        </is>
      </c>
      <c r="D31" s="8521" t="inlineStr">
        <is>
          <t>SELL</t>
        </is>
      </c>
      <c r="E31" s="8512" t="n">
        <v>2500</v>
      </c>
      <c r="F31" s="8513" t="n">
        <v>8.6</v>
      </c>
      <c r="G31" s="8512" t="n">
        <v>25</v>
      </c>
      <c r="H31" s="8514">
        <f>E31*F31</f>
        <v/>
      </c>
      <c r="I31" s="8525" t="n">
        <v>-232.81</v>
      </c>
      <c r="J31" s="8516" t="inlineStr">
        <is>
          <t>SELL</t>
        </is>
      </c>
    </row>
    <row r="32" ht="17" customHeight="1">
      <c r="A32" s="8517" t="inlineStr">
        <is>
          <t>2026-06-29</t>
        </is>
      </c>
      <c r="B32" s="8518" t="inlineStr">
        <is>
          <t>BAM.BK</t>
        </is>
      </c>
      <c r="C32" s="8480" t="inlineStr">
        <is>
          <t>BAM</t>
        </is>
      </c>
      <c r="D32" s="8521" t="inlineStr">
        <is>
          <t>SELL</t>
        </is>
      </c>
      <c r="E32" s="8481" t="n">
        <v>3200</v>
      </c>
      <c r="F32" s="8482" t="n">
        <v>6.5</v>
      </c>
      <c r="G32" s="8481" t="n">
        <v>32</v>
      </c>
      <c r="H32" s="8484">
        <f>E32*F32</f>
        <v/>
      </c>
      <c r="I32" s="8523" t="n">
        <v>-585.2</v>
      </c>
      <c r="J32" s="8520" t="inlineStr">
        <is>
          <t>SELL</t>
        </is>
      </c>
    </row>
    <row r="33" ht="17" customHeight="1">
      <c r="A33" s="8508" t="inlineStr">
        <is>
          <t>2026-07-14</t>
        </is>
      </c>
      <c r="B33" s="8509" t="inlineStr">
        <is>
          <t>CK.BK</t>
        </is>
      </c>
      <c r="C33" s="8510" t="inlineStr">
        <is>
          <t>CK</t>
        </is>
      </c>
      <c r="D33" s="8521" t="inlineStr">
        <is>
          <t>SELL</t>
        </is>
      </c>
      <c r="E33" s="8512" t="n">
        <v>800</v>
      </c>
      <c r="F33" s="8513" t="n">
        <v>18.7</v>
      </c>
      <c r="G33" s="8512" t="n">
        <v>8</v>
      </c>
      <c r="H33" s="8514">
        <f>E33*F33</f>
        <v/>
      </c>
      <c r="I33" s="8525" t="n">
        <v>-475.8</v>
      </c>
      <c r="J33" s="8516" t="inlineStr">
        <is>
          <t>ATR stop ฿18.78 (-2.6%)</t>
        </is>
      </c>
    </row>
    <row r="34" ht="17" customHeight="1">
      <c r="A34" s="8517" t="inlineStr">
        <is>
          <t>2026-07-16</t>
        </is>
      </c>
      <c r="B34" s="8518" t="inlineStr">
        <is>
          <t>KTC.BK</t>
        </is>
      </c>
      <c r="C34" s="8480" t="inlineStr">
        <is>
          <t>KTC</t>
        </is>
      </c>
      <c r="D34" s="8521" t="inlineStr">
        <is>
          <t>SELL</t>
        </is>
      </c>
      <c r="E34" s="8481" t="n">
        <v>1600</v>
      </c>
      <c r="F34" s="8482" t="n">
        <v>38.5</v>
      </c>
      <c r="G34" s="8481" t="n">
        <v>16</v>
      </c>
      <c r="H34" s="8484">
        <f>E34*F34</f>
        <v/>
      </c>
      <c r="I34" s="8524" t="n">
        <v>14529</v>
      </c>
      <c r="J34" s="8520" t="inlineStr">
        <is>
          <t>Take-profit +31.6% (target 30%)</t>
        </is>
      </c>
    </row>
    <row r="35" ht="17" customHeight="1">
      <c r="A35" s="8508" t="inlineStr">
        <is>
          <t>2026-07-30</t>
        </is>
      </c>
      <c r="B35" s="8509" t="inlineStr">
        <is>
          <t>WHA.BK</t>
        </is>
      </c>
      <c r="C35" s="8510" t="inlineStr">
        <is>
          <t>WHA</t>
        </is>
      </c>
      <c r="D35" s="8521" t="inlineStr">
        <is>
          <t>SELL</t>
        </is>
      </c>
      <c r="E35" s="8512" t="n">
        <v>10800</v>
      </c>
      <c r="F35" s="8513" t="n">
        <v>4.76</v>
      </c>
      <c r="G35" s="8512" t="n">
        <v>108</v>
      </c>
      <c r="H35" s="8514">
        <f>E35*F35</f>
        <v/>
      </c>
      <c r="I35" s="8522" t="n">
        <v>3857.22</v>
      </c>
      <c r="J35" s="8516" t="inlineStr">
        <is>
          <t>ATR stop ฿5.06 (--8.7%)</t>
        </is>
      </c>
    </row>
    <row r="36" ht="17" customHeight="1">
      <c r="A36" s="8517" t="inlineStr">
        <is>
          <t>2026-08-10</t>
        </is>
      </c>
      <c r="B36" s="8518" t="inlineStr">
        <is>
          <t>TIDLOR.BK</t>
        </is>
      </c>
      <c r="C36" s="8480" t="inlineStr">
        <is>
          <t>TIDLOR</t>
        </is>
      </c>
      <c r="D36" s="8511" t="inlineStr">
        <is>
          <t>BUY</t>
        </is>
      </c>
      <c r="E36" s="8481" t="n">
        <v>1500</v>
      </c>
      <c r="F36" s="8482" t="n">
        <v>19.6</v>
      </c>
      <c r="G36" s="8481" t="n">
        <v>15</v>
      </c>
      <c r="H36" s="8484">
        <f>E36*F36</f>
        <v/>
      </c>
      <c r="I36" s="8519" t="inlineStr">
        <is>
          <t>—</t>
        </is>
      </c>
      <c r="J36" s="8520" t="inlineStr">
        <is>
          <t>BUY</t>
        </is>
      </c>
    </row>
    <row r="37" ht="17" customHeight="1">
      <c r="A37" s="8508" t="inlineStr">
        <is>
          <t>2026-08-14</t>
        </is>
      </c>
      <c r="B37" s="8509" t="inlineStr">
        <is>
          <t>LH.BK</t>
        </is>
      </c>
      <c r="C37" s="8510" t="inlineStr">
        <is>
          <t>LH</t>
        </is>
      </c>
      <c r="D37" s="8521" t="inlineStr">
        <is>
          <t>SELL</t>
        </is>
      </c>
      <c r="E37" s="8512" t="n">
        <v>5700</v>
      </c>
      <c r="F37" s="8513" t="n">
        <v>3.72</v>
      </c>
      <c r="G37" s="8512" t="n">
        <v>57</v>
      </c>
      <c r="H37" s="8514">
        <f>E37*F37</f>
        <v/>
      </c>
      <c r="I37" s="8522" t="n">
        <v>8.27</v>
      </c>
      <c r="J37" s="8516" t="inlineStr">
        <is>
          <t>ATR stop ฿3.73 (--0.5%)</t>
        </is>
      </c>
    </row>
    <row r="38" ht="17" customHeight="1">
      <c r="A38" s="8517" t="inlineStr">
        <is>
          <t>2026-08-17</t>
        </is>
      </c>
      <c r="B38" s="8518" t="inlineStr">
        <is>
          <t>JASIF.BK</t>
        </is>
      </c>
      <c r="C38" s="8480" t="inlineStr">
        <is>
          <t>JASIF</t>
        </is>
      </c>
      <c r="D38" s="8511" t="inlineStr">
        <is>
          <t>BUY</t>
        </is>
      </c>
      <c r="E38" s="8481" t="n">
        <v>4300</v>
      </c>
      <c r="F38" s="8482" t="n">
        <v>6.65</v>
      </c>
      <c r="G38" s="8481" t="n">
        <v>43</v>
      </c>
      <c r="H38" s="8484">
        <f>E38*F38</f>
        <v/>
      </c>
      <c r="I38" s="8519" t="inlineStr">
        <is>
          <t>—</t>
        </is>
      </c>
      <c r="J38" s="8520" t="inlineStr">
        <is>
          <t>STRONG BUY</t>
        </is>
      </c>
    </row>
    <row r="39" ht="17" customHeight="1">
      <c r="A39" s="8508" t="inlineStr">
        <is>
          <t>2026-08-17</t>
        </is>
      </c>
      <c r="B39" s="8509" t="inlineStr">
        <is>
          <t>CK.BK</t>
        </is>
      </c>
      <c r="C39" s="8510" t="inlineStr">
        <is>
          <t>CK</t>
        </is>
      </c>
      <c r="D39" s="8511" t="inlineStr">
        <is>
          <t>BUY</t>
        </is>
      </c>
      <c r="E39" s="8512" t="n">
        <v>1100</v>
      </c>
      <c r="F39" s="8513" t="n">
        <v>19.1</v>
      </c>
      <c r="G39" s="8512" t="n">
        <v>11</v>
      </c>
      <c r="H39" s="8514">
        <f>E39*F39</f>
        <v/>
      </c>
      <c r="I39" s="8515" t="inlineStr">
        <is>
          <t>—</t>
        </is>
      </c>
      <c r="J39" s="8516" t="inlineStr">
        <is>
          <t>BUY</t>
        </is>
      </c>
    </row>
    <row r="40" ht="17" customHeight="1">
      <c r="A40" s="8517" t="inlineStr">
        <is>
          <t>2026-08-17</t>
        </is>
      </c>
      <c r="B40" s="8518" t="inlineStr">
        <is>
          <t>FM.BK</t>
        </is>
      </c>
      <c r="C40" s="8480" t="inlineStr">
        <is>
          <t>FM</t>
        </is>
      </c>
      <c r="D40" s="8511" t="inlineStr">
        <is>
          <t>BUY</t>
        </is>
      </c>
      <c r="E40" s="8481" t="n">
        <v>6600</v>
      </c>
      <c r="F40" s="8482" t="n">
        <v>4.28</v>
      </c>
      <c r="G40" s="8481" t="n">
        <v>66</v>
      </c>
      <c r="H40" s="8484">
        <f>E40*F40</f>
        <v/>
      </c>
      <c r="I40" s="8519" t="inlineStr">
        <is>
          <t>—</t>
        </is>
      </c>
      <c r="J40" s="8520" t="inlineStr">
        <is>
          <t>BUY</t>
        </is>
      </c>
    </row>
    <row r="41" ht="17" customHeight="1">
      <c r="A41" s="8508" t="inlineStr">
        <is>
          <t>2026-08-18</t>
        </is>
      </c>
      <c r="B41" s="8509" t="inlineStr">
        <is>
          <t>GFPT.BK</t>
        </is>
      </c>
      <c r="C41" s="8510" t="inlineStr">
        <is>
          <t>GFPT</t>
        </is>
      </c>
      <c r="D41" s="8511" t="inlineStr">
        <is>
          <t>BUY</t>
        </is>
      </c>
      <c r="E41" s="8512" t="n">
        <v>2100</v>
      </c>
      <c r="F41" s="8513" t="n">
        <v>10.2</v>
      </c>
      <c r="G41" s="8512" t="n">
        <v>21</v>
      </c>
      <c r="H41" s="8514">
        <f>E41*F41</f>
        <v/>
      </c>
      <c r="I41" s="8515" t="inlineStr">
        <is>
          <t>—</t>
        </is>
      </c>
      <c r="J41" s="8516" t="inlineStr">
        <is>
          <t>STRONG BUY</t>
        </is>
      </c>
    </row>
    <row r="42" ht="17" customHeight="1">
      <c r="A42" s="8517" t="inlineStr">
        <is>
          <t>2026-08-19</t>
        </is>
      </c>
      <c r="B42" s="8518" t="inlineStr">
        <is>
          <t>JASIF.BK</t>
        </is>
      </c>
      <c r="C42" s="8480" t="inlineStr">
        <is>
          <t>JASIF</t>
        </is>
      </c>
      <c r="D42" s="8521" t="inlineStr">
        <is>
          <t>SELL</t>
        </is>
      </c>
      <c r="E42" s="8481" t="n">
        <v>4300</v>
      </c>
      <c r="F42" s="8482" t="n">
        <v>6.5</v>
      </c>
      <c r="G42" s="8481" t="n">
        <v>43</v>
      </c>
      <c r="H42" s="8484">
        <f>E42*F42</f>
        <v/>
      </c>
      <c r="I42" s="8523" t="n">
        <v>-786.36</v>
      </c>
      <c r="J42" s="8520" t="inlineStr">
        <is>
          <t>ATR stop ฿6.51 (-2.3%)</t>
        </is>
      </c>
    </row>
    <row r="43" ht="17" customHeight="1">
      <c r="A43" s="8508" t="inlineStr">
        <is>
          <t>2026-08-19</t>
        </is>
      </c>
      <c r="B43" s="8509" t="inlineStr">
        <is>
          <t>PTTEP.BK</t>
        </is>
      </c>
      <c r="C43" s="8510" t="inlineStr">
        <is>
          <t>PTTEP</t>
        </is>
      </c>
      <c r="D43" s="8511" t="inlineStr">
        <is>
          <t>BUY</t>
        </is>
      </c>
      <c r="E43" s="8512" t="n">
        <v>100</v>
      </c>
      <c r="F43" s="8513" t="n">
        <v>149.5</v>
      </c>
      <c r="G43" s="8512" t="n">
        <v>1</v>
      </c>
      <c r="H43" s="8514">
        <f>E43*F43</f>
        <v/>
      </c>
      <c r="I43" s="8515" t="inlineStr">
        <is>
          <t>—</t>
        </is>
      </c>
      <c r="J43" s="8516" t="inlineStr">
        <is>
          <t>BUY</t>
        </is>
      </c>
    </row>
    <row r="44" ht="17" customHeight="1">
      <c r="A44" s="8517" t="inlineStr">
        <is>
          <t>2026-08-19</t>
        </is>
      </c>
      <c r="B44" s="8518" t="inlineStr">
        <is>
          <t>SPRC.BK</t>
        </is>
      </c>
      <c r="C44" s="8480" t="inlineStr">
        <is>
          <t>SPRC</t>
        </is>
      </c>
      <c r="D44" s="8511" t="inlineStr">
        <is>
          <t>BUY</t>
        </is>
      </c>
      <c r="E44" s="8481" t="n">
        <v>1900</v>
      </c>
      <c r="F44" s="8482" t="n">
        <v>12.2</v>
      </c>
      <c r="G44" s="8481" t="n">
        <v>19</v>
      </c>
      <c r="H44" s="8484">
        <f>E44*F44</f>
        <v/>
      </c>
      <c r="I44" s="8519" t="inlineStr">
        <is>
          <t>—</t>
        </is>
      </c>
      <c r="J44" s="8520" t="inlineStr">
        <is>
          <t>BUY</t>
        </is>
      </c>
    </row>
    <row r="45" ht="17" customHeight="1">
      <c r="A45" s="8508" t="inlineStr">
        <is>
          <t>2026-08-24</t>
        </is>
      </c>
      <c r="B45" s="8509" t="inlineStr">
        <is>
          <t>CK.BK</t>
        </is>
      </c>
      <c r="C45" s="8510" t="inlineStr">
        <is>
          <t>CK</t>
        </is>
      </c>
      <c r="D45" s="8521" t="inlineStr">
        <is>
          <t>SELL</t>
        </is>
      </c>
      <c r="E45" s="8512" t="n">
        <v>1100</v>
      </c>
      <c r="F45" s="8513" t="n">
        <v>18.7</v>
      </c>
      <c r="G45" s="8512" t="n">
        <v>11</v>
      </c>
      <c r="H45" s="8514">
        <f>E45*F45</f>
        <v/>
      </c>
      <c r="I45" s="8525" t="n">
        <v>-543.95</v>
      </c>
      <c r="J45" s="8516" t="inlineStr">
        <is>
          <t>ATR stop ฿18.73 (-2.1%)</t>
        </is>
      </c>
    </row>
    <row r="46" ht="17" customHeight="1">
      <c r="A46" s="8517" t="inlineStr">
        <is>
          <t>2026-08-26</t>
        </is>
      </c>
      <c r="B46" s="8518" t="inlineStr">
        <is>
          <t>PTTEP.BK</t>
        </is>
      </c>
      <c r="C46" s="8480" t="inlineStr">
        <is>
          <t>PTTEP</t>
        </is>
      </c>
      <c r="D46" s="8521" t="inlineStr">
        <is>
          <t>SELL</t>
        </is>
      </c>
      <c r="E46" s="8481" t="n">
        <v>100</v>
      </c>
      <c r="F46" s="8482" t="n">
        <v>145.5</v>
      </c>
      <c r="G46" s="8481" t="n">
        <v>1</v>
      </c>
      <c r="H46" s="8484">
        <f>E46*F46</f>
        <v/>
      </c>
      <c r="I46" s="8523" t="n">
        <v>-473.75</v>
      </c>
      <c r="J46" s="8520" t="inlineStr">
        <is>
          <t>ATR stop ฿145.89 (-2.7%)</t>
        </is>
      </c>
    </row>
    <row r="47" ht="17" customHeight="1">
      <c r="A47" s="8508" t="inlineStr">
        <is>
          <t>2026-08-28</t>
        </is>
      </c>
      <c r="B47" s="8509" t="inlineStr">
        <is>
          <t>SPRC.BK</t>
        </is>
      </c>
      <c r="C47" s="8510" t="inlineStr">
        <is>
          <t>SPRC</t>
        </is>
      </c>
      <c r="D47" s="8521" t="inlineStr">
        <is>
          <t>DIVIDEND</t>
        </is>
      </c>
      <c r="E47" s="8512" t="n">
        <v>1900</v>
      </c>
      <c r="F47" s="8513" t="n">
        <v>0.5</v>
      </c>
      <c r="G47" s="8512" t="n">
        <v>19</v>
      </c>
      <c r="H47" s="8514">
        <f>E47*F47</f>
        <v/>
      </c>
      <c r="I47" s="8522" t="n">
        <v>950</v>
      </c>
      <c r="J47" s="8516" t="inlineStr">
        <is>
          <t>Dividend ฿0.5000/share</t>
        </is>
      </c>
    </row>
    <row r="48" ht="17" customHeight="1">
      <c r="A48" s="8517" t="inlineStr">
        <is>
          <t>2026-08-31</t>
        </is>
      </c>
      <c r="B48" s="8518" t="inlineStr">
        <is>
          <t>FM.BK</t>
        </is>
      </c>
      <c r="C48" s="8480" t="inlineStr">
        <is>
          <t>FM</t>
        </is>
      </c>
      <c r="D48" s="8521" t="inlineStr">
        <is>
          <t>DIVIDEND</t>
        </is>
      </c>
      <c r="E48" s="8481" t="n">
        <v>6600</v>
      </c>
      <c r="F48" s="8482" t="n">
        <v>0.15</v>
      </c>
      <c r="G48" s="8481" t="n">
        <v>66</v>
      </c>
      <c r="H48" s="8484">
        <f>E48*F48</f>
        <v/>
      </c>
      <c r="I48" s="8524" t="n">
        <v>990</v>
      </c>
      <c r="J48" s="8520" t="inlineStr">
        <is>
          <t>Dividend ฿0.1500/share</t>
        </is>
      </c>
    </row>
    <row r="49" ht="17" customHeight="1">
      <c r="A49" s="8508" t="inlineStr">
        <is>
          <t>2026-08-31</t>
        </is>
      </c>
      <c r="B49" s="8509" t="inlineStr">
        <is>
          <t>KGI.BK</t>
        </is>
      </c>
      <c r="C49" s="8510" t="inlineStr">
        <is>
          <t>KGI</t>
        </is>
      </c>
      <c r="D49" s="8521" t="inlineStr">
        <is>
          <t>SELL</t>
        </is>
      </c>
      <c r="E49" s="8512" t="n">
        <v>1500</v>
      </c>
      <c r="F49" s="8513" t="n">
        <v>4.98</v>
      </c>
      <c r="G49" s="8512" t="n">
        <v>15</v>
      </c>
      <c r="H49" s="8514">
        <f>E49*F49</f>
        <v/>
      </c>
      <c r="I49" s="8522" t="n">
        <v>1105.5</v>
      </c>
      <c r="J49" s="8516" t="inlineStr">
        <is>
          <t>ATR stop ฿4.99 (--18.0%)</t>
        </is>
      </c>
    </row>
    <row r="50" ht="17" customHeight="1">
      <c r="A50" s="8517" t="inlineStr">
        <is>
          <t>2026-08-31</t>
        </is>
      </c>
      <c r="B50" s="8518" t="inlineStr">
        <is>
          <t>FM.BK</t>
        </is>
      </c>
      <c r="C50" s="8480" t="inlineStr">
        <is>
          <t>FM</t>
        </is>
      </c>
      <c r="D50" s="8521" t="inlineStr">
        <is>
          <t>SELL</t>
        </is>
      </c>
      <c r="E50" s="8481" t="n">
        <v>6600</v>
      </c>
      <c r="F50" s="8482" t="n">
        <v>4.24</v>
      </c>
      <c r="G50" s="8481" t="n">
        <v>66</v>
      </c>
      <c r="H50" s="8484">
        <f>E50*F50</f>
        <v/>
      </c>
      <c r="I50" s="8523" t="n">
        <v>-404.58</v>
      </c>
      <c r="J50" s="8520" t="inlineStr">
        <is>
          <t>ATR stop ฿4.27 (-0.9%)</t>
        </is>
      </c>
    </row>
    <row r="51" ht="17" customHeight="1">
      <c r="A51" s="8508" t="inlineStr">
        <is>
          <t>2026-09-01</t>
        </is>
      </c>
      <c r="B51" s="8509" t="inlineStr">
        <is>
          <t>PTT.BK</t>
        </is>
      </c>
      <c r="C51" s="8510" t="inlineStr">
        <is>
          <t>PTT</t>
        </is>
      </c>
      <c r="D51" s="8511" t="inlineStr">
        <is>
          <t>BUY</t>
        </is>
      </c>
      <c r="E51" s="8512" t="n">
        <v>600</v>
      </c>
      <c r="F51" s="8513" t="n">
        <v>41.5</v>
      </c>
      <c r="G51" s="8512" t="n">
        <v>6</v>
      </c>
      <c r="H51" s="8514">
        <f>E51*F51</f>
        <v/>
      </c>
      <c r="I51" s="8515" t="inlineStr">
        <is>
          <t>—</t>
        </is>
      </c>
      <c r="J51" s="8516" t="inlineStr">
        <is>
          <t>BUY</t>
        </is>
      </c>
    </row>
    <row r="52" ht="17" customHeight="1">
      <c r="A52" s="8517" t="inlineStr">
        <is>
          <t>2026-09-01</t>
        </is>
      </c>
      <c r="B52" s="8518" t="inlineStr">
        <is>
          <t>TIDLOR.BK</t>
        </is>
      </c>
      <c r="C52" s="8480" t="inlineStr">
        <is>
          <t>TIDLOR</t>
        </is>
      </c>
      <c r="D52" s="8521" t="inlineStr">
        <is>
          <t>SELL</t>
        </is>
      </c>
      <c r="E52" s="8481" t="n">
        <v>1500</v>
      </c>
      <c r="F52" s="8482" t="n">
        <v>19</v>
      </c>
      <c r="G52" s="8481" t="n">
        <v>15</v>
      </c>
      <c r="H52" s="8484">
        <f>E52*F52</f>
        <v/>
      </c>
      <c r="I52" s="8523" t="n">
        <v>-1044.75</v>
      </c>
      <c r="J52" s="8520" t="inlineStr">
        <is>
          <t>ATR stop ฿19.06 (-3.1%)</t>
        </is>
      </c>
    </row>
    <row r="53" ht="17" customHeight="1">
      <c r="A53" s="8508" t="inlineStr">
        <is>
          <t>2026-09-15</t>
        </is>
      </c>
      <c r="B53" s="8509" t="inlineStr">
        <is>
          <t>KTB.BK</t>
        </is>
      </c>
      <c r="C53" s="8510" t="inlineStr">
        <is>
          <t>KTB</t>
        </is>
      </c>
      <c r="D53" s="8511" t="inlineStr">
        <is>
          <t>BUY</t>
        </is>
      </c>
      <c r="E53" s="8512" t="n">
        <v>600</v>
      </c>
      <c r="F53" s="8513" t="n">
        <v>44.5</v>
      </c>
      <c r="G53" s="8512" t="n">
        <v>6</v>
      </c>
      <c r="H53" s="8514">
        <f>E53*F53</f>
        <v/>
      </c>
      <c r="I53" s="8515" t="inlineStr">
        <is>
          <t>—</t>
        </is>
      </c>
      <c r="J53" s="8516" t="inlineStr">
        <is>
          <t>BUY</t>
        </is>
      </c>
    </row>
    <row r="54" ht="17" customHeight="1">
      <c r="A54" s="8517" t="inlineStr">
        <is>
          <t>2026-09-22</t>
        </is>
      </c>
      <c r="B54" s="8518" t="inlineStr">
        <is>
          <t>KTB.BK</t>
        </is>
      </c>
      <c r="C54" s="8480" t="inlineStr">
        <is>
          <t>KTB</t>
        </is>
      </c>
      <c r="D54" s="8521" t="inlineStr">
        <is>
          <t>DIVIDEND</t>
        </is>
      </c>
      <c r="E54" s="8481" t="n">
        <v>600</v>
      </c>
      <c r="F54" s="8482" t="n">
        <v>0.48</v>
      </c>
      <c r="G54" s="8481" t="n">
        <v>6</v>
      </c>
      <c r="H54" s="8484">
        <f>E54*F54</f>
        <v/>
      </c>
      <c r="I54" s="8524" t="n">
        <v>288</v>
      </c>
      <c r="J54" s="8520" t="inlineStr">
        <is>
          <t>Dividend ฿0.4800/share</t>
        </is>
      </c>
    </row>
    <row r="55" ht="17" customHeight="1">
      <c r="A55" s="8508" t="inlineStr">
        <is>
          <t>2026-09-22</t>
        </is>
      </c>
      <c r="B55" s="8509" t="inlineStr">
        <is>
          <t>KTB.BK</t>
        </is>
      </c>
      <c r="C55" s="8510" t="inlineStr">
        <is>
          <t>KTB</t>
        </is>
      </c>
      <c r="D55" s="8521" t="inlineStr">
        <is>
          <t>DIVIDEND</t>
        </is>
      </c>
      <c r="E55" s="8512" t="n">
        <v>600</v>
      </c>
      <c r="F55" s="8513" t="n">
        <v>0.48</v>
      </c>
      <c r="G55" s="8512" t="n">
        <v>6</v>
      </c>
      <c r="H55" s="8514">
        <f>E55*F55</f>
        <v/>
      </c>
      <c r="I55" s="8522" t="n">
        <v>288</v>
      </c>
      <c r="J55" s="8516" t="inlineStr">
        <is>
          <t>Dividend ฿0.4800/share</t>
        </is>
      </c>
    </row>
    <row r="56" ht="17" customHeight="1">
      <c r="A56" s="8517" t="inlineStr">
        <is>
          <t>2026-09-29</t>
        </is>
      </c>
      <c r="B56" s="8518" t="inlineStr">
        <is>
          <t>KTB.BK</t>
        </is>
      </c>
      <c r="C56" s="8480" t="inlineStr">
        <is>
          <t>KTB</t>
        </is>
      </c>
      <c r="D56" s="8521" t="inlineStr">
        <is>
          <t>SELL</t>
        </is>
      </c>
      <c r="E56" s="8481" t="n">
        <v>600</v>
      </c>
      <c r="F56" s="8482" t="n">
        <v>43</v>
      </c>
      <c r="G56" s="8481" t="n">
        <v>6</v>
      </c>
      <c r="H56" s="8484">
        <f>E56*F56</f>
        <v/>
      </c>
      <c r="I56" s="8523" t="n">
        <v>-1031.25</v>
      </c>
      <c r="J56" s="8520" t="inlineStr">
        <is>
          <t>ATR stop ฿43.62 (-3.4%)</t>
        </is>
      </c>
    </row>
    <row r="57" ht="17" customHeight="1">
      <c r="A57" s="8508" t="inlineStr">
        <is>
          <t>2026-09-29</t>
        </is>
      </c>
      <c r="B57" s="8509" t="inlineStr">
        <is>
          <t>CK.BK</t>
        </is>
      </c>
      <c r="C57" s="8510" t="inlineStr">
        <is>
          <t>CK</t>
        </is>
      </c>
      <c r="D57" s="8511" t="inlineStr">
        <is>
          <t>BUY</t>
        </is>
      </c>
      <c r="E57" s="8512" t="n">
        <v>1500</v>
      </c>
      <c r="F57" s="8513" t="n">
        <v>18.2</v>
      </c>
      <c r="G57" s="8512" t="n">
        <v>15</v>
      </c>
      <c r="H57" s="8514">
        <f>E57*F57</f>
        <v/>
      </c>
      <c r="I57" s="8515" t="inlineStr">
        <is>
          <t>—</t>
        </is>
      </c>
      <c r="J57" s="8516" t="inlineStr">
        <is>
          <t>BUY</t>
        </is>
      </c>
    </row>
    <row r="58" ht="17" customHeight="1">
      <c r="A58" s="8517" t="inlineStr">
        <is>
          <t>2026-09-30</t>
        </is>
      </c>
      <c r="B58" s="8518" t="inlineStr">
        <is>
          <t>PTT.BK</t>
        </is>
      </c>
      <c r="C58" s="8480" t="inlineStr">
        <is>
          <t>PTT</t>
        </is>
      </c>
      <c r="D58" s="8521" t="inlineStr">
        <is>
          <t>SELL</t>
        </is>
      </c>
      <c r="E58" s="8481" t="n">
        <v>600</v>
      </c>
      <c r="F58" s="8482" t="n">
        <v>41</v>
      </c>
      <c r="G58" s="8481" t="n">
        <v>6</v>
      </c>
      <c r="H58" s="8484">
        <f>E58*F58</f>
        <v/>
      </c>
      <c r="I58" s="8523" t="n">
        <v>-423.75</v>
      </c>
      <c r="J58" s="8520" t="inlineStr">
        <is>
          <t>ATR stop ฿41.53 (-1.2%)</t>
        </is>
      </c>
    </row>
    <row r="59" ht="17" customHeight="1">
      <c r="A59" s="8508" t="inlineStr">
        <is>
          <t>2026-10-07</t>
        </is>
      </c>
      <c r="B59" s="8509" t="inlineStr">
        <is>
          <t>SPRC.BK</t>
        </is>
      </c>
      <c r="C59" s="8510" t="inlineStr">
        <is>
          <t>SPRC</t>
        </is>
      </c>
      <c r="D59" s="8521" t="inlineStr">
        <is>
          <t>SELL</t>
        </is>
      </c>
      <c r="E59" s="8512" t="n">
        <v>1900</v>
      </c>
      <c r="F59" s="8513" t="n">
        <v>16.4</v>
      </c>
      <c r="G59" s="8512" t="n">
        <v>19</v>
      </c>
      <c r="H59" s="8514">
        <f>E59*F59</f>
        <v/>
      </c>
      <c r="I59" s="8522" t="n">
        <v>7844.15</v>
      </c>
      <c r="J59" s="8516" t="inlineStr">
        <is>
          <t>Take-profit +34.4% (target 30%)</t>
        </is>
      </c>
    </row>
    <row r="60" ht="17" customHeight="1">
      <c r="A60" s="8517" t="inlineStr">
        <is>
          <t>2026-10-14</t>
        </is>
      </c>
      <c r="B60" s="8518" t="inlineStr">
        <is>
          <t>CK.BK</t>
        </is>
      </c>
      <c r="C60" s="8480" t="inlineStr">
        <is>
          <t>CK</t>
        </is>
      </c>
      <c r="D60" s="8521" t="inlineStr">
        <is>
          <t>SELL</t>
        </is>
      </c>
      <c r="E60" s="8481" t="n">
        <v>1500</v>
      </c>
      <c r="F60" s="8482" t="n">
        <v>17.4</v>
      </c>
      <c r="G60" s="8481" t="n">
        <v>15</v>
      </c>
      <c r="H60" s="8484">
        <f>E60*F60</f>
        <v/>
      </c>
      <c r="I60" s="8523" t="n">
        <v>-1333.5</v>
      </c>
      <c r="J60" s="8520" t="inlineStr">
        <is>
          <t>ATR stop ฿17.47 (-4.4%)</t>
        </is>
      </c>
    </row>
    <row r="61" ht="17" customHeight="1">
      <c r="A61" s="8508" t="inlineStr">
        <is>
          <t>2026-10-14</t>
        </is>
      </c>
      <c r="B61" s="8509" t="inlineStr">
        <is>
          <t>PTTEP.BK</t>
        </is>
      </c>
      <c r="C61" s="8510" t="inlineStr">
        <is>
          <t>PTTEP</t>
        </is>
      </c>
      <c r="D61" s="8511" t="inlineStr">
        <is>
          <t>BUY</t>
        </is>
      </c>
      <c r="E61" s="8512" t="n">
        <v>100</v>
      </c>
      <c r="F61" s="8513" t="n">
        <v>154.5</v>
      </c>
      <c r="G61" s="8512" t="n">
        <v>1</v>
      </c>
      <c r="H61" s="8514">
        <f>E61*F61</f>
        <v/>
      </c>
      <c r="I61" s="8515" t="inlineStr">
        <is>
          <t>—</t>
        </is>
      </c>
      <c r="J61" s="8516" t="inlineStr">
        <is>
          <t>BUY</t>
        </is>
      </c>
    </row>
    <row r="62" ht="17" customHeight="1">
      <c r="A62" s="8517" t="inlineStr">
        <is>
          <t>2026-10-19</t>
        </is>
      </c>
      <c r="B62" s="8518" t="inlineStr">
        <is>
          <t>SAWAD.BK</t>
        </is>
      </c>
      <c r="C62" s="8480" t="inlineStr">
        <is>
          <t>SAWAD</t>
        </is>
      </c>
      <c r="D62" s="8511" t="inlineStr">
        <is>
          <t>BUY</t>
        </is>
      </c>
      <c r="E62" s="8481" t="n">
        <v>1000</v>
      </c>
      <c r="F62" s="8482" t="n">
        <v>23.3</v>
      </c>
      <c r="G62" s="8481" t="n">
        <v>10</v>
      </c>
      <c r="H62" s="8484">
        <f>E62*F62</f>
        <v/>
      </c>
      <c r="I62" s="8519" t="inlineStr">
        <is>
          <t>—</t>
        </is>
      </c>
      <c r="J62" s="8520" t="inlineStr">
        <is>
          <t>BUY</t>
        </is>
      </c>
    </row>
    <row r="63" ht="17" customHeight="1">
      <c r="A63" s="8508" t="inlineStr">
        <is>
          <t>2026-10-19</t>
        </is>
      </c>
      <c r="B63" s="8509" t="inlineStr">
        <is>
          <t>KTB.BK</t>
        </is>
      </c>
      <c r="C63" s="8510" t="inlineStr">
        <is>
          <t>KTB</t>
        </is>
      </c>
      <c r="D63" s="8511" t="inlineStr">
        <is>
          <t>BUY</t>
        </is>
      </c>
      <c r="E63" s="8512" t="n">
        <v>500</v>
      </c>
      <c r="F63" s="8513" t="n">
        <v>43.75</v>
      </c>
      <c r="G63" s="8512" t="n">
        <v>5</v>
      </c>
      <c r="H63" s="8514">
        <f>E63*F63</f>
        <v/>
      </c>
      <c r="I63" s="8515" t="inlineStr">
        <is>
          <t>—</t>
        </is>
      </c>
      <c r="J63" s="8516" t="inlineStr">
        <is>
          <t>BUY</t>
        </is>
      </c>
    </row>
    <row r="64" ht="17" customHeight="1">
      <c r="A64" s="8517" t="inlineStr">
        <is>
          <t>2026-10-20</t>
        </is>
      </c>
      <c r="B64" s="8518" t="inlineStr">
        <is>
          <t>GFPT.BK</t>
        </is>
      </c>
      <c r="C64" s="8480" t="inlineStr">
        <is>
          <t>GFPT</t>
        </is>
      </c>
      <c r="D64" s="8521" t="inlineStr">
        <is>
          <t>SELL</t>
        </is>
      </c>
      <c r="E64" s="8481" t="n">
        <v>2100</v>
      </c>
      <c r="F64" s="8482" t="n">
        <v>10.3</v>
      </c>
      <c r="G64" s="8481" t="n">
        <v>21</v>
      </c>
      <c r="H64" s="8484">
        <f>E64*F64</f>
        <v/>
      </c>
      <c r="I64" s="8524" t="n">
        <v>102.38</v>
      </c>
      <c r="J64" s="8520" t="inlineStr">
        <is>
          <t>ATR stop ฿10.87 (--1.0%)</t>
        </is>
      </c>
    </row>
    <row r="66" ht="22" customHeight="1">
      <c r="G66" s="52" t="inlineStr">
        <is>
          <t>TOTAL TRADES</t>
        </is>
      </c>
      <c r="H66" s="8526">
        <f>SUM(H3:H64)</f>
        <v/>
      </c>
      <c r="I66" s="8526">
        <f>SUM(I3:I64)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2026-04-22T15:12:14Z</dcterms:created>
  <dcterms:modified xmlns:dcterms="http://purl.org/dc/terms/" xmlns:xsi="http://www.w3.org/2001/XMLSchema-instance" xsi:type="dcterms:W3CDTF">2026-10-26T02:40:35Z</dcterms:modified>
</cp:coreProperties>
</file>