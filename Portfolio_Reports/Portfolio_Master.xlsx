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105" t="inlineStr">
        <is>
          <t>2026-04-22</t>
        </is>
      </c>
      <c r="B2" s="55" t="n">
        <v>4</v>
      </c>
      <c r="C2" s="56" t="n">
        <v>303748.3059307933</v>
      </c>
      <c r="D2" s="57" t="n">
        <v>29448.30848187208</v>
      </c>
      <c r="E2" s="58" t="n">
        <v>274299.9974489212</v>
      </c>
      <c r="F2" s="59" t="n">
        <v>3748.305930793285</v>
      </c>
      <c r="G2" s="60" t="n">
        <v>0.01249435310264429</v>
      </c>
      <c r="H2" s="61" t="n">
        <v>0</v>
      </c>
      <c r="I2" s="62" t="n">
        <v>0</v>
      </c>
      <c r="J2" s="63" t="n">
        <v>10</v>
      </c>
      <c r="K2" s="64" t="n">
        <v>0</v>
      </c>
      <c r="L2" s="65" t="n">
        <v>0</v>
      </c>
    </row>
    <row r="3" ht="20" customHeight="1">
      <c r="A3" s="105" t="inlineStr">
        <is>
          <t>2026-04-23</t>
        </is>
      </c>
      <c r="B3" s="106" t="n">
        <v>6</v>
      </c>
      <c r="C3" s="107" t="n">
        <v>299325.3084818721</v>
      </c>
      <c r="D3" s="108" t="n">
        <v>29448.30848187208</v>
      </c>
      <c r="E3" s="109" t="n">
        <v>269877</v>
      </c>
      <c r="F3" s="110" t="n">
        <v>-674.6915181279182</v>
      </c>
      <c r="G3" s="111" t="n">
        <v>-0.002248971727093061</v>
      </c>
      <c r="H3" s="112" t="n">
        <v>0</v>
      </c>
      <c r="I3" s="113" t="n">
        <v>-0.01456138968534346</v>
      </c>
      <c r="J3" s="114" t="n">
        <v>10</v>
      </c>
      <c r="K3" s="115" t="n">
        <v>0</v>
      </c>
      <c r="L3" s="116" t="n">
        <v>0</v>
      </c>
    </row>
    <row r="4" ht="20" customHeight="1">
      <c r="A4" s="147" t="inlineStr">
        <is>
          <t>2026-04-24</t>
        </is>
      </c>
      <c r="B4" s="148" t="n">
        <v>7</v>
      </c>
      <c r="C4" s="149" t="n">
        <v>299325.3084818721</v>
      </c>
      <c r="D4" s="150" t="n">
        <v>29448.30848187208</v>
      </c>
      <c r="E4" s="151" t="n">
        <v>269877</v>
      </c>
      <c r="F4" s="152" t="n">
        <v>-674.6915181279182</v>
      </c>
      <c r="G4" s="153" t="n">
        <v>-0.002248971727093061</v>
      </c>
      <c r="H4" s="154" t="n">
        <v>0</v>
      </c>
      <c r="I4" s="155" t="n">
        <v>-0.01456138968534346</v>
      </c>
      <c r="J4" s="156" t="n">
        <v>10</v>
      </c>
      <c r="K4" s="157" t="n">
        <v>0</v>
      </c>
      <c r="L4" s="158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</cols>
  <sheetData>
    <row r="1" ht="34" customHeight="1">
      <c r="A1" s="159" t="inlineStr">
        <is>
          <t>Current Holdings  —  24 Apr 2026</t>
        </is>
      </c>
    </row>
    <row r="2" ht="22" customHeight="1">
      <c r="A2" s="160" t="inlineStr">
        <is>
          <t>Ticker</t>
        </is>
      </c>
      <c r="B2" s="160" t="inlineStr">
        <is>
          <t>Stock Name</t>
        </is>
      </c>
      <c r="C2" s="160" t="inlineStr">
        <is>
          <t>Shares</t>
        </is>
      </c>
      <c r="D2" s="160" t="inlineStr">
        <is>
          <t>Avg Cost (฿)</t>
        </is>
      </c>
      <c r="E2" s="160" t="inlineStr">
        <is>
          <t>Current Price (฿)</t>
        </is>
      </c>
      <c r="F2" s="160" t="inlineStr">
        <is>
          <t>Market Value (฿)</t>
        </is>
      </c>
      <c r="G2" s="160" t="inlineStr">
        <is>
          <t>Unrealised P&amp;L (฿)</t>
        </is>
      </c>
      <c r="H2" s="160" t="inlineStr">
        <is>
          <t>P&amp;L %</t>
        </is>
      </c>
      <c r="I2" s="160" t="inlineStr">
        <is>
          <t>Entry Date</t>
        </is>
      </c>
    </row>
    <row r="3" ht="20" customHeight="1">
      <c r="A3" s="161" t="inlineStr">
        <is>
          <t>TU.BK</t>
        </is>
      </c>
      <c r="B3" s="162" t="inlineStr">
        <is>
          <t>TU</t>
        </is>
      </c>
      <c r="C3" s="163" t="n">
        <v>2500</v>
      </c>
      <c r="D3" s="164" t="n">
        <v>11.4</v>
      </c>
      <c r="E3" s="165" t="n">
        <v>11.4</v>
      </c>
      <c r="F3" s="166">
        <f>C3*E3</f>
        <v/>
      </c>
      <c r="G3" s="167">
        <f>F3-C3*D3</f>
        <v/>
      </c>
      <c r="H3" s="168">
        <f>(E3-D3)/D3</f>
        <v/>
      </c>
      <c r="I3" s="169" t="inlineStr">
        <is>
          <t>2026-04-20</t>
        </is>
      </c>
    </row>
    <row r="4" ht="20" customHeight="1">
      <c r="A4" s="161" t="inlineStr">
        <is>
          <t>SIRI.BK</t>
        </is>
      </c>
      <c r="B4" s="162" t="inlineStr">
        <is>
          <t>SIRI</t>
        </is>
      </c>
      <c r="C4" s="163" t="n">
        <v>20200</v>
      </c>
      <c r="D4" s="164" t="n">
        <v>1.41</v>
      </c>
      <c r="E4" s="165" t="n">
        <v>1.41</v>
      </c>
      <c r="F4" s="166">
        <f>C4*E4</f>
        <v/>
      </c>
      <c r="G4" s="167">
        <f>F4-C4*D4</f>
        <v/>
      </c>
      <c r="H4" s="168">
        <f>(E4-D4)/D4</f>
        <v/>
      </c>
      <c r="I4" s="169" t="inlineStr">
        <is>
          <t>2026-04-20</t>
        </is>
      </c>
    </row>
    <row r="5" ht="20" customHeight="1">
      <c r="A5" s="161" t="inlineStr">
        <is>
          <t>WHA.BK</t>
        </is>
      </c>
      <c r="B5" s="162" t="inlineStr">
        <is>
          <t>WHA</t>
        </is>
      </c>
      <c r="C5" s="163" t="n">
        <v>6400</v>
      </c>
      <c r="D5" s="164" t="n">
        <v>4.4</v>
      </c>
      <c r="E5" s="165" t="n">
        <v>4.4</v>
      </c>
      <c r="F5" s="166">
        <f>C5*E5</f>
        <v/>
      </c>
      <c r="G5" s="167">
        <f>F5-C5*D5</f>
        <v/>
      </c>
      <c r="H5" s="168">
        <f>(E5-D5)/D5</f>
        <v/>
      </c>
      <c r="I5" s="169" t="inlineStr">
        <is>
          <t>2026-04-20</t>
        </is>
      </c>
    </row>
    <row r="6" ht="20" customHeight="1">
      <c r="A6" s="161" t="inlineStr">
        <is>
          <t>JASIF.BK</t>
        </is>
      </c>
      <c r="B6" s="162" t="inlineStr">
        <is>
          <t>JASIF</t>
        </is>
      </c>
      <c r="C6" s="163" t="n">
        <v>4200</v>
      </c>
      <c r="D6" s="164" t="n">
        <v>6.7</v>
      </c>
      <c r="E6" s="165" t="n">
        <v>6.7</v>
      </c>
      <c r="F6" s="166">
        <f>C6*E6</f>
        <v/>
      </c>
      <c r="G6" s="167">
        <f>F6-C6*D6</f>
        <v/>
      </c>
      <c r="H6" s="168">
        <f>(E6-D6)/D6</f>
        <v/>
      </c>
      <c r="I6" s="169" t="inlineStr">
        <is>
          <t>2026-04-20</t>
        </is>
      </c>
    </row>
    <row r="7" ht="20" customHeight="1">
      <c r="A7" s="161" t="inlineStr">
        <is>
          <t>CK.BK</t>
        </is>
      </c>
      <c r="B7" s="162" t="inlineStr">
        <is>
          <t>CK</t>
        </is>
      </c>
      <c r="C7" s="163" t="n">
        <v>1600</v>
      </c>
      <c r="D7" s="164" t="n">
        <v>17.2</v>
      </c>
      <c r="E7" s="165" t="n">
        <v>17.2</v>
      </c>
      <c r="F7" s="166">
        <f>C7*E7</f>
        <v/>
      </c>
      <c r="G7" s="167">
        <f>F7-C7*D7</f>
        <v/>
      </c>
      <c r="H7" s="168">
        <f>(E7-D7)/D7</f>
        <v/>
      </c>
      <c r="I7" s="169" t="inlineStr">
        <is>
          <t>2026-04-20</t>
        </is>
      </c>
    </row>
    <row r="8" ht="20" customHeight="1">
      <c r="A8" s="161" t="inlineStr">
        <is>
          <t>TQM.BK</t>
        </is>
      </c>
      <c r="B8" s="162" t="inlineStr">
        <is>
          <t>TQM</t>
        </is>
      </c>
      <c r="C8" s="163" t="n">
        <v>2000</v>
      </c>
      <c r="D8" s="164" t="n">
        <v>13.7</v>
      </c>
      <c r="E8" s="165" t="n">
        <v>13.7</v>
      </c>
      <c r="F8" s="166">
        <f>C8*E8</f>
        <v/>
      </c>
      <c r="G8" s="167">
        <f>F8-C8*D8</f>
        <v/>
      </c>
      <c r="H8" s="168">
        <f>(E8-D8)/D8</f>
        <v/>
      </c>
      <c r="I8" s="169" t="inlineStr">
        <is>
          <t>2026-04-20</t>
        </is>
      </c>
    </row>
    <row r="9" ht="20" customHeight="1">
      <c r="A9" s="161" t="inlineStr">
        <is>
          <t>AMATA.BK</t>
        </is>
      </c>
      <c r="B9" s="162" t="inlineStr">
        <is>
          <t>AMATA</t>
        </is>
      </c>
      <c r="C9" s="163" t="n">
        <v>1300</v>
      </c>
      <c r="D9" s="164" t="n">
        <v>20.5</v>
      </c>
      <c r="E9" s="165" t="n">
        <v>20.5</v>
      </c>
      <c r="F9" s="166">
        <f>C9*E9</f>
        <v/>
      </c>
      <c r="G9" s="167">
        <f>F9-C9*D9</f>
        <v/>
      </c>
      <c r="H9" s="168">
        <f>(E9-D9)/D9</f>
        <v/>
      </c>
      <c r="I9" s="169" t="inlineStr">
        <is>
          <t>2026-04-20</t>
        </is>
      </c>
    </row>
    <row r="10" ht="20" customHeight="1">
      <c r="A10" s="161" t="inlineStr">
        <is>
          <t>KTC.BK</t>
        </is>
      </c>
      <c r="B10" s="162" t="inlineStr">
        <is>
          <t>KTC</t>
        </is>
      </c>
      <c r="C10" s="163" t="n">
        <v>900</v>
      </c>
      <c r="D10" s="164" t="n">
        <v>29.25</v>
      </c>
      <c r="E10" s="165" t="n">
        <v>29.25</v>
      </c>
      <c r="F10" s="166">
        <f>C10*E10</f>
        <v/>
      </c>
      <c r="G10" s="167">
        <f>F10-C10*D10</f>
        <v/>
      </c>
      <c r="H10" s="168">
        <f>(E10-D10)/D10</f>
        <v/>
      </c>
      <c r="I10" s="169" t="inlineStr">
        <is>
          <t>2026-04-20</t>
        </is>
      </c>
    </row>
    <row r="11" ht="20" customHeight="1">
      <c r="A11" s="161" t="inlineStr">
        <is>
          <t>BAY.BK</t>
        </is>
      </c>
      <c r="B11" s="162" t="inlineStr">
        <is>
          <t>BAY</t>
        </is>
      </c>
      <c r="C11" s="163" t="n">
        <v>1000</v>
      </c>
      <c r="D11" s="164" t="n">
        <v>26</v>
      </c>
      <c r="E11" s="165" t="n">
        <v>26</v>
      </c>
      <c r="F11" s="166">
        <f>C11*E11</f>
        <v/>
      </c>
      <c r="G11" s="167">
        <f>F11-C11*D11</f>
        <v/>
      </c>
      <c r="H11" s="168">
        <f>(E11-D11)/D11</f>
        <v/>
      </c>
      <c r="I11" s="169" t="inlineStr">
        <is>
          <t>2026-04-20</t>
        </is>
      </c>
    </row>
    <row r="12" ht="20" customHeight="1">
      <c r="A12" s="161" t="inlineStr">
        <is>
          <t>TISCO.BK</t>
        </is>
      </c>
      <c r="B12" s="162" t="inlineStr">
        <is>
          <t>TISCO</t>
        </is>
      </c>
      <c r="C12" s="163" t="n">
        <v>200</v>
      </c>
      <c r="D12" s="164" t="n">
        <v>113.5</v>
      </c>
      <c r="E12" s="165" t="n">
        <v>113.5</v>
      </c>
      <c r="F12" s="166">
        <f>C12*E12</f>
        <v/>
      </c>
      <c r="G12" s="167">
        <f>F12-C12*D12</f>
        <v/>
      </c>
      <c r="H12" s="168">
        <f>(E12-D12)/D12</f>
        <v/>
      </c>
      <c r="I12" s="169" t="inlineStr">
        <is>
          <t>2026-04-20</t>
        </is>
      </c>
    </row>
    <row r="13" ht="22" customHeight="1">
      <c r="B13" s="170" t="inlineStr">
        <is>
          <t>TOTAL</t>
        </is>
      </c>
      <c r="F13" s="171">
        <f>SUM(F3:F12)</f>
        <v/>
      </c>
      <c r="G13" s="172">
        <f>SUM(G3:G12)</f>
        <v/>
      </c>
      <c r="H13" s="173">
        <f>G13/SUMPRODUCT(C3:C12,D3:D12)</f>
        <v/>
      </c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159" t="inlineStr">
        <is>
          <t>Today's Trades  —  24 Apr 2026</t>
        </is>
      </c>
    </row>
    <row r="3" ht="30" customHeight="1">
      <c r="A3" s="174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159" t="inlineStr">
        <is>
          <t>Complete Trade History  —  since 2026-04-21</t>
        </is>
      </c>
    </row>
    <row r="2" ht="22" customHeight="1">
      <c r="A2" s="160" t="inlineStr">
        <is>
          <t>Date</t>
        </is>
      </c>
      <c r="B2" s="160" t="inlineStr">
        <is>
          <t>Ticker</t>
        </is>
      </c>
      <c r="C2" s="160" t="inlineStr">
        <is>
          <t>Stock</t>
        </is>
      </c>
      <c r="D2" s="160" t="inlineStr">
        <is>
          <t>Action</t>
        </is>
      </c>
      <c r="E2" s="160" t="inlineStr">
        <is>
          <t>Shares</t>
        </is>
      </c>
      <c r="F2" s="160" t="inlineStr">
        <is>
          <t>Price (฿)</t>
        </is>
      </c>
      <c r="G2" s="160" t="inlineStr">
        <is>
          <t>Lots</t>
        </is>
      </c>
      <c r="H2" s="160" t="inlineStr">
        <is>
          <t>Value (฿)</t>
        </is>
      </c>
      <c r="I2" s="160" t="inlineStr">
        <is>
          <t>Realised P&amp;L (฿)</t>
        </is>
      </c>
      <c r="J2" s="160" t="inlineStr">
        <is>
          <t>Reason / Signal</t>
        </is>
      </c>
    </row>
    <row r="3" ht="17" customHeight="1">
      <c r="A3" s="175" t="inlineStr">
        <is>
          <t>2026-04-20</t>
        </is>
      </c>
      <c r="B3" s="176" t="inlineStr">
        <is>
          <t>TISCO.BK</t>
        </is>
      </c>
      <c r="C3" s="177" t="inlineStr">
        <is>
          <t>TISCO</t>
        </is>
      </c>
      <c r="D3" s="178" t="inlineStr">
        <is>
          <t>BUY</t>
        </is>
      </c>
      <c r="E3" s="179" t="n">
        <v>200</v>
      </c>
      <c r="F3" s="180" t="n">
        <v>113.5</v>
      </c>
      <c r="G3" s="179" t="n">
        <v>2</v>
      </c>
      <c r="H3" s="181">
        <f>E3*F3</f>
        <v/>
      </c>
      <c r="I3" s="182" t="inlineStr">
        <is>
          <t>—</t>
        </is>
      </c>
      <c r="J3" s="183" t="inlineStr">
        <is>
          <t>BUY (Day 1)</t>
        </is>
      </c>
    </row>
    <row r="4" ht="17" customHeight="1">
      <c r="A4" s="184" t="inlineStr">
        <is>
          <t>2026-04-20</t>
        </is>
      </c>
      <c r="B4" s="185" t="inlineStr">
        <is>
          <t>SIRI.BK</t>
        </is>
      </c>
      <c r="C4" s="162" t="inlineStr">
        <is>
          <t>SIRI</t>
        </is>
      </c>
      <c r="D4" s="178" t="inlineStr">
        <is>
          <t>BUY</t>
        </is>
      </c>
      <c r="E4" s="163" t="n">
        <v>20200</v>
      </c>
      <c r="F4" s="164" t="n">
        <v>1.41</v>
      </c>
      <c r="G4" s="163" t="n">
        <v>202</v>
      </c>
      <c r="H4" s="166">
        <f>E4*F4</f>
        <v/>
      </c>
      <c r="I4" s="186" t="inlineStr">
        <is>
          <t>—</t>
        </is>
      </c>
      <c r="J4" s="187" t="inlineStr">
        <is>
          <t>BUY (Day 1)</t>
        </is>
      </c>
    </row>
    <row r="5" ht="17" customHeight="1">
      <c r="A5" s="175" t="inlineStr">
        <is>
          <t>2026-04-20</t>
        </is>
      </c>
      <c r="B5" s="176" t="inlineStr">
        <is>
          <t>TU.BK</t>
        </is>
      </c>
      <c r="C5" s="177" t="inlineStr">
        <is>
          <t>TU</t>
        </is>
      </c>
      <c r="D5" s="178" t="inlineStr">
        <is>
          <t>BUY</t>
        </is>
      </c>
      <c r="E5" s="179" t="n">
        <v>2500</v>
      </c>
      <c r="F5" s="180" t="n">
        <v>11.4</v>
      </c>
      <c r="G5" s="179" t="n">
        <v>25</v>
      </c>
      <c r="H5" s="181">
        <f>E5*F5</f>
        <v/>
      </c>
      <c r="I5" s="182" t="inlineStr">
        <is>
          <t>—</t>
        </is>
      </c>
      <c r="J5" s="183" t="inlineStr">
        <is>
          <t>BUY (Day 1)</t>
        </is>
      </c>
    </row>
    <row r="6" ht="17" customHeight="1">
      <c r="A6" s="184" t="inlineStr">
        <is>
          <t>2026-04-20</t>
        </is>
      </c>
      <c r="B6" s="185" t="inlineStr">
        <is>
          <t>BAY.BK</t>
        </is>
      </c>
      <c r="C6" s="162" t="inlineStr">
        <is>
          <t>BAY</t>
        </is>
      </c>
      <c r="D6" s="178" t="inlineStr">
        <is>
          <t>BUY</t>
        </is>
      </c>
      <c r="E6" s="163" t="n">
        <v>1000</v>
      </c>
      <c r="F6" s="164" t="n">
        <v>26</v>
      </c>
      <c r="G6" s="163" t="n">
        <v>10</v>
      </c>
      <c r="H6" s="166">
        <f>E6*F6</f>
        <v/>
      </c>
      <c r="I6" s="186" t="inlineStr">
        <is>
          <t>—</t>
        </is>
      </c>
      <c r="J6" s="187" t="inlineStr">
        <is>
          <t>BUY (Day 1)</t>
        </is>
      </c>
    </row>
    <row r="7" ht="17" customHeight="1">
      <c r="A7" s="175" t="inlineStr">
        <is>
          <t>2026-04-20</t>
        </is>
      </c>
      <c r="B7" s="176" t="inlineStr">
        <is>
          <t>KTC.BK</t>
        </is>
      </c>
      <c r="C7" s="177" t="inlineStr">
        <is>
          <t>KTC</t>
        </is>
      </c>
      <c r="D7" s="178" t="inlineStr">
        <is>
          <t>BUY</t>
        </is>
      </c>
      <c r="E7" s="179" t="n">
        <v>900</v>
      </c>
      <c r="F7" s="180" t="n">
        <v>29.25</v>
      </c>
      <c r="G7" s="179" t="n">
        <v>9</v>
      </c>
      <c r="H7" s="181">
        <f>E7*F7</f>
        <v/>
      </c>
      <c r="I7" s="182" t="inlineStr">
        <is>
          <t>—</t>
        </is>
      </c>
      <c r="J7" s="183" t="inlineStr">
        <is>
          <t>BUY (Day 1)</t>
        </is>
      </c>
    </row>
    <row r="8" ht="17" customHeight="1">
      <c r="A8" s="184" t="inlineStr">
        <is>
          <t>2026-04-20</t>
        </is>
      </c>
      <c r="B8" s="185" t="inlineStr">
        <is>
          <t>TQM.BK</t>
        </is>
      </c>
      <c r="C8" s="162" t="inlineStr">
        <is>
          <t>TQM</t>
        </is>
      </c>
      <c r="D8" s="178" t="inlineStr">
        <is>
          <t>BUY</t>
        </is>
      </c>
      <c r="E8" s="163" t="n">
        <v>2000</v>
      </c>
      <c r="F8" s="164" t="n">
        <v>13.7</v>
      </c>
      <c r="G8" s="163" t="n">
        <v>20</v>
      </c>
      <c r="H8" s="166">
        <f>E8*F8</f>
        <v/>
      </c>
      <c r="I8" s="186" t="inlineStr">
        <is>
          <t>—</t>
        </is>
      </c>
      <c r="J8" s="187" t="inlineStr">
        <is>
          <t>BUY (Day 1)</t>
        </is>
      </c>
    </row>
    <row r="9" ht="17" customHeight="1">
      <c r="A9" s="175" t="inlineStr">
        <is>
          <t>2026-04-20</t>
        </is>
      </c>
      <c r="B9" s="176" t="inlineStr">
        <is>
          <t>WHA.BK</t>
        </is>
      </c>
      <c r="C9" s="177" t="inlineStr">
        <is>
          <t>WHA</t>
        </is>
      </c>
      <c r="D9" s="178" t="inlineStr">
        <is>
          <t>BUY</t>
        </is>
      </c>
      <c r="E9" s="179" t="n">
        <v>6400</v>
      </c>
      <c r="F9" s="180" t="n">
        <v>4.4</v>
      </c>
      <c r="G9" s="179" t="n">
        <v>64</v>
      </c>
      <c r="H9" s="181">
        <f>E9*F9</f>
        <v/>
      </c>
      <c r="I9" s="182" t="inlineStr">
        <is>
          <t>—</t>
        </is>
      </c>
      <c r="J9" s="183" t="inlineStr">
        <is>
          <t>BUY (Day 1)</t>
        </is>
      </c>
    </row>
    <row r="10" ht="17" customHeight="1">
      <c r="A10" s="184" t="inlineStr">
        <is>
          <t>2026-04-20</t>
        </is>
      </c>
      <c r="B10" s="185" t="inlineStr">
        <is>
          <t>JASIF.BK</t>
        </is>
      </c>
      <c r="C10" s="162" t="inlineStr">
        <is>
          <t>JASIF</t>
        </is>
      </c>
      <c r="D10" s="178" t="inlineStr">
        <is>
          <t>BUY</t>
        </is>
      </c>
      <c r="E10" s="163" t="n">
        <v>4200</v>
      </c>
      <c r="F10" s="164" t="n">
        <v>6.7</v>
      </c>
      <c r="G10" s="163" t="n">
        <v>42</v>
      </c>
      <c r="H10" s="166">
        <f>E10*F10</f>
        <v/>
      </c>
      <c r="I10" s="186" t="inlineStr">
        <is>
          <t>—</t>
        </is>
      </c>
      <c r="J10" s="187" t="inlineStr">
        <is>
          <t>BUY (Day 1)</t>
        </is>
      </c>
    </row>
    <row r="11" ht="17" customHeight="1">
      <c r="A11" s="175" t="inlineStr">
        <is>
          <t>2026-04-20</t>
        </is>
      </c>
      <c r="B11" s="176" t="inlineStr">
        <is>
          <t>CK.BK</t>
        </is>
      </c>
      <c r="C11" s="177" t="inlineStr">
        <is>
          <t>CK</t>
        </is>
      </c>
      <c r="D11" s="178" t="inlineStr">
        <is>
          <t>BUY</t>
        </is>
      </c>
      <c r="E11" s="179" t="n">
        <v>1600</v>
      </c>
      <c r="F11" s="180" t="n">
        <v>17.2</v>
      </c>
      <c r="G11" s="179" t="n">
        <v>16</v>
      </c>
      <c r="H11" s="181">
        <f>E11*F11</f>
        <v/>
      </c>
      <c r="I11" s="182" t="inlineStr">
        <is>
          <t>—</t>
        </is>
      </c>
      <c r="J11" s="183" t="inlineStr">
        <is>
          <t>BUY (Day 1)</t>
        </is>
      </c>
    </row>
    <row r="12" ht="17" customHeight="1">
      <c r="A12" s="184" t="inlineStr">
        <is>
          <t>2026-04-20</t>
        </is>
      </c>
      <c r="B12" s="185" t="inlineStr">
        <is>
          <t>AMATA.BK</t>
        </is>
      </c>
      <c r="C12" s="162" t="inlineStr">
        <is>
          <t>AMATA</t>
        </is>
      </c>
      <c r="D12" s="178" t="inlineStr">
        <is>
          <t>BUY</t>
        </is>
      </c>
      <c r="E12" s="163" t="n">
        <v>1300</v>
      </c>
      <c r="F12" s="164" t="n">
        <v>20.5</v>
      </c>
      <c r="G12" s="163" t="n">
        <v>13</v>
      </c>
      <c r="H12" s="166">
        <f>E12*F12</f>
        <v/>
      </c>
      <c r="I12" s="186" t="inlineStr">
        <is>
          <t>—</t>
        </is>
      </c>
      <c r="J12" s="187" t="inlineStr">
        <is>
          <t>BUY (Day 1)</t>
        </is>
      </c>
    </row>
    <row r="14" ht="22" customHeight="1">
      <c r="G14" s="52" t="inlineStr">
        <is>
          <t>TOTAL TRADES</t>
        </is>
      </c>
      <c r="H14" s="188">
        <f>SUM(H3:H12)</f>
        <v/>
      </c>
      <c r="I14" s="188">
        <f>SUM(I3:I12)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2026-04-24T09:40:57Z</dcterms:modified>
</cp:coreProperties>
</file>