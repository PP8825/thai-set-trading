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77" t="inlineStr">
        <is>
          <t>2026-04-22</t>
        </is>
      </c>
      <c r="B2" s="578" t="n">
        <v>3</v>
      </c>
      <c r="C2" s="579" t="n">
        <v>303748.3059307933</v>
      </c>
      <c r="D2" s="580" t="n">
        <v>29448.30848187208</v>
      </c>
      <c r="E2" s="581" t="n">
        <v>274299.9974489212</v>
      </c>
      <c r="F2" s="582" t="n">
        <v>3748.305930793285</v>
      </c>
      <c r="G2" s="583" t="n">
        <v>0.01249435310264429</v>
      </c>
      <c r="H2" s="584" t="n">
        <v>0</v>
      </c>
      <c r="I2" s="585" t="n">
        <v>0</v>
      </c>
      <c r="J2" s="586" t="n">
        <v>10</v>
      </c>
      <c r="K2" s="587" t="n">
        <v>0</v>
      </c>
      <c r="L2" s="588" t="n">
        <v>0</v>
      </c>
    </row>
    <row r="3" ht="20" customHeight="1">
      <c r="A3" s="577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577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577" t="inlineStr">
        <is>
          <t>2026-04-29</t>
        </is>
      </c>
      <c r="B5" s="578" t="n">
        <v>2</v>
      </c>
      <c r="C5" s="579" t="n">
        <v>304153.8160982132</v>
      </c>
      <c r="D5" s="580" t="n">
        <v>18423.81789112091</v>
      </c>
      <c r="E5" s="581" t="n">
        <v>285729.9982070923</v>
      </c>
      <c r="F5" s="582" t="n">
        <v>4153.816098213196</v>
      </c>
      <c r="G5" s="583" t="n">
        <v>0.01384605366071065</v>
      </c>
      <c r="H5" s="584" t="n">
        <v>0</v>
      </c>
      <c r="I5" s="585" t="n">
        <v>0</v>
      </c>
      <c r="J5" s="586" t="n">
        <v>6</v>
      </c>
      <c r="K5" s="587" t="n">
        <v>0</v>
      </c>
      <c r="L5" s="588" t="n">
        <v>0</v>
      </c>
    </row>
    <row r="6" ht="20" customHeight="1">
      <c r="A6" s="577" t="inlineStr">
        <is>
          <t>2026-04-30</t>
        </is>
      </c>
      <c r="B6" s="578" t="n">
        <v>4</v>
      </c>
      <c r="C6" s="579" t="n">
        <v>302787.819642067</v>
      </c>
      <c r="D6" s="580" t="n">
        <v>18423.81789112091</v>
      </c>
      <c r="E6" s="581" t="n">
        <v>284364.001750946</v>
      </c>
      <c r="F6" s="582" t="n">
        <v>2787.819642066956</v>
      </c>
      <c r="G6" s="583" t="n">
        <v>0.009292732140223185</v>
      </c>
      <c r="H6" s="584" t="n">
        <v>0</v>
      </c>
      <c r="I6" s="585" t="n">
        <v>-0.004491136996634464</v>
      </c>
      <c r="J6" s="586" t="n">
        <v>6</v>
      </c>
      <c r="K6" s="587" t="n">
        <v>0</v>
      </c>
      <c r="L6" s="588" t="n">
        <v>0</v>
      </c>
    </row>
    <row r="7" ht="20" customHeight="1">
      <c r="A7" s="577" t="inlineStr">
        <is>
          <t>2026-05-01</t>
        </is>
      </c>
      <c r="B7" s="578" t="n">
        <v>5</v>
      </c>
      <c r="C7" s="579" t="n">
        <v>302787.819642067</v>
      </c>
      <c r="D7" s="580" t="n">
        <v>18423.81789112091</v>
      </c>
      <c r="E7" s="581" t="n">
        <v>284364.001750946</v>
      </c>
      <c r="F7" s="582" t="n">
        <v>2787.819642066956</v>
      </c>
      <c r="G7" s="583" t="n">
        <v>0.009292732140223185</v>
      </c>
      <c r="H7" s="584" t="n">
        <v>0</v>
      </c>
      <c r="I7" s="585" t="n">
        <v>-0.004491136996634464</v>
      </c>
      <c r="J7" s="586" t="n">
        <v>6</v>
      </c>
      <c r="K7" s="587" t="n">
        <v>0</v>
      </c>
      <c r="L7" s="588" t="n">
        <v>0</v>
      </c>
    </row>
    <row r="8" ht="20" customHeight="1">
      <c r="A8" s="577" t="inlineStr">
        <is>
          <t>2026-05-04</t>
        </is>
      </c>
      <c r="B8" s="578" t="n">
        <v>6</v>
      </c>
      <c r="C8" s="579" t="n">
        <v>302787.819642067</v>
      </c>
      <c r="D8" s="580" t="n">
        <v>18423.81789112091</v>
      </c>
      <c r="E8" s="581" t="n">
        <v>284364.001750946</v>
      </c>
      <c r="F8" s="582" t="n">
        <v>2787.819642066956</v>
      </c>
      <c r="G8" s="583" t="n">
        <v>0.009292732140223185</v>
      </c>
      <c r="H8" s="584" t="n">
        <v>0</v>
      </c>
      <c r="I8" s="585" t="n">
        <v>-0.004491136996634464</v>
      </c>
      <c r="J8" s="586" t="n">
        <v>6</v>
      </c>
      <c r="K8" s="587" t="n">
        <v>0</v>
      </c>
      <c r="L8" s="588" t="n">
        <v>0</v>
      </c>
    </row>
    <row r="9" ht="20" customHeight="1">
      <c r="A9" s="577" t="inlineStr">
        <is>
          <t>2026-05-05</t>
        </is>
      </c>
      <c r="B9" s="578" t="n">
        <v>7</v>
      </c>
      <c r="C9" s="579" t="n">
        <v>301062.819642067</v>
      </c>
      <c r="D9" s="580" t="n">
        <v>18423.81789112091</v>
      </c>
      <c r="E9" s="581" t="n">
        <v>282639.001750946</v>
      </c>
      <c r="F9" s="582" t="n">
        <v>1062.819642066956</v>
      </c>
      <c r="G9" s="583" t="n">
        <v>0.003542732140223185</v>
      </c>
      <c r="H9" s="584" t="n">
        <v>0</v>
      </c>
      <c r="I9" s="585" t="n">
        <v>-0.01016260948423589</v>
      </c>
      <c r="J9" s="586" t="n">
        <v>6</v>
      </c>
      <c r="K9" s="587" t="n">
        <v>0</v>
      </c>
      <c r="L9" s="588" t="n">
        <v>0</v>
      </c>
    </row>
    <row r="10" ht="20" customHeight="1">
      <c r="A10" s="64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59" t="inlineStr">
        <is>
          <t>Current Holdings  —  06 May 2026</t>
        </is>
      </c>
    </row>
    <row r="2" ht="22" customHeight="1">
      <c r="A2" s="660" t="inlineStr">
        <is>
          <t>Ticker</t>
        </is>
      </c>
      <c r="B2" s="660" t="inlineStr">
        <is>
          <t>Stock Name</t>
        </is>
      </c>
      <c r="C2" s="660" t="inlineStr">
        <is>
          <t>Shares</t>
        </is>
      </c>
      <c r="D2" s="660" t="inlineStr">
        <is>
          <t>Avg Cost (฿)</t>
        </is>
      </c>
      <c r="E2" s="660" t="inlineStr">
        <is>
          <t>Current Price (฿)</t>
        </is>
      </c>
      <c r="F2" s="660" t="inlineStr">
        <is>
          <t>Market Value (฿)</t>
        </is>
      </c>
      <c r="G2" s="660" t="inlineStr">
        <is>
          <t>Unrealised P&amp;L (฿)</t>
        </is>
      </c>
      <c r="H2" s="660" t="inlineStr">
        <is>
          <t>P&amp;L %</t>
        </is>
      </c>
      <c r="I2" s="660" t="inlineStr">
        <is>
          <t>Entry Date</t>
        </is>
      </c>
      <c r="J2" s="660" t="inlineStr">
        <is>
          <t>Comp Score</t>
        </is>
      </c>
      <c r="K2" s="660" t="inlineStr">
        <is>
          <t>Signal</t>
        </is>
      </c>
    </row>
    <row r="3" ht="20" customHeight="1">
      <c r="A3" s="661" t="inlineStr">
        <is>
          <t>CK.BK</t>
        </is>
      </c>
      <c r="B3" s="662" t="inlineStr">
        <is>
          <t>CK</t>
        </is>
      </c>
      <c r="C3" s="663" t="n">
        <v>2800</v>
      </c>
      <c r="D3" s="664" t="n">
        <v>16.5</v>
      </c>
      <c r="E3" s="665" t="n">
        <v>17.70000076293945</v>
      </c>
      <c r="F3" s="666">
        <f>C3*E3</f>
        <v/>
      </c>
      <c r="G3" s="667">
        <f>F3-C3*D3</f>
        <v/>
      </c>
      <c r="H3" s="668">
        <f>(E3-D3)/D3</f>
        <v/>
      </c>
      <c r="I3" s="669" t="inlineStr">
        <is>
          <t>2026-04-27</t>
        </is>
      </c>
      <c r="J3" s="670" t="n">
        <v>7.32</v>
      </c>
      <c r="K3" s="671" t="inlineStr">
        <is>
          <t>WATCH</t>
        </is>
      </c>
    </row>
    <row r="4" ht="20" customHeight="1">
      <c r="A4" s="661" t="inlineStr">
        <is>
          <t>JASIF.BK</t>
        </is>
      </c>
      <c r="B4" s="662" t="inlineStr">
        <is>
          <t>JASIF</t>
        </is>
      </c>
      <c r="C4" s="663" t="n">
        <v>7000</v>
      </c>
      <c r="D4" s="664" t="n">
        <v>6.7</v>
      </c>
      <c r="E4" s="665" t="n">
        <v>6.900000095367432</v>
      </c>
      <c r="F4" s="666">
        <f>C4*E4</f>
        <v/>
      </c>
      <c r="G4" s="667">
        <f>F4-C4*D4</f>
        <v/>
      </c>
      <c r="H4" s="668">
        <f>(E4-D4)/D4</f>
        <v/>
      </c>
      <c r="I4" s="669" t="inlineStr">
        <is>
          <t>2026-04-27</t>
        </is>
      </c>
      <c r="J4" s="672" t="n">
        <v>5.48</v>
      </c>
      <c r="K4" s="673" t="inlineStr">
        <is>
          <t>AVOID</t>
        </is>
      </c>
    </row>
    <row r="5" ht="20" customHeight="1">
      <c r="A5" s="661" t="inlineStr">
        <is>
          <t>WHA.BK</t>
        </is>
      </c>
      <c r="B5" s="662" t="inlineStr">
        <is>
          <t>WHA</t>
        </is>
      </c>
      <c r="C5" s="663" t="n">
        <v>10800</v>
      </c>
      <c r="D5" s="664" t="n">
        <v>4.38</v>
      </c>
      <c r="E5" s="665" t="n">
        <v>4.420000076293945</v>
      </c>
      <c r="F5" s="666">
        <f>C5*E5</f>
        <v/>
      </c>
      <c r="G5" s="667">
        <f>F5-C5*D5</f>
        <v/>
      </c>
      <c r="H5" s="668">
        <f>(E5-D5)/D5</f>
        <v/>
      </c>
      <c r="I5" s="669" t="inlineStr">
        <is>
          <t>2026-04-27</t>
        </is>
      </c>
      <c r="J5" s="670" t="n">
        <v>6.92</v>
      </c>
      <c r="K5" s="671" t="inlineStr">
        <is>
          <t>WEAK</t>
        </is>
      </c>
    </row>
    <row r="6" ht="20" customHeight="1">
      <c r="A6" s="661" t="inlineStr">
        <is>
          <t>KTC.BK</t>
        </is>
      </c>
      <c r="B6" s="662" t="inlineStr">
        <is>
          <t>KTC</t>
        </is>
      </c>
      <c r="C6" s="663" t="n">
        <v>1600</v>
      </c>
      <c r="D6" s="664" t="n">
        <v>29.25</v>
      </c>
      <c r="E6" s="665" t="n">
        <v>29.5</v>
      </c>
      <c r="F6" s="666">
        <f>C6*E6</f>
        <v/>
      </c>
      <c r="G6" s="667">
        <f>F6-C6*D6</f>
        <v/>
      </c>
      <c r="H6" s="668">
        <f>(E6-D6)/D6</f>
        <v/>
      </c>
      <c r="I6" s="669" t="inlineStr">
        <is>
          <t>2026-04-27</t>
        </is>
      </c>
      <c r="J6" s="670" t="n">
        <v>6.52</v>
      </c>
      <c r="K6" s="671" t="inlineStr">
        <is>
          <t>WEAK</t>
        </is>
      </c>
    </row>
    <row r="7" ht="20" customHeight="1">
      <c r="A7" s="674" t="inlineStr">
        <is>
          <t>AMATA.BK</t>
        </is>
      </c>
      <c r="B7" s="675" t="inlineStr">
        <is>
          <t>AMATA</t>
        </is>
      </c>
      <c r="C7" s="676" t="n">
        <v>2300</v>
      </c>
      <c r="D7" s="677" t="n">
        <v>20.3</v>
      </c>
      <c r="E7" s="678" t="n">
        <v>19.70000076293945</v>
      </c>
      <c r="F7" s="679">
        <f>C7*E7</f>
        <v/>
      </c>
      <c r="G7" s="680">
        <f>F7-C7*D7</f>
        <v/>
      </c>
      <c r="H7" s="681">
        <f>(E7-D7)/D7</f>
        <v/>
      </c>
      <c r="I7" s="682" t="inlineStr">
        <is>
          <t>2026-04-27</t>
        </is>
      </c>
      <c r="J7" s="683" t="n">
        <v>7.52</v>
      </c>
      <c r="K7" s="684" t="inlineStr">
        <is>
          <t>BUY</t>
        </is>
      </c>
    </row>
    <row r="8" ht="20" customHeight="1">
      <c r="A8" s="674" t="inlineStr">
        <is>
          <t>TIDLOR.BK</t>
        </is>
      </c>
      <c r="B8" s="675" t="inlineStr">
        <is>
          <t>TIDLOR</t>
        </is>
      </c>
      <c r="C8" s="676" t="n">
        <v>2700</v>
      </c>
      <c r="D8" s="677" t="n">
        <v>17.4</v>
      </c>
      <c r="E8" s="678" t="n">
        <v>16</v>
      </c>
      <c r="F8" s="679">
        <f>C8*E8</f>
        <v/>
      </c>
      <c r="G8" s="680">
        <f>F8-C8*D8</f>
        <v/>
      </c>
      <c r="H8" s="681">
        <f>(E8-D8)/D8</f>
        <v/>
      </c>
      <c r="I8" s="682" t="inlineStr">
        <is>
          <t>2026-04-27</t>
        </is>
      </c>
      <c r="J8" s="685" t="n">
        <v>6.92</v>
      </c>
      <c r="K8" s="686" t="inlineStr">
        <is>
          <t>WEAK</t>
        </is>
      </c>
    </row>
    <row r="9" ht="22" customHeight="1">
      <c r="B9" s="687" t="inlineStr">
        <is>
          <t>TOTAL</t>
        </is>
      </c>
      <c r="F9" s="688">
        <f>SUM(F3:F8)</f>
        <v/>
      </c>
      <c r="G9" s="689">
        <f>SUM(G3:G8)</f>
        <v/>
      </c>
      <c r="H9" s="690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59" t="inlineStr">
        <is>
          <t>Today's Trades  —  06 May 2026</t>
        </is>
      </c>
    </row>
    <row r="3" ht="30" customHeight="1">
      <c r="A3" s="69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59" t="inlineStr">
        <is>
          <t>Complete Trade History  —  since 2026-04-27</t>
        </is>
      </c>
    </row>
    <row r="2" ht="22" customHeight="1">
      <c r="A2" s="660" t="inlineStr">
        <is>
          <t>Date</t>
        </is>
      </c>
      <c r="B2" s="660" t="inlineStr">
        <is>
          <t>Ticker</t>
        </is>
      </c>
      <c r="C2" s="660" t="inlineStr">
        <is>
          <t>Stock</t>
        </is>
      </c>
      <c r="D2" s="660" t="inlineStr">
        <is>
          <t>Action</t>
        </is>
      </c>
      <c r="E2" s="660" t="inlineStr">
        <is>
          <t>Shares</t>
        </is>
      </c>
      <c r="F2" s="660" t="inlineStr">
        <is>
          <t>Price (฿)</t>
        </is>
      </c>
      <c r="G2" s="660" t="inlineStr">
        <is>
          <t>Lots</t>
        </is>
      </c>
      <c r="H2" s="660" t="inlineStr">
        <is>
          <t>Value (฿)</t>
        </is>
      </c>
      <c r="I2" s="660" t="inlineStr">
        <is>
          <t>Realised P&amp;L (฿)</t>
        </is>
      </c>
      <c r="J2" s="660" t="inlineStr">
        <is>
          <t>Reason / Signal</t>
        </is>
      </c>
    </row>
    <row r="3" ht="17" customHeight="1">
      <c r="A3" s="692" t="inlineStr">
        <is>
          <t>2026-04-27</t>
        </is>
      </c>
      <c r="B3" s="693" t="inlineStr">
        <is>
          <t>AMATA.BK</t>
        </is>
      </c>
      <c r="C3" s="694" t="inlineStr">
        <is>
          <t>AMATA</t>
        </is>
      </c>
      <c r="D3" s="695" t="inlineStr">
        <is>
          <t>BUY</t>
        </is>
      </c>
      <c r="E3" s="696" t="n">
        <v>2300</v>
      </c>
      <c r="F3" s="697" t="n">
        <v>20.3</v>
      </c>
      <c r="G3" s="696" t="n">
        <v>23</v>
      </c>
      <c r="H3" s="698">
        <f>E3*F3</f>
        <v/>
      </c>
      <c r="I3" s="699" t="inlineStr">
        <is>
          <t>—</t>
        </is>
      </c>
      <c r="J3" s="700" t="inlineStr">
        <is>
          <t>BUY (Day 1)</t>
        </is>
      </c>
    </row>
    <row r="4" ht="17" customHeight="1">
      <c r="A4" s="701" t="inlineStr">
        <is>
          <t>2026-04-27</t>
        </is>
      </c>
      <c r="B4" s="702" t="inlineStr">
        <is>
          <t>CK.BK</t>
        </is>
      </c>
      <c r="C4" s="703" t="inlineStr">
        <is>
          <t>CK</t>
        </is>
      </c>
      <c r="D4" s="695" t="inlineStr">
        <is>
          <t>BUY</t>
        </is>
      </c>
      <c r="E4" s="704" t="n">
        <v>2800</v>
      </c>
      <c r="F4" s="705" t="n">
        <v>16.5</v>
      </c>
      <c r="G4" s="704" t="n">
        <v>28</v>
      </c>
      <c r="H4" s="706">
        <f>E4*F4</f>
        <v/>
      </c>
      <c r="I4" s="707" t="inlineStr">
        <is>
          <t>—</t>
        </is>
      </c>
      <c r="J4" s="708" t="inlineStr">
        <is>
          <t>BUY (Day 1)</t>
        </is>
      </c>
    </row>
    <row r="5" ht="17" customHeight="1">
      <c r="A5" s="692" t="inlineStr">
        <is>
          <t>2026-04-27</t>
        </is>
      </c>
      <c r="B5" s="693" t="inlineStr">
        <is>
          <t>TIDLOR.BK</t>
        </is>
      </c>
      <c r="C5" s="694" t="inlineStr">
        <is>
          <t>TIDLOR</t>
        </is>
      </c>
      <c r="D5" s="695" t="inlineStr">
        <is>
          <t>BUY</t>
        </is>
      </c>
      <c r="E5" s="696" t="n">
        <v>2700</v>
      </c>
      <c r="F5" s="697" t="n">
        <v>17.4</v>
      </c>
      <c r="G5" s="696" t="n">
        <v>27</v>
      </c>
      <c r="H5" s="698">
        <f>E5*F5</f>
        <v/>
      </c>
      <c r="I5" s="699" t="inlineStr">
        <is>
          <t>—</t>
        </is>
      </c>
      <c r="J5" s="700" t="inlineStr">
        <is>
          <t>BUY (Day 1)</t>
        </is>
      </c>
    </row>
    <row r="6" ht="17" customHeight="1">
      <c r="A6" s="701" t="inlineStr">
        <is>
          <t>2026-04-27</t>
        </is>
      </c>
      <c r="B6" s="702" t="inlineStr">
        <is>
          <t>WHA.BK</t>
        </is>
      </c>
      <c r="C6" s="703" t="inlineStr">
        <is>
          <t>WHA</t>
        </is>
      </c>
      <c r="D6" s="695" t="inlineStr">
        <is>
          <t>BUY</t>
        </is>
      </c>
      <c r="E6" s="704" t="n">
        <v>10800</v>
      </c>
      <c r="F6" s="705" t="n">
        <v>4.38</v>
      </c>
      <c r="G6" s="704" t="n">
        <v>108</v>
      </c>
      <c r="H6" s="706">
        <f>E6*F6</f>
        <v/>
      </c>
      <c r="I6" s="707" t="inlineStr">
        <is>
          <t>—</t>
        </is>
      </c>
      <c r="J6" s="708" t="inlineStr">
        <is>
          <t>BUY (Day 1)</t>
        </is>
      </c>
    </row>
    <row r="7" ht="17" customHeight="1">
      <c r="A7" s="692" t="inlineStr">
        <is>
          <t>2026-04-27</t>
        </is>
      </c>
      <c r="B7" s="693" t="inlineStr">
        <is>
          <t>KTC.BK</t>
        </is>
      </c>
      <c r="C7" s="694" t="inlineStr">
        <is>
          <t>KTC</t>
        </is>
      </c>
      <c r="D7" s="695" t="inlineStr">
        <is>
          <t>BUY</t>
        </is>
      </c>
      <c r="E7" s="696" t="n">
        <v>1600</v>
      </c>
      <c r="F7" s="697" t="n">
        <v>29.25</v>
      </c>
      <c r="G7" s="696" t="n">
        <v>16</v>
      </c>
      <c r="H7" s="698">
        <f>E7*F7</f>
        <v/>
      </c>
      <c r="I7" s="699" t="inlineStr">
        <is>
          <t>—</t>
        </is>
      </c>
      <c r="J7" s="700" t="inlineStr">
        <is>
          <t>BUY (Day 1)</t>
        </is>
      </c>
    </row>
    <row r="8" ht="17" customHeight="1">
      <c r="A8" s="701" t="inlineStr">
        <is>
          <t>2026-04-27</t>
        </is>
      </c>
      <c r="B8" s="702" t="inlineStr">
        <is>
          <t>JASIF.BK</t>
        </is>
      </c>
      <c r="C8" s="703" t="inlineStr">
        <is>
          <t>JASIF</t>
        </is>
      </c>
      <c r="D8" s="695" t="inlineStr">
        <is>
          <t>BUY</t>
        </is>
      </c>
      <c r="E8" s="704" t="n">
        <v>7000</v>
      </c>
      <c r="F8" s="705" t="n">
        <v>6.7</v>
      </c>
      <c r="G8" s="704" t="n">
        <v>70</v>
      </c>
      <c r="H8" s="706">
        <f>E8*F8</f>
        <v/>
      </c>
      <c r="I8" s="707" t="inlineStr">
        <is>
          <t>—</t>
        </is>
      </c>
      <c r="J8" s="708" t="inlineStr">
        <is>
          <t>BUY (Day 1)</t>
        </is>
      </c>
    </row>
    <row r="10" ht="22" customHeight="1">
      <c r="G10" s="52" t="inlineStr">
        <is>
          <t>TOTAL TRADES</t>
        </is>
      </c>
      <c r="H10" s="709">
        <f>SUM(H3:H8)</f>
        <v/>
      </c>
      <c r="I10" s="709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2026-05-06T02:40:30Z</dcterms:modified>
</cp:coreProperties>
</file>