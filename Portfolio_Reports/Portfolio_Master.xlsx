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2" t="inlineStr">
        <is>
          <t>2026-04-22</t>
        </is>
      </c>
      <c r="B2" s="3" t="n">
        <v>4</v>
      </c>
      <c r="C2" s="4" t="n">
        <v>303748.3059307933</v>
      </c>
      <c r="D2" s="5" t="n">
        <v>29448.30848187208</v>
      </c>
      <c r="E2" s="6" t="n">
        <v>274299.9974489212</v>
      </c>
      <c r="F2" s="7" t="n">
        <v>3748.305930793285</v>
      </c>
      <c r="G2" s="8" t="n">
        <v>0.01249435310264429</v>
      </c>
      <c r="H2" s="9" t="n">
        <v>0</v>
      </c>
      <c r="I2" s="10" t="n">
        <v>0</v>
      </c>
      <c r="J2" s="11" t="n">
        <v>10</v>
      </c>
      <c r="K2" s="12" t="n">
        <v>0</v>
      </c>
      <c r="L2" s="1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</cols>
  <sheetData>
    <row r="1" ht="34" customHeight="1">
      <c r="A1" s="14" t="inlineStr">
        <is>
          <t>Current Holdings  —  22 Apr 2026</t>
        </is>
      </c>
    </row>
    <row r="2" ht="22" customHeight="1">
      <c r="A2" s="15" t="inlineStr">
        <is>
          <t>Ticker</t>
        </is>
      </c>
      <c r="B2" s="15" t="inlineStr">
        <is>
          <t>Stock Name</t>
        </is>
      </c>
      <c r="C2" s="15" t="inlineStr">
        <is>
          <t>Shares</t>
        </is>
      </c>
      <c r="D2" s="15" t="inlineStr">
        <is>
          <t>Avg Cost (฿)</t>
        </is>
      </c>
      <c r="E2" s="15" t="inlineStr">
        <is>
          <t>Current Price (฿)</t>
        </is>
      </c>
      <c r="F2" s="15" t="inlineStr">
        <is>
          <t>Market Value (฿)</t>
        </is>
      </c>
      <c r="G2" s="15" t="inlineStr">
        <is>
          <t>Unrealised P&amp;L (฿)</t>
        </is>
      </c>
      <c r="H2" s="15" t="inlineStr">
        <is>
          <t>P&amp;L %</t>
        </is>
      </c>
      <c r="I2" s="15" t="inlineStr">
        <is>
          <t>Entry Date</t>
        </is>
      </c>
    </row>
    <row r="3" ht="20" customHeight="1">
      <c r="A3" s="16" t="inlineStr">
        <is>
          <t>TQM.BK</t>
        </is>
      </c>
      <c r="B3" s="17" t="inlineStr">
        <is>
          <t>TQM</t>
        </is>
      </c>
      <c r="C3" s="18" t="n">
        <v>2000</v>
      </c>
      <c r="D3" s="19" t="n">
        <v>13.7</v>
      </c>
      <c r="E3" s="20" t="n">
        <v>14.30000019073486</v>
      </c>
      <c r="F3" s="21">
        <f>C3*E3</f>
        <v/>
      </c>
      <c r="G3" s="22">
        <f>F3-C3*D3</f>
        <v/>
      </c>
      <c r="H3" s="23">
        <f>(E3-D3)/D3</f>
        <v/>
      </c>
      <c r="I3" s="24" t="inlineStr">
        <is>
          <t>2026-04-20</t>
        </is>
      </c>
    </row>
    <row r="4" ht="20" customHeight="1">
      <c r="A4" s="25" t="inlineStr">
        <is>
          <t>TU.BK</t>
        </is>
      </c>
      <c r="B4" s="26" t="inlineStr">
        <is>
          <t>TU</t>
        </is>
      </c>
      <c r="C4" s="27" t="n">
        <v>2500</v>
      </c>
      <c r="D4" s="28" t="n">
        <v>11.4</v>
      </c>
      <c r="E4" s="29" t="n">
        <v>11.39999961853027</v>
      </c>
      <c r="F4" s="30">
        <f>C4*E4</f>
        <v/>
      </c>
      <c r="G4" s="31">
        <f>F4-C4*D4</f>
        <v/>
      </c>
      <c r="H4" s="32">
        <f>(E4-D4)/D4</f>
        <v/>
      </c>
      <c r="I4" s="33" t="inlineStr">
        <is>
          <t>2026-04-20</t>
        </is>
      </c>
    </row>
    <row r="5" ht="20" customHeight="1">
      <c r="A5" s="25" t="inlineStr">
        <is>
          <t>SIRI.BK</t>
        </is>
      </c>
      <c r="B5" s="26" t="inlineStr">
        <is>
          <t>SIRI</t>
        </is>
      </c>
      <c r="C5" s="27" t="n">
        <v>20200</v>
      </c>
      <c r="D5" s="28" t="n">
        <v>1.41</v>
      </c>
      <c r="E5" s="29" t="n">
        <v>1.409999966621399</v>
      </c>
      <c r="F5" s="30">
        <f>C5*E5</f>
        <v/>
      </c>
      <c r="G5" s="31">
        <f>F5-C5*D5</f>
        <v/>
      </c>
      <c r="H5" s="32">
        <f>(E5-D5)/D5</f>
        <v/>
      </c>
      <c r="I5" s="33" t="inlineStr">
        <is>
          <t>2026-04-20</t>
        </is>
      </c>
    </row>
    <row r="6" ht="20" customHeight="1">
      <c r="A6" s="16" t="inlineStr">
        <is>
          <t>WHA.BK</t>
        </is>
      </c>
      <c r="B6" s="17" t="inlineStr">
        <is>
          <t>WHA</t>
        </is>
      </c>
      <c r="C6" s="18" t="n">
        <v>6400</v>
      </c>
      <c r="D6" s="19" t="n">
        <v>4.4</v>
      </c>
      <c r="E6" s="20" t="n">
        <v>4.420000076293945</v>
      </c>
      <c r="F6" s="21">
        <f>C6*E6</f>
        <v/>
      </c>
      <c r="G6" s="22">
        <f>F6-C6*D6</f>
        <v/>
      </c>
      <c r="H6" s="23">
        <f>(E6-D6)/D6</f>
        <v/>
      </c>
      <c r="I6" s="24" t="inlineStr">
        <is>
          <t>2026-04-20</t>
        </is>
      </c>
    </row>
    <row r="7" ht="20" customHeight="1">
      <c r="A7" s="16" t="inlineStr">
        <is>
          <t>BAY.BK</t>
        </is>
      </c>
      <c r="B7" s="17" t="inlineStr">
        <is>
          <t>BAY</t>
        </is>
      </c>
      <c r="C7" s="18" t="n">
        <v>1000</v>
      </c>
      <c r="D7" s="19" t="n">
        <v>26</v>
      </c>
      <c r="E7" s="20" t="n">
        <v>28.25</v>
      </c>
      <c r="F7" s="21">
        <f>C7*E7</f>
        <v/>
      </c>
      <c r="G7" s="22">
        <f>F7-C7*D7</f>
        <v/>
      </c>
      <c r="H7" s="23">
        <f>(E7-D7)/D7</f>
        <v/>
      </c>
      <c r="I7" s="24" t="inlineStr">
        <is>
          <t>2026-04-20</t>
        </is>
      </c>
    </row>
    <row r="8" ht="20" customHeight="1">
      <c r="A8" s="25" t="inlineStr">
        <is>
          <t>JASIF.BK</t>
        </is>
      </c>
      <c r="B8" s="26" t="inlineStr">
        <is>
          <t>JASIF</t>
        </is>
      </c>
      <c r="C8" s="27" t="n">
        <v>4200</v>
      </c>
      <c r="D8" s="28" t="n">
        <v>6.7</v>
      </c>
      <c r="E8" s="29" t="n">
        <v>6.699999809265137</v>
      </c>
      <c r="F8" s="30">
        <f>C8*E8</f>
        <v/>
      </c>
      <c r="G8" s="31">
        <f>F8-C8*D8</f>
        <v/>
      </c>
      <c r="H8" s="32">
        <f>(E8-D8)/D8</f>
        <v/>
      </c>
      <c r="I8" s="33" t="inlineStr">
        <is>
          <t>2026-04-20</t>
        </is>
      </c>
    </row>
    <row r="9" ht="20" customHeight="1">
      <c r="A9" s="25" t="inlineStr">
        <is>
          <t>CK.BK</t>
        </is>
      </c>
      <c r="B9" s="26" t="inlineStr">
        <is>
          <t>CK</t>
        </is>
      </c>
      <c r="C9" s="27" t="n">
        <v>1600</v>
      </c>
      <c r="D9" s="28" t="n">
        <v>17.2</v>
      </c>
      <c r="E9" s="29" t="n">
        <v>17</v>
      </c>
      <c r="F9" s="30">
        <f>C9*E9</f>
        <v/>
      </c>
      <c r="G9" s="31">
        <f>F9-C9*D9</f>
        <v/>
      </c>
      <c r="H9" s="32">
        <f>(E9-D9)/D9</f>
        <v/>
      </c>
      <c r="I9" s="33" t="inlineStr">
        <is>
          <t>2026-04-20</t>
        </is>
      </c>
    </row>
    <row r="10" ht="20" customHeight="1">
      <c r="A10" s="16" t="inlineStr">
        <is>
          <t>AMATA.BK</t>
        </is>
      </c>
      <c r="B10" s="17" t="inlineStr">
        <is>
          <t>AMATA</t>
        </is>
      </c>
      <c r="C10" s="18" t="n">
        <v>1300</v>
      </c>
      <c r="D10" s="19" t="n">
        <v>20.5</v>
      </c>
      <c r="E10" s="20" t="n">
        <v>20.79999923706055</v>
      </c>
      <c r="F10" s="21">
        <f>C10*E10</f>
        <v/>
      </c>
      <c r="G10" s="22">
        <f>F10-C10*D10</f>
        <v/>
      </c>
      <c r="H10" s="23">
        <f>(E10-D10)/D10</f>
        <v/>
      </c>
      <c r="I10" s="24" t="inlineStr">
        <is>
          <t>2026-04-20</t>
        </is>
      </c>
    </row>
    <row r="11" ht="20" customHeight="1">
      <c r="A11" s="16" t="inlineStr">
        <is>
          <t>KTC.BK</t>
        </is>
      </c>
      <c r="B11" s="17" t="inlineStr">
        <is>
          <t>KTC</t>
        </is>
      </c>
      <c r="C11" s="18" t="n">
        <v>900</v>
      </c>
      <c r="D11" s="19" t="n">
        <v>29.25</v>
      </c>
      <c r="E11" s="20" t="n">
        <v>30</v>
      </c>
      <c r="F11" s="21">
        <f>C11*E11</f>
        <v/>
      </c>
      <c r="G11" s="22">
        <f>F11-C11*D11</f>
        <v/>
      </c>
      <c r="H11" s="23">
        <f>(E11-D11)/D11</f>
        <v/>
      </c>
      <c r="I11" s="24" t="inlineStr">
        <is>
          <t>2026-04-20</t>
        </is>
      </c>
    </row>
    <row r="12" ht="20" customHeight="1">
      <c r="A12" s="16" t="inlineStr">
        <is>
          <t>TISCO.BK</t>
        </is>
      </c>
      <c r="B12" s="17" t="inlineStr">
        <is>
          <t>TISCO</t>
        </is>
      </c>
      <c r="C12" s="18" t="n">
        <v>200</v>
      </c>
      <c r="D12" s="19" t="n">
        <v>113.5</v>
      </c>
      <c r="E12" s="20" t="n">
        <v>114</v>
      </c>
      <c r="F12" s="21">
        <f>C12*E12</f>
        <v/>
      </c>
      <c r="G12" s="22">
        <f>F12-C12*D12</f>
        <v/>
      </c>
      <c r="H12" s="23">
        <f>(E12-D12)/D12</f>
        <v/>
      </c>
      <c r="I12" s="24" t="inlineStr">
        <is>
          <t>2026-04-20</t>
        </is>
      </c>
    </row>
    <row r="13" ht="22" customHeight="1">
      <c r="B13" s="34" t="inlineStr">
        <is>
          <t>TOTAL</t>
        </is>
      </c>
      <c r="F13" s="35">
        <f>SUM(F3:F12)</f>
        <v/>
      </c>
      <c r="G13" s="36">
        <f>SUM(G3:G12)</f>
        <v/>
      </c>
      <c r="H13" s="37">
        <f>G13/SUMPRODUCT(C3:C12,D3:D12)</f>
        <v/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14" t="inlineStr">
        <is>
          <t>Today's Trades  —  22 Apr 2026</t>
        </is>
      </c>
    </row>
    <row r="3" ht="30" customHeight="1">
      <c r="A3" s="38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14" t="inlineStr">
        <is>
          <t>Complete Trade History  —  since 2026-04-21</t>
        </is>
      </c>
    </row>
    <row r="2" ht="22" customHeight="1">
      <c r="A2" s="15" t="inlineStr">
        <is>
          <t>Date</t>
        </is>
      </c>
      <c r="B2" s="15" t="inlineStr">
        <is>
          <t>Ticker</t>
        </is>
      </c>
      <c r="C2" s="15" t="inlineStr">
        <is>
          <t>Stock</t>
        </is>
      </c>
      <c r="D2" s="15" t="inlineStr">
        <is>
          <t>Action</t>
        </is>
      </c>
      <c r="E2" s="15" t="inlineStr">
        <is>
          <t>Shares</t>
        </is>
      </c>
      <c r="F2" s="15" t="inlineStr">
        <is>
          <t>Price (฿)</t>
        </is>
      </c>
      <c r="G2" s="15" t="inlineStr">
        <is>
          <t>Lots</t>
        </is>
      </c>
      <c r="H2" s="15" t="inlineStr">
        <is>
          <t>Value (฿)</t>
        </is>
      </c>
      <c r="I2" s="15" t="inlineStr">
        <is>
          <t>Realised P&amp;L (฿)</t>
        </is>
      </c>
      <c r="J2" s="15" t="inlineStr">
        <is>
          <t>Reason / Signal</t>
        </is>
      </c>
    </row>
    <row r="3" ht="17" customHeight="1">
      <c r="A3" s="39" t="inlineStr">
        <is>
          <t>2026-04-20</t>
        </is>
      </c>
      <c r="B3" s="40" t="inlineStr">
        <is>
          <t>TISCO.BK</t>
        </is>
      </c>
      <c r="C3" s="41" t="inlineStr">
        <is>
          <t>TISCO</t>
        </is>
      </c>
      <c r="D3" s="42" t="inlineStr">
        <is>
          <t>BUY</t>
        </is>
      </c>
      <c r="E3" s="43" t="n">
        <v>200</v>
      </c>
      <c r="F3" s="44" t="n">
        <v>113.5</v>
      </c>
      <c r="G3" s="43" t="n">
        <v>2</v>
      </c>
      <c r="H3" s="45">
        <f>E3*F3</f>
        <v/>
      </c>
      <c r="I3" s="46" t="inlineStr">
        <is>
          <t>—</t>
        </is>
      </c>
      <c r="J3" s="47" t="inlineStr">
        <is>
          <t>BUY (Day 1)</t>
        </is>
      </c>
    </row>
    <row r="4" ht="17" customHeight="1">
      <c r="A4" s="48" t="inlineStr">
        <is>
          <t>2026-04-20</t>
        </is>
      </c>
      <c r="B4" s="49" t="inlineStr">
        <is>
          <t>SIRI.BK</t>
        </is>
      </c>
      <c r="C4" s="26" t="inlineStr">
        <is>
          <t>SIRI</t>
        </is>
      </c>
      <c r="D4" s="42" t="inlineStr">
        <is>
          <t>BUY</t>
        </is>
      </c>
      <c r="E4" s="27" t="n">
        <v>20200</v>
      </c>
      <c r="F4" s="28" t="n">
        <v>1.41</v>
      </c>
      <c r="G4" s="27" t="n">
        <v>202</v>
      </c>
      <c r="H4" s="30">
        <f>E4*F4</f>
        <v/>
      </c>
      <c r="I4" s="50" t="inlineStr">
        <is>
          <t>—</t>
        </is>
      </c>
      <c r="J4" s="51" t="inlineStr">
        <is>
          <t>BUY (Day 1)</t>
        </is>
      </c>
    </row>
    <row r="5" ht="17" customHeight="1">
      <c r="A5" s="39" t="inlineStr">
        <is>
          <t>2026-04-20</t>
        </is>
      </c>
      <c r="B5" s="40" t="inlineStr">
        <is>
          <t>TU.BK</t>
        </is>
      </c>
      <c r="C5" s="41" t="inlineStr">
        <is>
          <t>TU</t>
        </is>
      </c>
      <c r="D5" s="42" t="inlineStr">
        <is>
          <t>BUY</t>
        </is>
      </c>
      <c r="E5" s="43" t="n">
        <v>2500</v>
      </c>
      <c r="F5" s="44" t="n">
        <v>11.4</v>
      </c>
      <c r="G5" s="43" t="n">
        <v>25</v>
      </c>
      <c r="H5" s="45">
        <f>E5*F5</f>
        <v/>
      </c>
      <c r="I5" s="46" t="inlineStr">
        <is>
          <t>—</t>
        </is>
      </c>
      <c r="J5" s="47" t="inlineStr">
        <is>
          <t>BUY (Day 1)</t>
        </is>
      </c>
    </row>
    <row r="6" ht="17" customHeight="1">
      <c r="A6" s="48" t="inlineStr">
        <is>
          <t>2026-04-20</t>
        </is>
      </c>
      <c r="B6" s="49" t="inlineStr">
        <is>
          <t>BAY.BK</t>
        </is>
      </c>
      <c r="C6" s="26" t="inlineStr">
        <is>
          <t>BAY</t>
        </is>
      </c>
      <c r="D6" s="42" t="inlineStr">
        <is>
          <t>BUY</t>
        </is>
      </c>
      <c r="E6" s="27" t="n">
        <v>1000</v>
      </c>
      <c r="F6" s="28" t="n">
        <v>26</v>
      </c>
      <c r="G6" s="27" t="n">
        <v>10</v>
      </c>
      <c r="H6" s="30">
        <f>E6*F6</f>
        <v/>
      </c>
      <c r="I6" s="50" t="inlineStr">
        <is>
          <t>—</t>
        </is>
      </c>
      <c r="J6" s="51" t="inlineStr">
        <is>
          <t>BUY (Day 1)</t>
        </is>
      </c>
    </row>
    <row r="7" ht="17" customHeight="1">
      <c r="A7" s="39" t="inlineStr">
        <is>
          <t>2026-04-20</t>
        </is>
      </c>
      <c r="B7" s="40" t="inlineStr">
        <is>
          <t>KTC.BK</t>
        </is>
      </c>
      <c r="C7" s="41" t="inlineStr">
        <is>
          <t>KTC</t>
        </is>
      </c>
      <c r="D7" s="42" t="inlineStr">
        <is>
          <t>BUY</t>
        </is>
      </c>
      <c r="E7" s="43" t="n">
        <v>900</v>
      </c>
      <c r="F7" s="44" t="n">
        <v>29.25</v>
      </c>
      <c r="G7" s="43" t="n">
        <v>9</v>
      </c>
      <c r="H7" s="45">
        <f>E7*F7</f>
        <v/>
      </c>
      <c r="I7" s="46" t="inlineStr">
        <is>
          <t>—</t>
        </is>
      </c>
      <c r="J7" s="47" t="inlineStr">
        <is>
          <t>BUY (Day 1)</t>
        </is>
      </c>
    </row>
    <row r="8" ht="17" customHeight="1">
      <c r="A8" s="48" t="inlineStr">
        <is>
          <t>2026-04-20</t>
        </is>
      </c>
      <c r="B8" s="49" t="inlineStr">
        <is>
          <t>TQM.BK</t>
        </is>
      </c>
      <c r="C8" s="26" t="inlineStr">
        <is>
          <t>TQM</t>
        </is>
      </c>
      <c r="D8" s="42" t="inlineStr">
        <is>
          <t>BUY</t>
        </is>
      </c>
      <c r="E8" s="27" t="n">
        <v>2000</v>
      </c>
      <c r="F8" s="28" t="n">
        <v>13.7</v>
      </c>
      <c r="G8" s="27" t="n">
        <v>20</v>
      </c>
      <c r="H8" s="30">
        <f>E8*F8</f>
        <v/>
      </c>
      <c r="I8" s="50" t="inlineStr">
        <is>
          <t>—</t>
        </is>
      </c>
      <c r="J8" s="51" t="inlineStr">
        <is>
          <t>BUY (Day 1)</t>
        </is>
      </c>
    </row>
    <row r="9" ht="17" customHeight="1">
      <c r="A9" s="39" t="inlineStr">
        <is>
          <t>2026-04-20</t>
        </is>
      </c>
      <c r="B9" s="40" t="inlineStr">
        <is>
          <t>WHA.BK</t>
        </is>
      </c>
      <c r="C9" s="41" t="inlineStr">
        <is>
          <t>WHA</t>
        </is>
      </c>
      <c r="D9" s="42" t="inlineStr">
        <is>
          <t>BUY</t>
        </is>
      </c>
      <c r="E9" s="43" t="n">
        <v>6400</v>
      </c>
      <c r="F9" s="44" t="n">
        <v>4.4</v>
      </c>
      <c r="G9" s="43" t="n">
        <v>64</v>
      </c>
      <c r="H9" s="45">
        <f>E9*F9</f>
        <v/>
      </c>
      <c r="I9" s="46" t="inlineStr">
        <is>
          <t>—</t>
        </is>
      </c>
      <c r="J9" s="47" t="inlineStr">
        <is>
          <t>BUY (Day 1)</t>
        </is>
      </c>
    </row>
    <row r="10" ht="17" customHeight="1">
      <c r="A10" s="48" t="inlineStr">
        <is>
          <t>2026-04-20</t>
        </is>
      </c>
      <c r="B10" s="49" t="inlineStr">
        <is>
          <t>JASIF.BK</t>
        </is>
      </c>
      <c r="C10" s="26" t="inlineStr">
        <is>
          <t>JASIF</t>
        </is>
      </c>
      <c r="D10" s="42" t="inlineStr">
        <is>
          <t>BUY</t>
        </is>
      </c>
      <c r="E10" s="27" t="n">
        <v>4200</v>
      </c>
      <c r="F10" s="28" t="n">
        <v>6.7</v>
      </c>
      <c r="G10" s="27" t="n">
        <v>42</v>
      </c>
      <c r="H10" s="30">
        <f>E10*F10</f>
        <v/>
      </c>
      <c r="I10" s="50" t="inlineStr">
        <is>
          <t>—</t>
        </is>
      </c>
      <c r="J10" s="51" t="inlineStr">
        <is>
          <t>BUY (Day 1)</t>
        </is>
      </c>
    </row>
    <row r="11" ht="17" customHeight="1">
      <c r="A11" s="39" t="inlineStr">
        <is>
          <t>2026-04-20</t>
        </is>
      </c>
      <c r="B11" s="40" t="inlineStr">
        <is>
          <t>CK.BK</t>
        </is>
      </c>
      <c r="C11" s="41" t="inlineStr">
        <is>
          <t>CK</t>
        </is>
      </c>
      <c r="D11" s="42" t="inlineStr">
        <is>
          <t>BUY</t>
        </is>
      </c>
      <c r="E11" s="43" t="n">
        <v>1600</v>
      </c>
      <c r="F11" s="44" t="n">
        <v>17.2</v>
      </c>
      <c r="G11" s="43" t="n">
        <v>16</v>
      </c>
      <c r="H11" s="45">
        <f>E11*F11</f>
        <v/>
      </c>
      <c r="I11" s="46" t="inlineStr">
        <is>
          <t>—</t>
        </is>
      </c>
      <c r="J11" s="47" t="inlineStr">
        <is>
          <t>BUY (Day 1)</t>
        </is>
      </c>
    </row>
    <row r="12" ht="17" customHeight="1">
      <c r="A12" s="48" t="inlineStr">
        <is>
          <t>2026-04-20</t>
        </is>
      </c>
      <c r="B12" s="49" t="inlineStr">
        <is>
          <t>AMATA.BK</t>
        </is>
      </c>
      <c r="C12" s="26" t="inlineStr">
        <is>
          <t>AMATA</t>
        </is>
      </c>
      <c r="D12" s="42" t="inlineStr">
        <is>
          <t>BUY</t>
        </is>
      </c>
      <c r="E12" s="27" t="n">
        <v>1300</v>
      </c>
      <c r="F12" s="28" t="n">
        <v>20.5</v>
      </c>
      <c r="G12" s="27" t="n">
        <v>13</v>
      </c>
      <c r="H12" s="30">
        <f>E12*F12</f>
        <v/>
      </c>
      <c r="I12" s="50" t="inlineStr">
        <is>
          <t>—</t>
        </is>
      </c>
      <c r="J12" s="51" t="inlineStr">
        <is>
          <t>BUY (Day 1)</t>
        </is>
      </c>
    </row>
    <row r="14" ht="22" customHeight="1">
      <c r="G14" s="52" t="inlineStr">
        <is>
          <t>TOTAL TRADES</t>
        </is>
      </c>
      <c r="H14" s="53">
        <f>SUM(H3:H12)</f>
        <v/>
      </c>
      <c r="I14" s="53">
        <f>SUM(I3:I12)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2026-04-22T15:12:14Z</dcterms:modified>
</cp:coreProperties>
</file>