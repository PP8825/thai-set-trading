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85" t="inlineStr">
        <is>
          <t>2026-04-22</t>
        </is>
      </c>
      <c r="B2" s="386" t="n">
        <v>3</v>
      </c>
      <c r="C2" s="387" t="n">
        <v>303748.3059307933</v>
      </c>
      <c r="D2" s="388" t="n">
        <v>29448.30848187208</v>
      </c>
      <c r="E2" s="389" t="n">
        <v>274299.9974489212</v>
      </c>
      <c r="F2" s="390" t="n">
        <v>3748.305930793285</v>
      </c>
      <c r="G2" s="391" t="n">
        <v>0.01249435310264429</v>
      </c>
      <c r="H2" s="392" t="n">
        <v>0</v>
      </c>
      <c r="I2" s="393" t="n">
        <v>0</v>
      </c>
      <c r="J2" s="394" t="n">
        <v>10</v>
      </c>
      <c r="K2" s="395" t="n">
        <v>0</v>
      </c>
      <c r="L2" s="396" t="n">
        <v>0</v>
      </c>
    </row>
    <row r="3" ht="20" customHeight="1">
      <c r="A3" s="385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385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452" t="inlineStr">
        <is>
          <t>2026-04-27</t>
        </is>
      </c>
      <c r="B5" s="453" t="n">
        <v>5</v>
      </c>
      <c r="C5" s="454" t="n">
        <v>300229.8165025711</v>
      </c>
      <c r="D5" s="455" t="n">
        <v>18423.81789112091</v>
      </c>
      <c r="E5" s="456" t="n">
        <v>281805.9986114502</v>
      </c>
      <c r="F5" s="457" t="n">
        <v>229.816502571106</v>
      </c>
      <c r="G5" s="458" t="n">
        <v>0.0007660550085703531</v>
      </c>
      <c r="H5" s="459" t="n">
        <v>0</v>
      </c>
      <c r="I5" s="460" t="n">
        <v>0</v>
      </c>
      <c r="J5" s="461" t="n">
        <v>6</v>
      </c>
      <c r="K5" s="462" t="n">
        <v>6</v>
      </c>
      <c r="L5" s="46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64" t="inlineStr">
        <is>
          <t>Current Holdings  —  27 Apr 2026</t>
        </is>
      </c>
    </row>
    <row r="2" ht="22" customHeight="1">
      <c r="A2" s="465" t="inlineStr">
        <is>
          <t>Ticker</t>
        </is>
      </c>
      <c r="B2" s="465" t="inlineStr">
        <is>
          <t>Stock Name</t>
        </is>
      </c>
      <c r="C2" s="465" t="inlineStr">
        <is>
          <t>Shares</t>
        </is>
      </c>
      <c r="D2" s="465" t="inlineStr">
        <is>
          <t>Avg Cost (฿)</t>
        </is>
      </c>
      <c r="E2" s="465" t="inlineStr">
        <is>
          <t>Current Price (฿)</t>
        </is>
      </c>
      <c r="F2" s="465" t="inlineStr">
        <is>
          <t>Market Value (฿)</t>
        </is>
      </c>
      <c r="G2" s="465" t="inlineStr">
        <is>
          <t>Unrealised P&amp;L (฿)</t>
        </is>
      </c>
      <c r="H2" s="465" t="inlineStr">
        <is>
          <t>P&amp;L %</t>
        </is>
      </c>
      <c r="I2" s="465" t="inlineStr">
        <is>
          <t>Entry Date</t>
        </is>
      </c>
      <c r="J2" s="465" t="inlineStr">
        <is>
          <t>Comp Score</t>
        </is>
      </c>
      <c r="K2" s="465" t="inlineStr">
        <is>
          <t>Signal</t>
        </is>
      </c>
    </row>
    <row r="3" ht="20" customHeight="1">
      <c r="A3" s="466" t="inlineStr">
        <is>
          <t>WHA.BK</t>
        </is>
      </c>
      <c r="B3" s="467" t="inlineStr">
        <is>
          <t>WHA</t>
        </is>
      </c>
      <c r="C3" s="468" t="n">
        <v>10800</v>
      </c>
      <c r="D3" s="469" t="n">
        <v>4.38</v>
      </c>
      <c r="E3" s="470" t="n">
        <v>4.420000076293945</v>
      </c>
      <c r="F3" s="471">
        <f>C3*E3</f>
        <v/>
      </c>
      <c r="G3" s="472">
        <f>F3-C3*D3</f>
        <v/>
      </c>
      <c r="H3" s="473">
        <f>(E3-D3)/D3</f>
        <v/>
      </c>
      <c r="I3" s="474" t="inlineStr">
        <is>
          <t>2026-04-27</t>
        </is>
      </c>
      <c r="J3" s="475" t="n">
        <v>6.92</v>
      </c>
      <c r="K3" s="476" t="inlineStr">
        <is>
          <t>WEAK</t>
        </is>
      </c>
    </row>
    <row r="4" ht="20" customHeight="1">
      <c r="A4" s="466" t="inlineStr">
        <is>
          <t>TIDLOR.BK</t>
        </is>
      </c>
      <c r="B4" s="467" t="inlineStr">
        <is>
          <t>TIDLOR</t>
        </is>
      </c>
      <c r="C4" s="468" t="n">
        <v>2700</v>
      </c>
      <c r="D4" s="469" t="n">
        <v>17.4</v>
      </c>
      <c r="E4" s="470" t="n">
        <v>17.5</v>
      </c>
      <c r="F4" s="471">
        <f>C4*E4</f>
        <v/>
      </c>
      <c r="G4" s="472">
        <f>F4-C4*D4</f>
        <v/>
      </c>
      <c r="H4" s="473">
        <f>(E4-D4)/D4</f>
        <v/>
      </c>
      <c r="I4" s="474" t="inlineStr">
        <is>
          <t>2026-04-27</t>
        </is>
      </c>
      <c r="J4" s="477" t="n">
        <v>6.32</v>
      </c>
      <c r="K4" s="478" t="inlineStr">
        <is>
          <t>AVOID</t>
        </is>
      </c>
    </row>
    <row r="5" ht="20" customHeight="1">
      <c r="A5" s="466" t="inlineStr">
        <is>
          <t>AMATA.BK</t>
        </is>
      </c>
      <c r="B5" s="467" t="inlineStr">
        <is>
          <t>AMATA</t>
        </is>
      </c>
      <c r="C5" s="468" t="n">
        <v>2300</v>
      </c>
      <c r="D5" s="469" t="n">
        <v>20.3</v>
      </c>
      <c r="E5" s="470" t="n">
        <v>20.39999961853027</v>
      </c>
      <c r="F5" s="471">
        <f>C5*E5</f>
        <v/>
      </c>
      <c r="G5" s="472">
        <f>F5-C5*D5</f>
        <v/>
      </c>
      <c r="H5" s="473">
        <f>(E5-D5)/D5</f>
        <v/>
      </c>
      <c r="I5" s="474" t="inlineStr">
        <is>
          <t>2026-04-27</t>
        </is>
      </c>
      <c r="J5" s="479" t="n">
        <v>7.76</v>
      </c>
      <c r="K5" s="480" t="inlineStr">
        <is>
          <t>BUY</t>
        </is>
      </c>
    </row>
    <row r="6" ht="20" customHeight="1">
      <c r="A6" s="481" t="inlineStr">
        <is>
          <t>JASIF.BK</t>
        </is>
      </c>
      <c r="B6" s="482" t="inlineStr">
        <is>
          <t>JASIF</t>
        </is>
      </c>
      <c r="C6" s="483" t="n">
        <v>7000</v>
      </c>
      <c r="D6" s="484" t="n">
        <v>6.7</v>
      </c>
      <c r="E6" s="485" t="n">
        <v>6.699999809265137</v>
      </c>
      <c r="F6" s="486">
        <f>C6*E6</f>
        <v/>
      </c>
      <c r="G6" s="487">
        <f>F6-C6*D6</f>
        <v/>
      </c>
      <c r="H6" s="488">
        <f>(E6-D6)/D6</f>
        <v/>
      </c>
      <c r="I6" s="489" t="inlineStr">
        <is>
          <t>2026-04-27</t>
        </is>
      </c>
      <c r="J6" s="490" t="n">
        <v>5.48</v>
      </c>
      <c r="K6" s="491" t="inlineStr">
        <is>
          <t>AVOID</t>
        </is>
      </c>
    </row>
    <row r="7" ht="20" customHeight="1">
      <c r="A7" s="481" t="inlineStr">
        <is>
          <t>KTC.BK</t>
        </is>
      </c>
      <c r="B7" s="482" t="inlineStr">
        <is>
          <t>KTC</t>
        </is>
      </c>
      <c r="C7" s="483" t="n">
        <v>1600</v>
      </c>
      <c r="D7" s="484" t="n">
        <v>29.25</v>
      </c>
      <c r="E7" s="485" t="n">
        <v>29.25</v>
      </c>
      <c r="F7" s="486">
        <f>C7*E7</f>
        <v/>
      </c>
      <c r="G7" s="492">
        <f>F7-C7*D7</f>
        <v/>
      </c>
      <c r="H7" s="493">
        <f>(E7-D7)/D7</f>
        <v/>
      </c>
      <c r="I7" s="489" t="inlineStr">
        <is>
          <t>2026-04-27</t>
        </is>
      </c>
      <c r="J7" s="494" t="n">
        <v>6.52</v>
      </c>
      <c r="K7" s="495" t="inlineStr">
        <is>
          <t>WEAK</t>
        </is>
      </c>
    </row>
    <row r="8" ht="20" customHeight="1">
      <c r="A8" s="481" t="inlineStr">
        <is>
          <t>CK.BK</t>
        </is>
      </c>
      <c r="B8" s="482" t="inlineStr">
        <is>
          <t>CK</t>
        </is>
      </c>
      <c r="C8" s="483" t="n">
        <v>2800</v>
      </c>
      <c r="D8" s="484" t="n">
        <v>16.5</v>
      </c>
      <c r="E8" s="485" t="n">
        <v>16.5</v>
      </c>
      <c r="F8" s="486">
        <f>C8*E8</f>
        <v/>
      </c>
      <c r="G8" s="492">
        <f>F8-C8*D8</f>
        <v/>
      </c>
      <c r="H8" s="493">
        <f>(E8-D8)/D8</f>
        <v/>
      </c>
      <c r="I8" s="489" t="inlineStr">
        <is>
          <t>2026-04-27</t>
        </is>
      </c>
      <c r="J8" s="490" t="n">
        <v>6.32</v>
      </c>
      <c r="K8" s="491" t="inlineStr">
        <is>
          <t>AVOID</t>
        </is>
      </c>
    </row>
    <row r="9" ht="22" customHeight="1">
      <c r="B9" s="496" t="inlineStr">
        <is>
          <t>TOTAL</t>
        </is>
      </c>
      <c r="F9" s="497">
        <f>SUM(F3:F8)</f>
        <v/>
      </c>
      <c r="G9" s="498">
        <f>SUM(G3:G8)</f>
        <v/>
      </c>
      <c r="H9" s="499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64" t="inlineStr">
        <is>
          <t>Today's Trades  —  27 Apr 2026</t>
        </is>
      </c>
    </row>
    <row r="2" ht="22" customHeight="1">
      <c r="A2" s="465" t="inlineStr">
        <is>
          <t>Date</t>
        </is>
      </c>
      <c r="B2" s="465" t="inlineStr">
        <is>
          <t>Stock</t>
        </is>
      </c>
      <c r="C2" s="465" t="inlineStr">
        <is>
          <t>Shares</t>
        </is>
      </c>
      <c r="D2" s="465" t="inlineStr">
        <is>
          <t>Action</t>
        </is>
      </c>
      <c r="E2" s="465" t="inlineStr">
        <is>
          <t>Price (฿)</t>
        </is>
      </c>
      <c r="F2" s="465" t="inlineStr">
        <is>
          <t>Lots</t>
        </is>
      </c>
      <c r="G2" s="465" t="inlineStr">
        <is>
          <t>Value (฿)</t>
        </is>
      </c>
      <c r="H2" s="465" t="inlineStr">
        <is>
          <t>Realised P&amp;L (฿)</t>
        </is>
      </c>
      <c r="I2" s="465" t="inlineStr">
        <is>
          <t>Reason / Signal</t>
        </is>
      </c>
    </row>
    <row r="3" ht="20" customHeight="1">
      <c r="A3" s="500" t="inlineStr">
        <is>
          <t>2026-04-27</t>
        </is>
      </c>
      <c r="B3" s="501" t="inlineStr">
        <is>
          <t>AMATA</t>
        </is>
      </c>
      <c r="C3" s="468" t="n">
        <v>2300</v>
      </c>
      <c r="D3" s="480" t="inlineStr">
        <is>
          <t>BUY</t>
        </is>
      </c>
      <c r="E3" s="469" t="n">
        <v>20.3</v>
      </c>
      <c r="F3" s="468" t="n">
        <v>23</v>
      </c>
      <c r="G3" s="471">
        <f>C3*E3</f>
        <v/>
      </c>
      <c r="H3" s="502" t="inlineStr">
        <is>
          <t>—</t>
        </is>
      </c>
      <c r="I3" s="503" t="inlineStr">
        <is>
          <t>BUY (Day 1)</t>
        </is>
      </c>
    </row>
    <row r="4" ht="20" customHeight="1">
      <c r="A4" s="500" t="inlineStr">
        <is>
          <t>2026-04-27</t>
        </is>
      </c>
      <c r="B4" s="501" t="inlineStr">
        <is>
          <t>CK</t>
        </is>
      </c>
      <c r="C4" s="468" t="n">
        <v>2800</v>
      </c>
      <c r="D4" s="480" t="inlineStr">
        <is>
          <t>BUY</t>
        </is>
      </c>
      <c r="E4" s="469" t="n">
        <v>16.5</v>
      </c>
      <c r="F4" s="468" t="n">
        <v>28</v>
      </c>
      <c r="G4" s="471">
        <f>C4*E4</f>
        <v/>
      </c>
      <c r="H4" s="502" t="inlineStr">
        <is>
          <t>—</t>
        </is>
      </c>
      <c r="I4" s="503" t="inlineStr">
        <is>
          <t>BUY (Day 1)</t>
        </is>
      </c>
    </row>
    <row r="5" ht="20" customHeight="1">
      <c r="A5" s="500" t="inlineStr">
        <is>
          <t>2026-04-27</t>
        </is>
      </c>
      <c r="B5" s="501" t="inlineStr">
        <is>
          <t>TIDLOR</t>
        </is>
      </c>
      <c r="C5" s="468" t="n">
        <v>2700</v>
      </c>
      <c r="D5" s="480" t="inlineStr">
        <is>
          <t>BUY</t>
        </is>
      </c>
      <c r="E5" s="469" t="n">
        <v>17.4</v>
      </c>
      <c r="F5" s="468" t="n">
        <v>27</v>
      </c>
      <c r="G5" s="471">
        <f>C5*E5</f>
        <v/>
      </c>
      <c r="H5" s="502" t="inlineStr">
        <is>
          <t>—</t>
        </is>
      </c>
      <c r="I5" s="503" t="inlineStr">
        <is>
          <t>BUY (Day 1)</t>
        </is>
      </c>
    </row>
    <row r="6" ht="20" customHeight="1">
      <c r="A6" s="500" t="inlineStr">
        <is>
          <t>2026-04-27</t>
        </is>
      </c>
      <c r="B6" s="501" t="inlineStr">
        <is>
          <t>WHA</t>
        </is>
      </c>
      <c r="C6" s="468" t="n">
        <v>10800</v>
      </c>
      <c r="D6" s="480" t="inlineStr">
        <is>
          <t>BUY</t>
        </is>
      </c>
      <c r="E6" s="469" t="n">
        <v>4.38</v>
      </c>
      <c r="F6" s="468" t="n">
        <v>108</v>
      </c>
      <c r="G6" s="471">
        <f>C6*E6</f>
        <v/>
      </c>
      <c r="H6" s="502" t="inlineStr">
        <is>
          <t>—</t>
        </is>
      </c>
      <c r="I6" s="503" t="inlineStr">
        <is>
          <t>BUY (Day 1)</t>
        </is>
      </c>
    </row>
    <row r="7" ht="20" customHeight="1">
      <c r="A7" s="500" t="inlineStr">
        <is>
          <t>2026-04-27</t>
        </is>
      </c>
      <c r="B7" s="501" t="inlineStr">
        <is>
          <t>KTC</t>
        </is>
      </c>
      <c r="C7" s="468" t="n">
        <v>1600</v>
      </c>
      <c r="D7" s="480" t="inlineStr">
        <is>
          <t>BUY</t>
        </is>
      </c>
      <c r="E7" s="469" t="n">
        <v>29.25</v>
      </c>
      <c r="F7" s="468" t="n">
        <v>16</v>
      </c>
      <c r="G7" s="471">
        <f>C7*E7</f>
        <v/>
      </c>
      <c r="H7" s="502" t="inlineStr">
        <is>
          <t>—</t>
        </is>
      </c>
      <c r="I7" s="503" t="inlineStr">
        <is>
          <t>BUY (Day 1)</t>
        </is>
      </c>
    </row>
    <row r="8" ht="20" customHeight="1">
      <c r="A8" s="500" t="inlineStr">
        <is>
          <t>2026-04-27</t>
        </is>
      </c>
      <c r="B8" s="501" t="inlineStr">
        <is>
          <t>JASIF</t>
        </is>
      </c>
      <c r="C8" s="468" t="n">
        <v>7000</v>
      </c>
      <c r="D8" s="480" t="inlineStr">
        <is>
          <t>BUY</t>
        </is>
      </c>
      <c r="E8" s="469" t="n">
        <v>6.7</v>
      </c>
      <c r="F8" s="468" t="n">
        <v>70</v>
      </c>
      <c r="G8" s="471">
        <f>C8*E8</f>
        <v/>
      </c>
      <c r="H8" s="502" t="inlineStr">
        <is>
          <t>—</t>
        </is>
      </c>
      <c r="I8" s="503" t="inlineStr">
        <is>
          <t>BUY (Day 1)</t>
        </is>
      </c>
    </row>
    <row r="9" ht="22" customHeight="1">
      <c r="G9" s="496" t="inlineStr">
        <is>
          <t>TODAY'S P&amp;L</t>
        </is>
      </c>
      <c r="H9" s="504">
        <f>SUM(H3:H8)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64" t="inlineStr">
        <is>
          <t>Complete Trade History  —  since 2026-04-27</t>
        </is>
      </c>
    </row>
    <row r="2" ht="22" customHeight="1">
      <c r="A2" s="465" t="inlineStr">
        <is>
          <t>Date</t>
        </is>
      </c>
      <c r="B2" s="465" t="inlineStr">
        <is>
          <t>Ticker</t>
        </is>
      </c>
      <c r="C2" s="465" t="inlineStr">
        <is>
          <t>Stock</t>
        </is>
      </c>
      <c r="D2" s="465" t="inlineStr">
        <is>
          <t>Action</t>
        </is>
      </c>
      <c r="E2" s="465" t="inlineStr">
        <is>
          <t>Shares</t>
        </is>
      </c>
      <c r="F2" s="465" t="inlineStr">
        <is>
          <t>Price (฿)</t>
        </is>
      </c>
      <c r="G2" s="465" t="inlineStr">
        <is>
          <t>Lots</t>
        </is>
      </c>
      <c r="H2" s="465" t="inlineStr">
        <is>
          <t>Value (฿)</t>
        </is>
      </c>
      <c r="I2" s="465" t="inlineStr">
        <is>
          <t>Realised P&amp;L (฿)</t>
        </is>
      </c>
      <c r="J2" s="465" t="inlineStr">
        <is>
          <t>Reason / Signal</t>
        </is>
      </c>
    </row>
    <row r="3" ht="17" customHeight="1">
      <c r="A3" s="505" t="inlineStr">
        <is>
          <t>2026-04-27</t>
        </is>
      </c>
      <c r="B3" s="506" t="inlineStr">
        <is>
          <t>AMATA.BK</t>
        </is>
      </c>
      <c r="C3" s="507" t="inlineStr">
        <is>
          <t>AMATA</t>
        </is>
      </c>
      <c r="D3" s="508" t="inlineStr">
        <is>
          <t>BUY</t>
        </is>
      </c>
      <c r="E3" s="509" t="n">
        <v>2300</v>
      </c>
      <c r="F3" s="510" t="n">
        <v>20.3</v>
      </c>
      <c r="G3" s="509" t="n">
        <v>23</v>
      </c>
      <c r="H3" s="511">
        <f>E3*F3</f>
        <v/>
      </c>
      <c r="I3" s="512" t="inlineStr">
        <is>
          <t>—</t>
        </is>
      </c>
      <c r="J3" s="513" t="inlineStr">
        <is>
          <t>BUY (Day 1)</t>
        </is>
      </c>
    </row>
    <row r="4" ht="17" customHeight="1">
      <c r="A4" s="514" t="inlineStr">
        <is>
          <t>2026-04-27</t>
        </is>
      </c>
      <c r="B4" s="515" t="inlineStr">
        <is>
          <t>CK.BK</t>
        </is>
      </c>
      <c r="C4" s="482" t="inlineStr">
        <is>
          <t>CK</t>
        </is>
      </c>
      <c r="D4" s="508" t="inlineStr">
        <is>
          <t>BUY</t>
        </is>
      </c>
      <c r="E4" s="483" t="n">
        <v>2800</v>
      </c>
      <c r="F4" s="484" t="n">
        <v>16.5</v>
      </c>
      <c r="G4" s="483" t="n">
        <v>28</v>
      </c>
      <c r="H4" s="486">
        <f>E4*F4</f>
        <v/>
      </c>
      <c r="I4" s="516" t="inlineStr">
        <is>
          <t>—</t>
        </is>
      </c>
      <c r="J4" s="517" t="inlineStr">
        <is>
          <t>BUY (Day 1)</t>
        </is>
      </c>
    </row>
    <row r="5" ht="17" customHeight="1">
      <c r="A5" s="505" t="inlineStr">
        <is>
          <t>2026-04-27</t>
        </is>
      </c>
      <c r="B5" s="506" t="inlineStr">
        <is>
          <t>TIDLOR.BK</t>
        </is>
      </c>
      <c r="C5" s="507" t="inlineStr">
        <is>
          <t>TIDLOR</t>
        </is>
      </c>
      <c r="D5" s="508" t="inlineStr">
        <is>
          <t>BUY</t>
        </is>
      </c>
      <c r="E5" s="509" t="n">
        <v>2700</v>
      </c>
      <c r="F5" s="510" t="n">
        <v>17.4</v>
      </c>
      <c r="G5" s="509" t="n">
        <v>27</v>
      </c>
      <c r="H5" s="511">
        <f>E5*F5</f>
        <v/>
      </c>
      <c r="I5" s="512" t="inlineStr">
        <is>
          <t>—</t>
        </is>
      </c>
      <c r="J5" s="513" t="inlineStr">
        <is>
          <t>BUY (Day 1)</t>
        </is>
      </c>
    </row>
    <row r="6" ht="17" customHeight="1">
      <c r="A6" s="514" t="inlineStr">
        <is>
          <t>2026-04-27</t>
        </is>
      </c>
      <c r="B6" s="515" t="inlineStr">
        <is>
          <t>WHA.BK</t>
        </is>
      </c>
      <c r="C6" s="482" t="inlineStr">
        <is>
          <t>WHA</t>
        </is>
      </c>
      <c r="D6" s="508" t="inlineStr">
        <is>
          <t>BUY</t>
        </is>
      </c>
      <c r="E6" s="483" t="n">
        <v>10800</v>
      </c>
      <c r="F6" s="484" t="n">
        <v>4.38</v>
      </c>
      <c r="G6" s="483" t="n">
        <v>108</v>
      </c>
      <c r="H6" s="486">
        <f>E6*F6</f>
        <v/>
      </c>
      <c r="I6" s="516" t="inlineStr">
        <is>
          <t>—</t>
        </is>
      </c>
      <c r="J6" s="517" t="inlineStr">
        <is>
          <t>BUY (Day 1)</t>
        </is>
      </c>
    </row>
    <row r="7" ht="17" customHeight="1">
      <c r="A7" s="505" t="inlineStr">
        <is>
          <t>2026-04-27</t>
        </is>
      </c>
      <c r="B7" s="506" t="inlineStr">
        <is>
          <t>KTC.BK</t>
        </is>
      </c>
      <c r="C7" s="507" t="inlineStr">
        <is>
          <t>KTC</t>
        </is>
      </c>
      <c r="D7" s="508" t="inlineStr">
        <is>
          <t>BUY</t>
        </is>
      </c>
      <c r="E7" s="509" t="n">
        <v>1600</v>
      </c>
      <c r="F7" s="510" t="n">
        <v>29.25</v>
      </c>
      <c r="G7" s="509" t="n">
        <v>16</v>
      </c>
      <c r="H7" s="511">
        <f>E7*F7</f>
        <v/>
      </c>
      <c r="I7" s="512" t="inlineStr">
        <is>
          <t>—</t>
        </is>
      </c>
      <c r="J7" s="513" t="inlineStr">
        <is>
          <t>BUY (Day 1)</t>
        </is>
      </c>
    </row>
    <row r="8" ht="17" customHeight="1">
      <c r="A8" s="514" t="inlineStr">
        <is>
          <t>2026-04-27</t>
        </is>
      </c>
      <c r="B8" s="515" t="inlineStr">
        <is>
          <t>JASIF.BK</t>
        </is>
      </c>
      <c r="C8" s="482" t="inlineStr">
        <is>
          <t>JASIF</t>
        </is>
      </c>
      <c r="D8" s="508" t="inlineStr">
        <is>
          <t>BUY</t>
        </is>
      </c>
      <c r="E8" s="483" t="n">
        <v>7000</v>
      </c>
      <c r="F8" s="484" t="n">
        <v>6.7</v>
      </c>
      <c r="G8" s="483" t="n">
        <v>70</v>
      </c>
      <c r="H8" s="486">
        <f>E8*F8</f>
        <v/>
      </c>
      <c r="I8" s="516" t="inlineStr">
        <is>
          <t>—</t>
        </is>
      </c>
      <c r="J8" s="517" t="inlineStr">
        <is>
          <t>BUY (Day 1)</t>
        </is>
      </c>
    </row>
    <row r="10" ht="22" customHeight="1">
      <c r="G10" s="52" t="inlineStr">
        <is>
          <t>TOTAL TRADES</t>
        </is>
      </c>
      <c r="H10" s="518">
        <f>SUM(H3:H8)</f>
        <v/>
      </c>
      <c r="I10" s="518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2026-04-27T13:10:15Z</dcterms:modified>
</cp:coreProperties>
</file>