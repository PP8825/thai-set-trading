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/>
    </xf>
    <xf numFmtId="168" fontId="3" fillId="4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/>
    </xf>
    <xf numFmtId="168" fontId="3" fillId="4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/>
    </xf>
    <xf numFmtId="168" fontId="3" fillId="4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318" t="inlineStr">
        <is>
          <t>2026-04-22</t>
        </is>
      </c>
      <c r="B2" s="319" t="n">
        <v>3</v>
      </c>
      <c r="C2" s="320" t="n">
        <v>303748.3059307933</v>
      </c>
      <c r="D2" s="321" t="n">
        <v>29448.30848187208</v>
      </c>
      <c r="E2" s="322" t="n">
        <v>274299.9974489212</v>
      </c>
      <c r="F2" s="323" t="n">
        <v>3748.305930793285</v>
      </c>
      <c r="G2" s="324" t="n">
        <v>0.01249435310264429</v>
      </c>
      <c r="H2" s="325" t="n">
        <v>0</v>
      </c>
      <c r="I2" s="326" t="n">
        <v>0</v>
      </c>
      <c r="J2" s="327" t="n">
        <v>10</v>
      </c>
      <c r="K2" s="328" t="n">
        <v>0</v>
      </c>
      <c r="L2" s="329" t="n">
        <v>0</v>
      </c>
    </row>
    <row r="3" ht="20" customHeight="1">
      <c r="A3" s="318" t="inlineStr">
        <is>
          <t>2026-04-23</t>
        </is>
      </c>
      <c r="B3" s="190" t="n">
        <v>4</v>
      </c>
      <c r="C3" s="191" t="n">
        <v>299325.3084818721</v>
      </c>
      <c r="D3" s="192" t="n">
        <v>29448.30848187208</v>
      </c>
      <c r="E3" s="193" t="n">
        <v>269877</v>
      </c>
      <c r="F3" s="194" t="n">
        <v>-674.6915181279182</v>
      </c>
      <c r="G3" s="195" t="n">
        <v>-0.002248971727093061</v>
      </c>
      <c r="H3" s="196" t="n">
        <v>0</v>
      </c>
      <c r="I3" s="197" t="n">
        <v>-0.01456138968534346</v>
      </c>
      <c r="J3" s="198" t="n">
        <v>10</v>
      </c>
      <c r="K3" s="199" t="n">
        <v>0</v>
      </c>
      <c r="L3" s="200" t="n">
        <v>0</v>
      </c>
    </row>
    <row r="4" ht="20" customHeight="1">
      <c r="A4" s="318" t="inlineStr">
        <is>
          <t>2026-04-24</t>
        </is>
      </c>
      <c r="B4" s="190" t="n">
        <v>5</v>
      </c>
      <c r="C4" s="191" t="n">
        <v>299017.3066517711</v>
      </c>
      <c r="D4" s="192" t="n">
        <v>29448.30848187208</v>
      </c>
      <c r="E4" s="193" t="n">
        <v>269568.998169899</v>
      </c>
      <c r="F4" s="194" t="n">
        <v>-982.6933482289314</v>
      </c>
      <c r="G4" s="195" t="n">
        <v>-0.003275644494096438</v>
      </c>
      <c r="H4" s="196" t="n">
        <v>0</v>
      </c>
      <c r="I4" s="197" t="n">
        <v>-0.01557539313519707</v>
      </c>
      <c r="J4" s="198" t="n">
        <v>10</v>
      </c>
      <c r="K4" s="199" t="n">
        <v>0</v>
      </c>
      <c r="L4" s="200" t="n">
        <v>0</v>
      </c>
    </row>
    <row r="5" ht="20" customHeight="1">
      <c r="A5" s="385" t="inlineStr">
        <is>
          <t>2026-04-27</t>
        </is>
      </c>
      <c r="B5" s="386" t="n">
        <v>4</v>
      </c>
      <c r="C5" s="387" t="n">
        <v>300229.8165025711</v>
      </c>
      <c r="D5" s="388" t="n">
        <v>18423.81789112091</v>
      </c>
      <c r="E5" s="389" t="n">
        <v>281805.9986114502</v>
      </c>
      <c r="F5" s="390" t="n">
        <v>229.816502571106</v>
      </c>
      <c r="G5" s="391" t="n">
        <v>0.0007660550085703531</v>
      </c>
      <c r="H5" s="392" t="n">
        <v>0</v>
      </c>
      <c r="I5" s="393" t="n">
        <v>0</v>
      </c>
      <c r="J5" s="394" t="n">
        <v>6</v>
      </c>
      <c r="K5" s="395" t="n">
        <v>6</v>
      </c>
      <c r="L5" s="39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397" t="inlineStr">
        <is>
          <t>Current Holdings  —  27 Apr 2026</t>
        </is>
      </c>
    </row>
    <row r="2" ht="22" customHeight="1">
      <c r="A2" s="398" t="inlineStr">
        <is>
          <t>Ticker</t>
        </is>
      </c>
      <c r="B2" s="398" t="inlineStr">
        <is>
          <t>Stock Name</t>
        </is>
      </c>
      <c r="C2" s="398" t="inlineStr">
        <is>
          <t>Shares</t>
        </is>
      </c>
      <c r="D2" s="398" t="inlineStr">
        <is>
          <t>Avg Cost (฿)</t>
        </is>
      </c>
      <c r="E2" s="398" t="inlineStr">
        <is>
          <t>Current Price (฿)</t>
        </is>
      </c>
      <c r="F2" s="398" t="inlineStr">
        <is>
          <t>Market Value (฿)</t>
        </is>
      </c>
      <c r="G2" s="398" t="inlineStr">
        <is>
          <t>Unrealised P&amp;L (฿)</t>
        </is>
      </c>
      <c r="H2" s="398" t="inlineStr">
        <is>
          <t>P&amp;L %</t>
        </is>
      </c>
      <c r="I2" s="398" t="inlineStr">
        <is>
          <t>Entry Date</t>
        </is>
      </c>
      <c r="J2" s="398" t="inlineStr">
        <is>
          <t>Comp Score</t>
        </is>
      </c>
      <c r="K2" s="398" t="inlineStr">
        <is>
          <t>Signal</t>
        </is>
      </c>
    </row>
    <row r="3" ht="20" customHeight="1">
      <c r="A3" s="399" t="inlineStr">
        <is>
          <t>WHA.BK</t>
        </is>
      </c>
      <c r="B3" s="400" t="inlineStr">
        <is>
          <t>WHA</t>
        </is>
      </c>
      <c r="C3" s="401" t="n">
        <v>10800</v>
      </c>
      <c r="D3" s="402" t="n">
        <v>4.38</v>
      </c>
      <c r="E3" s="403" t="n">
        <v>4.420000076293945</v>
      </c>
      <c r="F3" s="404">
        <f>C3*E3</f>
        <v/>
      </c>
      <c r="G3" s="405">
        <f>F3-C3*D3</f>
        <v/>
      </c>
      <c r="H3" s="406">
        <f>(E3-D3)/D3</f>
        <v/>
      </c>
      <c r="I3" s="407" t="inlineStr">
        <is>
          <t>2026-04-27</t>
        </is>
      </c>
      <c r="J3" s="408" t="n">
        <v>6.92</v>
      </c>
      <c r="K3" s="409" t="inlineStr">
        <is>
          <t>WEAK</t>
        </is>
      </c>
    </row>
    <row r="4" ht="20" customHeight="1">
      <c r="A4" s="399" t="inlineStr">
        <is>
          <t>TIDLOR.BK</t>
        </is>
      </c>
      <c r="B4" s="400" t="inlineStr">
        <is>
          <t>TIDLOR</t>
        </is>
      </c>
      <c r="C4" s="401" t="n">
        <v>2700</v>
      </c>
      <c r="D4" s="402" t="n">
        <v>17.4</v>
      </c>
      <c r="E4" s="403" t="n">
        <v>17.5</v>
      </c>
      <c r="F4" s="404">
        <f>C4*E4</f>
        <v/>
      </c>
      <c r="G4" s="405">
        <f>F4-C4*D4</f>
        <v/>
      </c>
      <c r="H4" s="406">
        <f>(E4-D4)/D4</f>
        <v/>
      </c>
      <c r="I4" s="407" t="inlineStr">
        <is>
          <t>2026-04-27</t>
        </is>
      </c>
      <c r="J4" s="410" t="n">
        <v>6.32</v>
      </c>
      <c r="K4" s="411" t="inlineStr">
        <is>
          <t>AVOID</t>
        </is>
      </c>
    </row>
    <row r="5" ht="20" customHeight="1">
      <c r="A5" s="399" t="inlineStr">
        <is>
          <t>AMATA.BK</t>
        </is>
      </c>
      <c r="B5" s="400" t="inlineStr">
        <is>
          <t>AMATA</t>
        </is>
      </c>
      <c r="C5" s="401" t="n">
        <v>2300</v>
      </c>
      <c r="D5" s="402" t="n">
        <v>20.3</v>
      </c>
      <c r="E5" s="403" t="n">
        <v>20.39999961853027</v>
      </c>
      <c r="F5" s="404">
        <f>C5*E5</f>
        <v/>
      </c>
      <c r="G5" s="405">
        <f>F5-C5*D5</f>
        <v/>
      </c>
      <c r="H5" s="406">
        <f>(E5-D5)/D5</f>
        <v/>
      </c>
      <c r="I5" s="407" t="inlineStr">
        <is>
          <t>2026-04-27</t>
        </is>
      </c>
      <c r="J5" s="412" t="n">
        <v>7.76</v>
      </c>
      <c r="K5" s="413" t="inlineStr">
        <is>
          <t>BUY</t>
        </is>
      </c>
    </row>
    <row r="6" ht="20" customHeight="1">
      <c r="A6" s="414" t="inlineStr">
        <is>
          <t>JASIF.BK</t>
        </is>
      </c>
      <c r="B6" s="415" t="inlineStr">
        <is>
          <t>JASIF</t>
        </is>
      </c>
      <c r="C6" s="416" t="n">
        <v>7000</v>
      </c>
      <c r="D6" s="417" t="n">
        <v>6.7</v>
      </c>
      <c r="E6" s="418" t="n">
        <v>6.699999809265137</v>
      </c>
      <c r="F6" s="419">
        <f>C6*E6</f>
        <v/>
      </c>
      <c r="G6" s="420">
        <f>F6-C6*D6</f>
        <v/>
      </c>
      <c r="H6" s="421">
        <f>(E6-D6)/D6</f>
        <v/>
      </c>
      <c r="I6" s="422" t="inlineStr">
        <is>
          <t>2026-04-27</t>
        </is>
      </c>
      <c r="J6" s="423" t="n">
        <v>5.48</v>
      </c>
      <c r="K6" s="424" t="inlineStr">
        <is>
          <t>AVOID</t>
        </is>
      </c>
    </row>
    <row r="7" ht="20" customHeight="1">
      <c r="A7" s="414" t="inlineStr">
        <is>
          <t>KTC.BK</t>
        </is>
      </c>
      <c r="B7" s="415" t="inlineStr">
        <is>
          <t>KTC</t>
        </is>
      </c>
      <c r="C7" s="416" t="n">
        <v>1600</v>
      </c>
      <c r="D7" s="417" t="n">
        <v>29.25</v>
      </c>
      <c r="E7" s="418" t="n">
        <v>29.25</v>
      </c>
      <c r="F7" s="419">
        <f>C7*E7</f>
        <v/>
      </c>
      <c r="G7" s="425">
        <f>F7-C7*D7</f>
        <v/>
      </c>
      <c r="H7" s="426">
        <f>(E7-D7)/D7</f>
        <v/>
      </c>
      <c r="I7" s="422" t="inlineStr">
        <is>
          <t>2026-04-27</t>
        </is>
      </c>
      <c r="J7" s="427" t="n">
        <v>6.52</v>
      </c>
      <c r="K7" s="428" t="inlineStr">
        <is>
          <t>WEAK</t>
        </is>
      </c>
    </row>
    <row r="8" ht="20" customHeight="1">
      <c r="A8" s="414" t="inlineStr">
        <is>
          <t>CK.BK</t>
        </is>
      </c>
      <c r="B8" s="415" t="inlineStr">
        <is>
          <t>CK</t>
        </is>
      </c>
      <c r="C8" s="416" t="n">
        <v>2800</v>
      </c>
      <c r="D8" s="417" t="n">
        <v>16.5</v>
      </c>
      <c r="E8" s="418" t="n">
        <v>16.5</v>
      </c>
      <c r="F8" s="419">
        <f>C8*E8</f>
        <v/>
      </c>
      <c r="G8" s="425">
        <f>F8-C8*D8</f>
        <v/>
      </c>
      <c r="H8" s="426">
        <f>(E8-D8)/D8</f>
        <v/>
      </c>
      <c r="I8" s="422" t="inlineStr">
        <is>
          <t>2026-04-27</t>
        </is>
      </c>
      <c r="J8" s="423" t="n">
        <v>6.32</v>
      </c>
      <c r="K8" s="424" t="inlineStr">
        <is>
          <t>AVOID</t>
        </is>
      </c>
    </row>
    <row r="9" ht="22" customHeight="1">
      <c r="B9" s="429" t="inlineStr">
        <is>
          <t>TOTAL</t>
        </is>
      </c>
      <c r="F9" s="430">
        <f>SUM(F3:F8)</f>
        <v/>
      </c>
      <c r="G9" s="431">
        <f>SUM(G3:G8)</f>
        <v/>
      </c>
      <c r="H9" s="432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397" t="inlineStr">
        <is>
          <t>Today's Trades  —  27 Apr 2026</t>
        </is>
      </c>
    </row>
    <row r="2" ht="22" customHeight="1">
      <c r="A2" s="398" t="inlineStr">
        <is>
          <t>Date</t>
        </is>
      </c>
      <c r="B2" s="398" t="inlineStr">
        <is>
          <t>Stock</t>
        </is>
      </c>
      <c r="C2" s="398" t="inlineStr">
        <is>
          <t>Shares</t>
        </is>
      </c>
      <c r="D2" s="398" t="inlineStr">
        <is>
          <t>Action</t>
        </is>
      </c>
      <c r="E2" s="398" t="inlineStr">
        <is>
          <t>Price (฿)</t>
        </is>
      </c>
      <c r="F2" s="398" t="inlineStr">
        <is>
          <t>Lots</t>
        </is>
      </c>
      <c r="G2" s="398" t="inlineStr">
        <is>
          <t>Value (฿)</t>
        </is>
      </c>
      <c r="H2" s="398" t="inlineStr">
        <is>
          <t>Realised P&amp;L (฿)</t>
        </is>
      </c>
      <c r="I2" s="398" t="inlineStr">
        <is>
          <t>Reason / Signal</t>
        </is>
      </c>
    </row>
    <row r="3" ht="20" customHeight="1">
      <c r="A3" s="433" t="inlineStr">
        <is>
          <t>2026-04-27</t>
        </is>
      </c>
      <c r="B3" s="434" t="inlineStr">
        <is>
          <t>AMATA</t>
        </is>
      </c>
      <c r="C3" s="401" t="n">
        <v>2300</v>
      </c>
      <c r="D3" s="413" t="inlineStr">
        <is>
          <t>BUY</t>
        </is>
      </c>
      <c r="E3" s="402" t="n">
        <v>20.3</v>
      </c>
      <c r="F3" s="401" t="n">
        <v>23</v>
      </c>
      <c r="G3" s="404">
        <f>C3*E3</f>
        <v/>
      </c>
      <c r="H3" s="435" t="inlineStr">
        <is>
          <t>—</t>
        </is>
      </c>
      <c r="I3" s="436" t="inlineStr">
        <is>
          <t>BUY (Day 1)</t>
        </is>
      </c>
    </row>
    <row r="4" ht="20" customHeight="1">
      <c r="A4" s="433" t="inlineStr">
        <is>
          <t>2026-04-27</t>
        </is>
      </c>
      <c r="B4" s="434" t="inlineStr">
        <is>
          <t>CK</t>
        </is>
      </c>
      <c r="C4" s="401" t="n">
        <v>2800</v>
      </c>
      <c r="D4" s="413" t="inlineStr">
        <is>
          <t>BUY</t>
        </is>
      </c>
      <c r="E4" s="402" t="n">
        <v>16.5</v>
      </c>
      <c r="F4" s="401" t="n">
        <v>28</v>
      </c>
      <c r="G4" s="404">
        <f>C4*E4</f>
        <v/>
      </c>
      <c r="H4" s="435" t="inlineStr">
        <is>
          <t>—</t>
        </is>
      </c>
      <c r="I4" s="436" t="inlineStr">
        <is>
          <t>BUY (Day 1)</t>
        </is>
      </c>
    </row>
    <row r="5" ht="20" customHeight="1">
      <c r="A5" s="433" t="inlineStr">
        <is>
          <t>2026-04-27</t>
        </is>
      </c>
      <c r="B5" s="434" t="inlineStr">
        <is>
          <t>TIDLOR</t>
        </is>
      </c>
      <c r="C5" s="401" t="n">
        <v>2700</v>
      </c>
      <c r="D5" s="413" t="inlineStr">
        <is>
          <t>BUY</t>
        </is>
      </c>
      <c r="E5" s="402" t="n">
        <v>17.4</v>
      </c>
      <c r="F5" s="401" t="n">
        <v>27</v>
      </c>
      <c r="G5" s="404">
        <f>C5*E5</f>
        <v/>
      </c>
      <c r="H5" s="435" t="inlineStr">
        <is>
          <t>—</t>
        </is>
      </c>
      <c r="I5" s="436" t="inlineStr">
        <is>
          <t>BUY (Day 1)</t>
        </is>
      </c>
    </row>
    <row r="6" ht="20" customHeight="1">
      <c r="A6" s="433" t="inlineStr">
        <is>
          <t>2026-04-27</t>
        </is>
      </c>
      <c r="B6" s="434" t="inlineStr">
        <is>
          <t>WHA</t>
        </is>
      </c>
      <c r="C6" s="401" t="n">
        <v>10800</v>
      </c>
      <c r="D6" s="413" t="inlineStr">
        <is>
          <t>BUY</t>
        </is>
      </c>
      <c r="E6" s="402" t="n">
        <v>4.38</v>
      </c>
      <c r="F6" s="401" t="n">
        <v>108</v>
      </c>
      <c r="G6" s="404">
        <f>C6*E6</f>
        <v/>
      </c>
      <c r="H6" s="435" t="inlineStr">
        <is>
          <t>—</t>
        </is>
      </c>
      <c r="I6" s="436" t="inlineStr">
        <is>
          <t>BUY (Day 1)</t>
        </is>
      </c>
    </row>
    <row r="7" ht="20" customHeight="1">
      <c r="A7" s="433" t="inlineStr">
        <is>
          <t>2026-04-27</t>
        </is>
      </c>
      <c r="B7" s="434" t="inlineStr">
        <is>
          <t>KTC</t>
        </is>
      </c>
      <c r="C7" s="401" t="n">
        <v>1600</v>
      </c>
      <c r="D7" s="413" t="inlineStr">
        <is>
          <t>BUY</t>
        </is>
      </c>
      <c r="E7" s="402" t="n">
        <v>29.25</v>
      </c>
      <c r="F7" s="401" t="n">
        <v>16</v>
      </c>
      <c r="G7" s="404">
        <f>C7*E7</f>
        <v/>
      </c>
      <c r="H7" s="435" t="inlineStr">
        <is>
          <t>—</t>
        </is>
      </c>
      <c r="I7" s="436" t="inlineStr">
        <is>
          <t>BUY (Day 1)</t>
        </is>
      </c>
    </row>
    <row r="8" ht="20" customHeight="1">
      <c r="A8" s="433" t="inlineStr">
        <is>
          <t>2026-04-27</t>
        </is>
      </c>
      <c r="B8" s="434" t="inlineStr">
        <is>
          <t>JASIF</t>
        </is>
      </c>
      <c r="C8" s="401" t="n">
        <v>7000</v>
      </c>
      <c r="D8" s="413" t="inlineStr">
        <is>
          <t>BUY</t>
        </is>
      </c>
      <c r="E8" s="402" t="n">
        <v>6.7</v>
      </c>
      <c r="F8" s="401" t="n">
        <v>70</v>
      </c>
      <c r="G8" s="404">
        <f>C8*E8</f>
        <v/>
      </c>
      <c r="H8" s="435" t="inlineStr">
        <is>
          <t>—</t>
        </is>
      </c>
      <c r="I8" s="436" t="inlineStr">
        <is>
          <t>BUY (Day 1)</t>
        </is>
      </c>
    </row>
    <row r="9" ht="22" customHeight="1">
      <c r="G9" s="429" t="inlineStr">
        <is>
          <t>TODAY'S P&amp;L</t>
        </is>
      </c>
      <c r="H9" s="437">
        <f>SUM(H3:H8)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397" t="inlineStr">
        <is>
          <t>Complete Trade History  —  since 2026-04-27</t>
        </is>
      </c>
    </row>
    <row r="2" ht="22" customHeight="1">
      <c r="A2" s="398" t="inlineStr">
        <is>
          <t>Date</t>
        </is>
      </c>
      <c r="B2" s="398" t="inlineStr">
        <is>
          <t>Ticker</t>
        </is>
      </c>
      <c r="C2" s="398" t="inlineStr">
        <is>
          <t>Stock</t>
        </is>
      </c>
      <c r="D2" s="398" t="inlineStr">
        <is>
          <t>Action</t>
        </is>
      </c>
      <c r="E2" s="398" t="inlineStr">
        <is>
          <t>Shares</t>
        </is>
      </c>
      <c r="F2" s="398" t="inlineStr">
        <is>
          <t>Price (฿)</t>
        </is>
      </c>
      <c r="G2" s="398" t="inlineStr">
        <is>
          <t>Lots</t>
        </is>
      </c>
      <c r="H2" s="398" t="inlineStr">
        <is>
          <t>Value (฿)</t>
        </is>
      </c>
      <c r="I2" s="398" t="inlineStr">
        <is>
          <t>Realised P&amp;L (฿)</t>
        </is>
      </c>
      <c r="J2" s="398" t="inlineStr">
        <is>
          <t>Reason / Signal</t>
        </is>
      </c>
    </row>
    <row r="3" ht="17" customHeight="1">
      <c r="A3" s="438" t="inlineStr">
        <is>
          <t>2026-04-27</t>
        </is>
      </c>
      <c r="B3" s="439" t="inlineStr">
        <is>
          <t>AMATA.BK</t>
        </is>
      </c>
      <c r="C3" s="440" t="inlineStr">
        <is>
          <t>AMATA</t>
        </is>
      </c>
      <c r="D3" s="441" t="inlineStr">
        <is>
          <t>BUY</t>
        </is>
      </c>
      <c r="E3" s="442" t="n">
        <v>2300</v>
      </c>
      <c r="F3" s="443" t="n">
        <v>20.3</v>
      </c>
      <c r="G3" s="442" t="n">
        <v>23</v>
      </c>
      <c r="H3" s="444">
        <f>E3*F3</f>
        <v/>
      </c>
      <c r="I3" s="445" t="inlineStr">
        <is>
          <t>—</t>
        </is>
      </c>
      <c r="J3" s="446" t="inlineStr">
        <is>
          <t>BUY (Day 1)</t>
        </is>
      </c>
    </row>
    <row r="4" ht="17" customHeight="1">
      <c r="A4" s="447" t="inlineStr">
        <is>
          <t>2026-04-27</t>
        </is>
      </c>
      <c r="B4" s="448" t="inlineStr">
        <is>
          <t>CK.BK</t>
        </is>
      </c>
      <c r="C4" s="415" t="inlineStr">
        <is>
          <t>CK</t>
        </is>
      </c>
      <c r="D4" s="441" t="inlineStr">
        <is>
          <t>BUY</t>
        </is>
      </c>
      <c r="E4" s="416" t="n">
        <v>2800</v>
      </c>
      <c r="F4" s="417" t="n">
        <v>16.5</v>
      </c>
      <c r="G4" s="416" t="n">
        <v>28</v>
      </c>
      <c r="H4" s="419">
        <f>E4*F4</f>
        <v/>
      </c>
      <c r="I4" s="449" t="inlineStr">
        <is>
          <t>—</t>
        </is>
      </c>
      <c r="J4" s="450" t="inlineStr">
        <is>
          <t>BUY (Day 1)</t>
        </is>
      </c>
    </row>
    <row r="5" ht="17" customHeight="1">
      <c r="A5" s="438" t="inlineStr">
        <is>
          <t>2026-04-27</t>
        </is>
      </c>
      <c r="B5" s="439" t="inlineStr">
        <is>
          <t>TIDLOR.BK</t>
        </is>
      </c>
      <c r="C5" s="440" t="inlineStr">
        <is>
          <t>TIDLOR</t>
        </is>
      </c>
      <c r="D5" s="441" t="inlineStr">
        <is>
          <t>BUY</t>
        </is>
      </c>
      <c r="E5" s="442" t="n">
        <v>2700</v>
      </c>
      <c r="F5" s="443" t="n">
        <v>17.4</v>
      </c>
      <c r="G5" s="442" t="n">
        <v>27</v>
      </c>
      <c r="H5" s="444">
        <f>E5*F5</f>
        <v/>
      </c>
      <c r="I5" s="445" t="inlineStr">
        <is>
          <t>—</t>
        </is>
      </c>
      <c r="J5" s="446" t="inlineStr">
        <is>
          <t>BUY (Day 1)</t>
        </is>
      </c>
    </row>
    <row r="6" ht="17" customHeight="1">
      <c r="A6" s="447" t="inlineStr">
        <is>
          <t>2026-04-27</t>
        </is>
      </c>
      <c r="B6" s="448" t="inlineStr">
        <is>
          <t>WHA.BK</t>
        </is>
      </c>
      <c r="C6" s="415" t="inlineStr">
        <is>
          <t>WHA</t>
        </is>
      </c>
      <c r="D6" s="441" t="inlineStr">
        <is>
          <t>BUY</t>
        </is>
      </c>
      <c r="E6" s="416" t="n">
        <v>10800</v>
      </c>
      <c r="F6" s="417" t="n">
        <v>4.38</v>
      </c>
      <c r="G6" s="416" t="n">
        <v>108</v>
      </c>
      <c r="H6" s="419">
        <f>E6*F6</f>
        <v/>
      </c>
      <c r="I6" s="449" t="inlineStr">
        <is>
          <t>—</t>
        </is>
      </c>
      <c r="J6" s="450" t="inlineStr">
        <is>
          <t>BUY (Day 1)</t>
        </is>
      </c>
    </row>
    <row r="7" ht="17" customHeight="1">
      <c r="A7" s="438" t="inlineStr">
        <is>
          <t>2026-04-27</t>
        </is>
      </c>
      <c r="B7" s="439" t="inlineStr">
        <is>
          <t>KTC.BK</t>
        </is>
      </c>
      <c r="C7" s="440" t="inlineStr">
        <is>
          <t>KTC</t>
        </is>
      </c>
      <c r="D7" s="441" t="inlineStr">
        <is>
          <t>BUY</t>
        </is>
      </c>
      <c r="E7" s="442" t="n">
        <v>1600</v>
      </c>
      <c r="F7" s="443" t="n">
        <v>29.25</v>
      </c>
      <c r="G7" s="442" t="n">
        <v>16</v>
      </c>
      <c r="H7" s="444">
        <f>E7*F7</f>
        <v/>
      </c>
      <c r="I7" s="445" t="inlineStr">
        <is>
          <t>—</t>
        </is>
      </c>
      <c r="J7" s="446" t="inlineStr">
        <is>
          <t>BUY (Day 1)</t>
        </is>
      </c>
    </row>
    <row r="8" ht="17" customHeight="1">
      <c r="A8" s="447" t="inlineStr">
        <is>
          <t>2026-04-27</t>
        </is>
      </c>
      <c r="B8" s="448" t="inlineStr">
        <is>
          <t>JASIF.BK</t>
        </is>
      </c>
      <c r="C8" s="415" t="inlineStr">
        <is>
          <t>JASIF</t>
        </is>
      </c>
      <c r="D8" s="441" t="inlineStr">
        <is>
          <t>BUY</t>
        </is>
      </c>
      <c r="E8" s="416" t="n">
        <v>7000</v>
      </c>
      <c r="F8" s="417" t="n">
        <v>6.7</v>
      </c>
      <c r="G8" s="416" t="n">
        <v>70</v>
      </c>
      <c r="H8" s="419">
        <f>E8*F8</f>
        <v/>
      </c>
      <c r="I8" s="449" t="inlineStr">
        <is>
          <t>—</t>
        </is>
      </c>
      <c r="J8" s="450" t="inlineStr">
        <is>
          <t>BUY (Day 1)</t>
        </is>
      </c>
    </row>
    <row r="10" ht="22" customHeight="1">
      <c r="G10" s="52" t="inlineStr">
        <is>
          <t>TOTAL TRADES</t>
        </is>
      </c>
      <c r="H10" s="451">
        <f>SUM(H3:H8)</f>
        <v/>
      </c>
      <c r="I10" s="451">
        <f>SUM(I3:I8)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2026-04-27T12:21:19Z</dcterms:modified>
</cp:coreProperties>
</file>