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89" t="inlineStr">
        <is>
          <t>2026-04-22</t>
        </is>
      </c>
      <c r="B2" s="55" t="n">
        <v>3</v>
      </c>
      <c r="C2" s="56" t="n">
        <v>303748.3059307933</v>
      </c>
      <c r="D2" s="57" t="n">
        <v>29448.30848187208</v>
      </c>
      <c r="E2" s="58" t="n">
        <v>274299.9974489212</v>
      </c>
      <c r="F2" s="59" t="n">
        <v>3748.305930793285</v>
      </c>
      <c r="G2" s="60" t="n">
        <v>0.01249435310264429</v>
      </c>
      <c r="H2" s="61" t="n">
        <v>0</v>
      </c>
      <c r="I2" s="62" t="n">
        <v>0</v>
      </c>
      <c r="J2" s="63" t="n">
        <v>10</v>
      </c>
      <c r="K2" s="64" t="n">
        <v>0</v>
      </c>
      <c r="L2" s="65" t="n">
        <v>0</v>
      </c>
    </row>
    <row r="3" ht="20" customHeight="1">
      <c r="A3" s="189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189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251" t="inlineStr">
        <is>
          <t>2026-04-27</t>
        </is>
      </c>
      <c r="B5" s="252" t="n">
        <v>2</v>
      </c>
      <c r="C5" s="253" t="n">
        <v>300229.8165025711</v>
      </c>
      <c r="D5" s="254" t="n">
        <v>18423.81789112091</v>
      </c>
      <c r="E5" s="255" t="n">
        <v>281805.9986114502</v>
      </c>
      <c r="F5" s="256" t="n">
        <v>229.816502571106</v>
      </c>
      <c r="G5" s="257" t="n">
        <v>0.0007660550085703531</v>
      </c>
      <c r="H5" s="258" t="n">
        <v>0</v>
      </c>
      <c r="I5" s="259" t="n">
        <v>0</v>
      </c>
      <c r="J5" s="260" t="n">
        <v>6</v>
      </c>
      <c r="K5" s="261" t="n">
        <v>6</v>
      </c>
      <c r="L5" s="26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63" t="inlineStr">
        <is>
          <t>Current Holdings  —  27 Apr 2026</t>
        </is>
      </c>
    </row>
    <row r="2" ht="22" customHeight="1">
      <c r="A2" s="264" t="inlineStr">
        <is>
          <t>Ticker</t>
        </is>
      </c>
      <c r="B2" s="264" t="inlineStr">
        <is>
          <t>Stock Name</t>
        </is>
      </c>
      <c r="C2" s="264" t="inlineStr">
        <is>
          <t>Shares</t>
        </is>
      </c>
      <c r="D2" s="264" t="inlineStr">
        <is>
          <t>Avg Cost (฿)</t>
        </is>
      </c>
      <c r="E2" s="264" t="inlineStr">
        <is>
          <t>Current Price (฿)</t>
        </is>
      </c>
      <c r="F2" s="264" t="inlineStr">
        <is>
          <t>Market Value (฿)</t>
        </is>
      </c>
      <c r="G2" s="264" t="inlineStr">
        <is>
          <t>Unrealised P&amp;L (฿)</t>
        </is>
      </c>
      <c r="H2" s="264" t="inlineStr">
        <is>
          <t>P&amp;L %</t>
        </is>
      </c>
      <c r="I2" s="264" t="inlineStr">
        <is>
          <t>Entry Date</t>
        </is>
      </c>
      <c r="J2" s="264" t="inlineStr">
        <is>
          <t>Comp Score</t>
        </is>
      </c>
      <c r="K2" s="264" t="inlineStr">
        <is>
          <t>Signal</t>
        </is>
      </c>
    </row>
    <row r="3" ht="20" customHeight="1">
      <c r="A3" s="265" t="inlineStr">
        <is>
          <t>WHA.BK</t>
        </is>
      </c>
      <c r="B3" s="266" t="inlineStr">
        <is>
          <t>WHA</t>
        </is>
      </c>
      <c r="C3" s="267" t="n">
        <v>10800</v>
      </c>
      <c r="D3" s="268" t="n">
        <v>4.38</v>
      </c>
      <c r="E3" s="269" t="n">
        <v>4.420000076293945</v>
      </c>
      <c r="F3" s="270">
        <f>C3*E3</f>
        <v/>
      </c>
      <c r="G3" s="271">
        <f>F3-C3*D3</f>
        <v/>
      </c>
      <c r="H3" s="272">
        <f>(E3-D3)/D3</f>
        <v/>
      </c>
      <c r="I3" s="273" t="inlineStr">
        <is>
          <t>2026-04-27</t>
        </is>
      </c>
      <c r="J3" s="274" t="n">
        <v>6.92</v>
      </c>
      <c r="K3" s="275" t="inlineStr">
        <is>
          <t>WEAK</t>
        </is>
      </c>
    </row>
    <row r="4" ht="20" customHeight="1">
      <c r="A4" s="265" t="inlineStr">
        <is>
          <t>TIDLOR.BK</t>
        </is>
      </c>
      <c r="B4" s="266" t="inlineStr">
        <is>
          <t>TIDLOR</t>
        </is>
      </c>
      <c r="C4" s="267" t="n">
        <v>2700</v>
      </c>
      <c r="D4" s="268" t="n">
        <v>17.4</v>
      </c>
      <c r="E4" s="269" t="n">
        <v>17.5</v>
      </c>
      <c r="F4" s="270">
        <f>C4*E4</f>
        <v/>
      </c>
      <c r="G4" s="271">
        <f>F4-C4*D4</f>
        <v/>
      </c>
      <c r="H4" s="272">
        <f>(E4-D4)/D4</f>
        <v/>
      </c>
      <c r="I4" s="273" t="inlineStr">
        <is>
          <t>2026-04-27</t>
        </is>
      </c>
      <c r="J4" s="276" t="n">
        <v>6.32</v>
      </c>
      <c r="K4" s="277" t="inlineStr">
        <is>
          <t>AVOID</t>
        </is>
      </c>
    </row>
    <row r="5" ht="20" customHeight="1">
      <c r="A5" s="265" t="inlineStr">
        <is>
          <t>AMATA.BK</t>
        </is>
      </c>
      <c r="B5" s="266" t="inlineStr">
        <is>
          <t>AMATA</t>
        </is>
      </c>
      <c r="C5" s="267" t="n">
        <v>2300</v>
      </c>
      <c r="D5" s="268" t="n">
        <v>20.3</v>
      </c>
      <c r="E5" s="269" t="n">
        <v>20.39999961853027</v>
      </c>
      <c r="F5" s="270">
        <f>C5*E5</f>
        <v/>
      </c>
      <c r="G5" s="271">
        <f>F5-C5*D5</f>
        <v/>
      </c>
      <c r="H5" s="272">
        <f>(E5-D5)/D5</f>
        <v/>
      </c>
      <c r="I5" s="273" t="inlineStr">
        <is>
          <t>2026-04-27</t>
        </is>
      </c>
      <c r="J5" s="278" t="n">
        <v>7.76</v>
      </c>
      <c r="K5" s="279" t="inlineStr">
        <is>
          <t>BUY</t>
        </is>
      </c>
    </row>
    <row r="6" ht="20" customHeight="1">
      <c r="A6" s="280" t="inlineStr">
        <is>
          <t>JASIF.BK</t>
        </is>
      </c>
      <c r="B6" s="281" t="inlineStr">
        <is>
          <t>JASIF</t>
        </is>
      </c>
      <c r="C6" s="282" t="n">
        <v>7000</v>
      </c>
      <c r="D6" s="283" t="n">
        <v>6.7</v>
      </c>
      <c r="E6" s="284" t="n">
        <v>6.699999809265137</v>
      </c>
      <c r="F6" s="285">
        <f>C6*E6</f>
        <v/>
      </c>
      <c r="G6" s="286">
        <f>F6-C6*D6</f>
        <v/>
      </c>
      <c r="H6" s="287">
        <f>(E6-D6)/D6</f>
        <v/>
      </c>
      <c r="I6" s="288" t="inlineStr">
        <is>
          <t>2026-04-27</t>
        </is>
      </c>
      <c r="J6" s="289" t="n">
        <v>5.24</v>
      </c>
      <c r="K6" s="290" t="inlineStr">
        <is>
          <t>AVOID</t>
        </is>
      </c>
    </row>
    <row r="7" ht="20" customHeight="1">
      <c r="A7" s="280" t="inlineStr">
        <is>
          <t>KTC.BK</t>
        </is>
      </c>
      <c r="B7" s="281" t="inlineStr">
        <is>
          <t>KTC</t>
        </is>
      </c>
      <c r="C7" s="282" t="n">
        <v>1600</v>
      </c>
      <c r="D7" s="283" t="n">
        <v>29.25</v>
      </c>
      <c r="E7" s="284" t="n">
        <v>29.25</v>
      </c>
      <c r="F7" s="285">
        <f>C7*E7</f>
        <v/>
      </c>
      <c r="G7" s="291">
        <f>F7-C7*D7</f>
        <v/>
      </c>
      <c r="H7" s="292">
        <f>(E7-D7)/D7</f>
        <v/>
      </c>
      <c r="I7" s="288" t="inlineStr">
        <is>
          <t>2026-04-27</t>
        </is>
      </c>
      <c r="J7" s="293" t="n">
        <v>6.52</v>
      </c>
      <c r="K7" s="294" t="inlineStr">
        <is>
          <t>WEAK</t>
        </is>
      </c>
    </row>
    <row r="8" ht="20" customHeight="1">
      <c r="A8" s="280" t="inlineStr">
        <is>
          <t>CK.BK</t>
        </is>
      </c>
      <c r="B8" s="281" t="inlineStr">
        <is>
          <t>CK</t>
        </is>
      </c>
      <c r="C8" s="282" t="n">
        <v>2800</v>
      </c>
      <c r="D8" s="283" t="n">
        <v>16.5</v>
      </c>
      <c r="E8" s="284" t="n">
        <v>16.5</v>
      </c>
      <c r="F8" s="285">
        <f>C8*E8</f>
        <v/>
      </c>
      <c r="G8" s="291">
        <f>F8-C8*D8</f>
        <v/>
      </c>
      <c r="H8" s="292">
        <f>(E8-D8)/D8</f>
        <v/>
      </c>
      <c r="I8" s="288" t="inlineStr">
        <is>
          <t>2026-04-27</t>
        </is>
      </c>
      <c r="J8" s="289" t="n">
        <v>5.6</v>
      </c>
      <c r="K8" s="290" t="inlineStr">
        <is>
          <t>AVOID</t>
        </is>
      </c>
    </row>
    <row r="9" ht="22" customHeight="1">
      <c r="B9" s="295" t="inlineStr">
        <is>
          <t>TOTAL</t>
        </is>
      </c>
      <c r="F9" s="296">
        <f>SUM(F3:F8)</f>
        <v/>
      </c>
      <c r="G9" s="297">
        <f>SUM(G3:G8)</f>
        <v/>
      </c>
      <c r="H9" s="298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63" t="inlineStr">
        <is>
          <t>Today's Trades  —  27 Apr 2026</t>
        </is>
      </c>
    </row>
    <row r="2" ht="22" customHeight="1">
      <c r="A2" s="264" t="inlineStr">
        <is>
          <t>Date</t>
        </is>
      </c>
      <c r="B2" s="264" t="inlineStr">
        <is>
          <t>Stock</t>
        </is>
      </c>
      <c r="C2" s="264" t="inlineStr">
        <is>
          <t>Shares</t>
        </is>
      </c>
      <c r="D2" s="264" t="inlineStr">
        <is>
          <t>Action</t>
        </is>
      </c>
      <c r="E2" s="264" t="inlineStr">
        <is>
          <t>Price (฿)</t>
        </is>
      </c>
      <c r="F2" s="264" t="inlineStr">
        <is>
          <t>Lots</t>
        </is>
      </c>
      <c r="G2" s="264" t="inlineStr">
        <is>
          <t>Value (฿)</t>
        </is>
      </c>
      <c r="H2" s="264" t="inlineStr">
        <is>
          <t>Realised P&amp;L (฿)</t>
        </is>
      </c>
      <c r="I2" s="264" t="inlineStr">
        <is>
          <t>Reason / Signal</t>
        </is>
      </c>
    </row>
    <row r="3" ht="20" customHeight="1">
      <c r="A3" s="299" t="inlineStr">
        <is>
          <t>2026-04-27</t>
        </is>
      </c>
      <c r="B3" s="300" t="inlineStr">
        <is>
          <t>AMATA</t>
        </is>
      </c>
      <c r="C3" s="267" t="n">
        <v>2300</v>
      </c>
      <c r="D3" s="279" t="inlineStr">
        <is>
          <t>BUY</t>
        </is>
      </c>
      <c r="E3" s="268" t="n">
        <v>20.3</v>
      </c>
      <c r="F3" s="267" t="n">
        <v>23</v>
      </c>
      <c r="G3" s="270">
        <f>C3*E3</f>
        <v/>
      </c>
      <c r="H3" s="301" t="inlineStr">
        <is>
          <t>—</t>
        </is>
      </c>
      <c r="I3" s="302" t="inlineStr">
        <is>
          <t>BUY (Day 1)</t>
        </is>
      </c>
    </row>
    <row r="4" ht="20" customHeight="1">
      <c r="A4" s="299" t="inlineStr">
        <is>
          <t>2026-04-27</t>
        </is>
      </c>
      <c r="B4" s="300" t="inlineStr">
        <is>
          <t>CK</t>
        </is>
      </c>
      <c r="C4" s="267" t="n">
        <v>2800</v>
      </c>
      <c r="D4" s="279" t="inlineStr">
        <is>
          <t>BUY</t>
        </is>
      </c>
      <c r="E4" s="268" t="n">
        <v>16.5</v>
      </c>
      <c r="F4" s="267" t="n">
        <v>28</v>
      </c>
      <c r="G4" s="270">
        <f>C4*E4</f>
        <v/>
      </c>
      <c r="H4" s="301" t="inlineStr">
        <is>
          <t>—</t>
        </is>
      </c>
      <c r="I4" s="302" t="inlineStr">
        <is>
          <t>BUY (Day 1)</t>
        </is>
      </c>
    </row>
    <row r="5" ht="20" customHeight="1">
      <c r="A5" s="299" t="inlineStr">
        <is>
          <t>2026-04-27</t>
        </is>
      </c>
      <c r="B5" s="300" t="inlineStr">
        <is>
          <t>TIDLOR</t>
        </is>
      </c>
      <c r="C5" s="267" t="n">
        <v>2700</v>
      </c>
      <c r="D5" s="279" t="inlineStr">
        <is>
          <t>BUY</t>
        </is>
      </c>
      <c r="E5" s="268" t="n">
        <v>17.4</v>
      </c>
      <c r="F5" s="267" t="n">
        <v>27</v>
      </c>
      <c r="G5" s="270">
        <f>C5*E5</f>
        <v/>
      </c>
      <c r="H5" s="301" t="inlineStr">
        <is>
          <t>—</t>
        </is>
      </c>
      <c r="I5" s="302" t="inlineStr">
        <is>
          <t>BUY (Day 1)</t>
        </is>
      </c>
    </row>
    <row r="6" ht="20" customHeight="1">
      <c r="A6" s="299" t="inlineStr">
        <is>
          <t>2026-04-27</t>
        </is>
      </c>
      <c r="B6" s="300" t="inlineStr">
        <is>
          <t>WHA</t>
        </is>
      </c>
      <c r="C6" s="267" t="n">
        <v>10800</v>
      </c>
      <c r="D6" s="279" t="inlineStr">
        <is>
          <t>BUY</t>
        </is>
      </c>
      <c r="E6" s="268" t="n">
        <v>4.38</v>
      </c>
      <c r="F6" s="267" t="n">
        <v>108</v>
      </c>
      <c r="G6" s="270">
        <f>C6*E6</f>
        <v/>
      </c>
      <c r="H6" s="301" t="inlineStr">
        <is>
          <t>—</t>
        </is>
      </c>
      <c r="I6" s="302" t="inlineStr">
        <is>
          <t>BUY (Day 1)</t>
        </is>
      </c>
    </row>
    <row r="7" ht="20" customHeight="1">
      <c r="A7" s="299" t="inlineStr">
        <is>
          <t>2026-04-27</t>
        </is>
      </c>
      <c r="B7" s="300" t="inlineStr">
        <is>
          <t>KTC</t>
        </is>
      </c>
      <c r="C7" s="267" t="n">
        <v>1600</v>
      </c>
      <c r="D7" s="279" t="inlineStr">
        <is>
          <t>BUY</t>
        </is>
      </c>
      <c r="E7" s="268" t="n">
        <v>29.25</v>
      </c>
      <c r="F7" s="267" t="n">
        <v>16</v>
      </c>
      <c r="G7" s="270">
        <f>C7*E7</f>
        <v/>
      </c>
      <c r="H7" s="301" t="inlineStr">
        <is>
          <t>—</t>
        </is>
      </c>
      <c r="I7" s="302" t="inlineStr">
        <is>
          <t>BUY (Day 1)</t>
        </is>
      </c>
    </row>
    <row r="8" ht="20" customHeight="1">
      <c r="A8" s="299" t="inlineStr">
        <is>
          <t>2026-04-27</t>
        </is>
      </c>
      <c r="B8" s="300" t="inlineStr">
        <is>
          <t>JASIF</t>
        </is>
      </c>
      <c r="C8" s="267" t="n">
        <v>7000</v>
      </c>
      <c r="D8" s="279" t="inlineStr">
        <is>
          <t>BUY</t>
        </is>
      </c>
      <c r="E8" s="268" t="n">
        <v>6.7</v>
      </c>
      <c r="F8" s="267" t="n">
        <v>70</v>
      </c>
      <c r="G8" s="270">
        <f>C8*E8</f>
        <v/>
      </c>
      <c r="H8" s="301" t="inlineStr">
        <is>
          <t>—</t>
        </is>
      </c>
      <c r="I8" s="302" t="inlineStr">
        <is>
          <t>BUY (Day 1)</t>
        </is>
      </c>
    </row>
    <row r="9" ht="22" customHeight="1">
      <c r="G9" s="295" t="inlineStr">
        <is>
          <t>TODAY'S P&amp;L</t>
        </is>
      </c>
      <c r="H9" s="303">
        <f>SUM(H3:H8)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63" t="inlineStr">
        <is>
          <t>Complete Trade History  —  since 2026-04-27</t>
        </is>
      </c>
    </row>
    <row r="2" ht="22" customHeight="1">
      <c r="A2" s="264" t="inlineStr">
        <is>
          <t>Date</t>
        </is>
      </c>
      <c r="B2" s="264" t="inlineStr">
        <is>
          <t>Ticker</t>
        </is>
      </c>
      <c r="C2" s="264" t="inlineStr">
        <is>
          <t>Stock</t>
        </is>
      </c>
      <c r="D2" s="264" t="inlineStr">
        <is>
          <t>Action</t>
        </is>
      </c>
      <c r="E2" s="264" t="inlineStr">
        <is>
          <t>Shares</t>
        </is>
      </c>
      <c r="F2" s="264" t="inlineStr">
        <is>
          <t>Price (฿)</t>
        </is>
      </c>
      <c r="G2" s="264" t="inlineStr">
        <is>
          <t>Lots</t>
        </is>
      </c>
      <c r="H2" s="264" t="inlineStr">
        <is>
          <t>Value (฿)</t>
        </is>
      </c>
      <c r="I2" s="264" t="inlineStr">
        <is>
          <t>Realised P&amp;L (฿)</t>
        </is>
      </c>
      <c r="J2" s="264" t="inlineStr">
        <is>
          <t>Reason / Signal</t>
        </is>
      </c>
    </row>
    <row r="3" ht="17" customHeight="1">
      <c r="A3" s="304" t="inlineStr">
        <is>
          <t>2026-04-27</t>
        </is>
      </c>
      <c r="B3" s="305" t="inlineStr">
        <is>
          <t>AMATA.BK</t>
        </is>
      </c>
      <c r="C3" s="306" t="inlineStr">
        <is>
          <t>AMATA</t>
        </is>
      </c>
      <c r="D3" s="307" t="inlineStr">
        <is>
          <t>BUY</t>
        </is>
      </c>
      <c r="E3" s="308" t="n">
        <v>2300</v>
      </c>
      <c r="F3" s="309" t="n">
        <v>20.3</v>
      </c>
      <c r="G3" s="308" t="n">
        <v>23</v>
      </c>
      <c r="H3" s="310">
        <f>E3*F3</f>
        <v/>
      </c>
      <c r="I3" s="311" t="inlineStr">
        <is>
          <t>—</t>
        </is>
      </c>
      <c r="J3" s="312" t="inlineStr">
        <is>
          <t>BUY (Day 1)</t>
        </is>
      </c>
    </row>
    <row r="4" ht="17" customHeight="1">
      <c r="A4" s="313" t="inlineStr">
        <is>
          <t>2026-04-27</t>
        </is>
      </c>
      <c r="B4" s="314" t="inlineStr">
        <is>
          <t>CK.BK</t>
        </is>
      </c>
      <c r="C4" s="281" t="inlineStr">
        <is>
          <t>CK</t>
        </is>
      </c>
      <c r="D4" s="307" t="inlineStr">
        <is>
          <t>BUY</t>
        </is>
      </c>
      <c r="E4" s="282" t="n">
        <v>2800</v>
      </c>
      <c r="F4" s="283" t="n">
        <v>16.5</v>
      </c>
      <c r="G4" s="282" t="n">
        <v>28</v>
      </c>
      <c r="H4" s="285">
        <f>E4*F4</f>
        <v/>
      </c>
      <c r="I4" s="315" t="inlineStr">
        <is>
          <t>—</t>
        </is>
      </c>
      <c r="J4" s="316" t="inlineStr">
        <is>
          <t>BUY (Day 1)</t>
        </is>
      </c>
    </row>
    <row r="5" ht="17" customHeight="1">
      <c r="A5" s="304" t="inlineStr">
        <is>
          <t>2026-04-27</t>
        </is>
      </c>
      <c r="B5" s="305" t="inlineStr">
        <is>
          <t>TIDLOR.BK</t>
        </is>
      </c>
      <c r="C5" s="306" t="inlineStr">
        <is>
          <t>TIDLOR</t>
        </is>
      </c>
      <c r="D5" s="307" t="inlineStr">
        <is>
          <t>BUY</t>
        </is>
      </c>
      <c r="E5" s="308" t="n">
        <v>2700</v>
      </c>
      <c r="F5" s="309" t="n">
        <v>17.4</v>
      </c>
      <c r="G5" s="308" t="n">
        <v>27</v>
      </c>
      <c r="H5" s="310">
        <f>E5*F5</f>
        <v/>
      </c>
      <c r="I5" s="311" t="inlineStr">
        <is>
          <t>—</t>
        </is>
      </c>
      <c r="J5" s="312" t="inlineStr">
        <is>
          <t>BUY (Day 1)</t>
        </is>
      </c>
    </row>
    <row r="6" ht="17" customHeight="1">
      <c r="A6" s="313" t="inlineStr">
        <is>
          <t>2026-04-27</t>
        </is>
      </c>
      <c r="B6" s="314" t="inlineStr">
        <is>
          <t>WHA.BK</t>
        </is>
      </c>
      <c r="C6" s="281" t="inlineStr">
        <is>
          <t>WHA</t>
        </is>
      </c>
      <c r="D6" s="307" t="inlineStr">
        <is>
          <t>BUY</t>
        </is>
      </c>
      <c r="E6" s="282" t="n">
        <v>10800</v>
      </c>
      <c r="F6" s="283" t="n">
        <v>4.38</v>
      </c>
      <c r="G6" s="282" t="n">
        <v>108</v>
      </c>
      <c r="H6" s="285">
        <f>E6*F6</f>
        <v/>
      </c>
      <c r="I6" s="315" t="inlineStr">
        <is>
          <t>—</t>
        </is>
      </c>
      <c r="J6" s="316" t="inlineStr">
        <is>
          <t>BUY (Day 1)</t>
        </is>
      </c>
    </row>
    <row r="7" ht="17" customHeight="1">
      <c r="A7" s="304" t="inlineStr">
        <is>
          <t>2026-04-27</t>
        </is>
      </c>
      <c r="B7" s="305" t="inlineStr">
        <is>
          <t>KTC.BK</t>
        </is>
      </c>
      <c r="C7" s="306" t="inlineStr">
        <is>
          <t>KTC</t>
        </is>
      </c>
      <c r="D7" s="307" t="inlineStr">
        <is>
          <t>BUY</t>
        </is>
      </c>
      <c r="E7" s="308" t="n">
        <v>1600</v>
      </c>
      <c r="F7" s="309" t="n">
        <v>29.25</v>
      </c>
      <c r="G7" s="308" t="n">
        <v>16</v>
      </c>
      <c r="H7" s="310">
        <f>E7*F7</f>
        <v/>
      </c>
      <c r="I7" s="311" t="inlineStr">
        <is>
          <t>—</t>
        </is>
      </c>
      <c r="J7" s="312" t="inlineStr">
        <is>
          <t>BUY (Day 1)</t>
        </is>
      </c>
    </row>
    <row r="8" ht="17" customHeight="1">
      <c r="A8" s="313" t="inlineStr">
        <is>
          <t>2026-04-27</t>
        </is>
      </c>
      <c r="B8" s="314" t="inlineStr">
        <is>
          <t>JASIF.BK</t>
        </is>
      </c>
      <c r="C8" s="281" t="inlineStr">
        <is>
          <t>JASIF</t>
        </is>
      </c>
      <c r="D8" s="307" t="inlineStr">
        <is>
          <t>BUY</t>
        </is>
      </c>
      <c r="E8" s="282" t="n">
        <v>7000</v>
      </c>
      <c r="F8" s="283" t="n">
        <v>6.7</v>
      </c>
      <c r="G8" s="282" t="n">
        <v>70</v>
      </c>
      <c r="H8" s="285">
        <f>E8*F8</f>
        <v/>
      </c>
      <c r="I8" s="315" t="inlineStr">
        <is>
          <t>—</t>
        </is>
      </c>
      <c r="J8" s="316" t="inlineStr">
        <is>
          <t>BUY (Day 1)</t>
        </is>
      </c>
    </row>
    <row r="10" ht="22" customHeight="1">
      <c r="G10" s="52" t="inlineStr">
        <is>
          <t>TOTAL TRADES</t>
        </is>
      </c>
      <c r="H10" s="317">
        <f>SUM(H3:H8)</f>
        <v/>
      </c>
      <c r="I10" s="317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2026-04-27T10:32:58Z</dcterms:modified>
</cp:coreProperties>
</file>