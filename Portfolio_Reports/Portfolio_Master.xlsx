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1117" t="inlineStr">
        <is>
          <t>2026-04-22</t>
        </is>
      </c>
      <c r="B2" s="1118" t="n">
        <v>3</v>
      </c>
      <c r="C2" s="1119" t="n">
        <v>303748.3059307933</v>
      </c>
      <c r="D2" s="1120" t="n">
        <v>29448.30848187208</v>
      </c>
      <c r="E2" s="1121" t="n">
        <v>274299.9974489212</v>
      </c>
      <c r="F2" s="1122" t="n">
        <v>3748.305930793285</v>
      </c>
      <c r="G2" s="1123" t="n">
        <v>0.01249435310264429</v>
      </c>
      <c r="H2" s="1124" t="n">
        <v>0</v>
      </c>
      <c r="I2" s="1125" t="n">
        <v>0</v>
      </c>
      <c r="J2" s="1126" t="n">
        <v>10</v>
      </c>
      <c r="K2" s="1127" t="n">
        <v>0</v>
      </c>
      <c r="L2" s="1128" t="n">
        <v>0</v>
      </c>
    </row>
    <row r="3" ht="20" customHeight="1">
      <c r="A3" s="111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111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1117" t="inlineStr">
        <is>
          <t>2026-04-29</t>
        </is>
      </c>
      <c r="B5" s="1118" t="n">
        <v>2</v>
      </c>
      <c r="C5" s="1119" t="n">
        <v>304153.8160982132</v>
      </c>
      <c r="D5" s="1120" t="n">
        <v>18423.81789112091</v>
      </c>
      <c r="E5" s="1121" t="n">
        <v>285729.9982070923</v>
      </c>
      <c r="F5" s="1122" t="n">
        <v>4153.816098213196</v>
      </c>
      <c r="G5" s="1123" t="n">
        <v>0.01384605366071065</v>
      </c>
      <c r="H5" s="1124" t="n">
        <v>0</v>
      </c>
      <c r="I5" s="1125" t="n">
        <v>0</v>
      </c>
      <c r="J5" s="1126" t="n">
        <v>6</v>
      </c>
      <c r="K5" s="1127" t="n">
        <v>0</v>
      </c>
      <c r="L5" s="1128" t="n">
        <v>0</v>
      </c>
    </row>
    <row r="6" ht="20" customHeight="1">
      <c r="A6" s="1117" t="inlineStr">
        <is>
          <t>2026-04-30</t>
        </is>
      </c>
      <c r="B6" s="1118" t="n">
        <v>4</v>
      </c>
      <c r="C6" s="1119" t="n">
        <v>302787.819642067</v>
      </c>
      <c r="D6" s="1120" t="n">
        <v>18423.81789112091</v>
      </c>
      <c r="E6" s="1121" t="n">
        <v>284364.001750946</v>
      </c>
      <c r="F6" s="1122" t="n">
        <v>2787.819642066956</v>
      </c>
      <c r="G6" s="1123" t="n">
        <v>0.009292732140223185</v>
      </c>
      <c r="H6" s="1124" t="n">
        <v>0</v>
      </c>
      <c r="I6" s="1125" t="n">
        <v>-0.004491136996634464</v>
      </c>
      <c r="J6" s="1126" t="n">
        <v>6</v>
      </c>
      <c r="K6" s="1127" t="n">
        <v>0</v>
      </c>
      <c r="L6" s="1128" t="n">
        <v>0</v>
      </c>
    </row>
    <row r="7" ht="20" customHeight="1">
      <c r="A7" s="1117" t="inlineStr">
        <is>
          <t>2026-05-01</t>
        </is>
      </c>
      <c r="B7" s="1118" t="n">
        <v>5</v>
      </c>
      <c r="C7" s="1119" t="n">
        <v>302787.819642067</v>
      </c>
      <c r="D7" s="1120" t="n">
        <v>18423.81789112091</v>
      </c>
      <c r="E7" s="1121" t="n">
        <v>284364.001750946</v>
      </c>
      <c r="F7" s="1122" t="n">
        <v>2787.819642066956</v>
      </c>
      <c r="G7" s="1123" t="n">
        <v>0.009292732140223185</v>
      </c>
      <c r="H7" s="1124" t="n">
        <v>0</v>
      </c>
      <c r="I7" s="1125" t="n">
        <v>-0.004491136996634464</v>
      </c>
      <c r="J7" s="1126" t="n">
        <v>6</v>
      </c>
      <c r="K7" s="1127" t="n">
        <v>0</v>
      </c>
      <c r="L7" s="1128" t="n">
        <v>0</v>
      </c>
    </row>
    <row r="8" ht="20" customHeight="1">
      <c r="A8" s="1117" t="inlineStr">
        <is>
          <t>2026-05-04</t>
        </is>
      </c>
      <c r="B8" s="1118" t="n">
        <v>6</v>
      </c>
      <c r="C8" s="1119" t="n">
        <v>302787.819642067</v>
      </c>
      <c r="D8" s="1120" t="n">
        <v>18423.81789112091</v>
      </c>
      <c r="E8" s="1121" t="n">
        <v>284364.001750946</v>
      </c>
      <c r="F8" s="1122" t="n">
        <v>2787.819642066956</v>
      </c>
      <c r="G8" s="1123" t="n">
        <v>0.009292732140223185</v>
      </c>
      <c r="H8" s="1124" t="n">
        <v>0</v>
      </c>
      <c r="I8" s="1125" t="n">
        <v>-0.004491136996634464</v>
      </c>
      <c r="J8" s="1126" t="n">
        <v>6</v>
      </c>
      <c r="K8" s="1127" t="n">
        <v>0</v>
      </c>
      <c r="L8" s="1128" t="n">
        <v>0</v>
      </c>
    </row>
    <row r="9" ht="20" customHeight="1">
      <c r="A9" s="1117" t="inlineStr">
        <is>
          <t>2026-05-05</t>
        </is>
      </c>
      <c r="B9" s="1118" t="n">
        <v>7</v>
      </c>
      <c r="C9" s="1119" t="n">
        <v>301062.819642067</v>
      </c>
      <c r="D9" s="1120" t="n">
        <v>18423.81789112091</v>
      </c>
      <c r="E9" s="1121" t="n">
        <v>282639.001750946</v>
      </c>
      <c r="F9" s="1122" t="n">
        <v>1062.819642066956</v>
      </c>
      <c r="G9" s="1123" t="n">
        <v>0.003542732140223185</v>
      </c>
      <c r="H9" s="1124" t="n">
        <v>0</v>
      </c>
      <c r="I9" s="1125" t="n">
        <v>-0.01016260948423589</v>
      </c>
      <c r="J9" s="1126" t="n">
        <v>6</v>
      </c>
      <c r="K9" s="1127" t="n">
        <v>0</v>
      </c>
      <c r="L9" s="1128" t="n">
        <v>0</v>
      </c>
    </row>
    <row r="10" ht="20" customHeight="1">
      <c r="A10" s="111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1117" t="inlineStr">
        <is>
          <t>2026-05-07</t>
        </is>
      </c>
      <c r="B11" s="1118" t="n">
        <v>9</v>
      </c>
      <c r="C11" s="1119" t="n">
        <v>308341.8176355362</v>
      </c>
      <c r="D11" s="1120" t="n">
        <v>18423.81789112091</v>
      </c>
      <c r="E11" s="1121" t="n">
        <v>289917.9997444153</v>
      </c>
      <c r="F11" s="1122" t="n">
        <v>8341.817635536194</v>
      </c>
      <c r="G11" s="1123" t="n">
        <v>0.02780605878512065</v>
      </c>
      <c r="H11" s="1124" t="n">
        <v>0</v>
      </c>
      <c r="I11" s="1125" t="n">
        <v>0</v>
      </c>
      <c r="J11" s="1126" t="n">
        <v>6</v>
      </c>
      <c r="K11" s="1127" t="n">
        <v>0</v>
      </c>
      <c r="L11" s="1128" t="n">
        <v>0</v>
      </c>
    </row>
    <row r="12" ht="20" customHeight="1">
      <c r="A12" s="1117" t="inlineStr">
        <is>
          <t>2026-05-08</t>
        </is>
      </c>
      <c r="B12" s="1118" t="n">
        <v>10</v>
      </c>
      <c r="C12" s="1119" t="n">
        <v>311587.818192482</v>
      </c>
      <c r="D12" s="1120" t="n">
        <v>18423.81789112091</v>
      </c>
      <c r="E12" s="1121" t="n">
        <v>293164.0003013611</v>
      </c>
      <c r="F12" s="1122" t="n">
        <v>11587.81819248199</v>
      </c>
      <c r="G12" s="1123" t="n">
        <v>0.03862606064160665</v>
      </c>
      <c r="H12" s="1124" t="n">
        <v>0</v>
      </c>
      <c r="I12" s="1125" t="n">
        <v>0</v>
      </c>
      <c r="J12" s="1126" t="n">
        <v>6</v>
      </c>
      <c r="K12" s="1127" t="n">
        <v>0</v>
      </c>
      <c r="L12" s="1128" t="n">
        <v>0</v>
      </c>
    </row>
    <row r="13" ht="20" customHeight="1">
      <c r="A13" s="1117" t="inlineStr">
        <is>
          <t>2026-05-11</t>
        </is>
      </c>
      <c r="B13" s="1118" t="n">
        <v>11</v>
      </c>
      <c r="C13" s="1119" t="n">
        <v>310489.1351679564</v>
      </c>
      <c r="D13" s="1120" t="n">
        <v>48730.17694747448</v>
      </c>
      <c r="E13" s="1121" t="n">
        <v>261758.9582204819</v>
      </c>
      <c r="F13" s="1122" t="n">
        <v>10489.13516795635</v>
      </c>
      <c r="G13" s="1123" t="n">
        <v>0.03496378389318784</v>
      </c>
      <c r="H13" s="1124" t="n">
        <v>0</v>
      </c>
      <c r="I13" s="1125" t="n">
        <v>-0.003526078236623923</v>
      </c>
      <c r="J13" s="1126" t="n">
        <v>8</v>
      </c>
      <c r="K13" s="1127" t="n">
        <v>0</v>
      </c>
      <c r="L13" s="1128" t="n">
        <v>0</v>
      </c>
    </row>
    <row r="14" ht="20" customHeight="1">
      <c r="A14" s="1117" t="inlineStr">
        <is>
          <t>2026-05-12</t>
        </is>
      </c>
      <c r="B14" s="1118" t="n">
        <v>12</v>
      </c>
      <c r="C14" s="1119" t="n">
        <v>304964.1755083799</v>
      </c>
      <c r="D14" s="1120" t="n">
        <v>48730.17694747448</v>
      </c>
      <c r="E14" s="1121" t="n">
        <v>256233.9985609055</v>
      </c>
      <c r="F14" s="1122" t="n">
        <v>4964.175508379936</v>
      </c>
      <c r="G14" s="1123" t="n">
        <v>0.01654725169459979</v>
      </c>
      <c r="H14" s="1124" t="n">
        <v>0</v>
      </c>
      <c r="I14" s="1125" t="n">
        <v>-0.0212577074499438</v>
      </c>
      <c r="J14" s="1126" t="n">
        <v>8</v>
      </c>
      <c r="K14" s="1127" t="n">
        <v>0</v>
      </c>
      <c r="L14" s="1128" t="n">
        <v>0</v>
      </c>
    </row>
    <row r="15" ht="20" customHeight="1">
      <c r="A15" s="1117" t="inlineStr">
        <is>
          <t>2026-05-13</t>
        </is>
      </c>
      <c r="B15" s="1118" t="n">
        <v>13</v>
      </c>
      <c r="C15" s="1119" t="n">
        <v>302514.1766527891</v>
      </c>
      <c r="D15" s="1120" t="n">
        <v>48730.17694747448</v>
      </c>
      <c r="E15" s="1121" t="n">
        <v>253783.9997053146</v>
      </c>
      <c r="F15" s="1122" t="n">
        <v>2514.176652789116</v>
      </c>
      <c r="G15" s="1123" t="n">
        <v>0.008380588842630387</v>
      </c>
      <c r="H15" s="1124" t="n">
        <v>0</v>
      </c>
      <c r="I15" s="1125" t="n">
        <v>-0.0291206555902249</v>
      </c>
      <c r="J15" s="1126" t="n">
        <v>8</v>
      </c>
      <c r="K15" s="1127" t="n">
        <v>0</v>
      </c>
      <c r="L15" s="1128" t="n">
        <v>0</v>
      </c>
    </row>
    <row r="16" ht="20" customHeight="1">
      <c r="A16" s="1117" t="inlineStr">
        <is>
          <t>2026-05-14</t>
        </is>
      </c>
      <c r="B16" s="1118" t="n">
        <v>14</v>
      </c>
      <c r="C16" s="1119" t="n">
        <v>304920.1800802946</v>
      </c>
      <c r="D16" s="1120" t="n">
        <v>48730.17694747448</v>
      </c>
      <c r="E16" s="1121" t="n">
        <v>256190.0031328201</v>
      </c>
      <c r="F16" s="1122" t="n">
        <v>4920.180080294609</v>
      </c>
      <c r="G16" s="1123" t="n">
        <v>0.0164006002676487</v>
      </c>
      <c r="H16" s="1124" t="n">
        <v>0</v>
      </c>
      <c r="I16" s="1125" t="n">
        <v>-0.02139890497281406</v>
      </c>
      <c r="J16" s="1126" t="n">
        <v>8</v>
      </c>
      <c r="K16" s="1127" t="n">
        <v>0</v>
      </c>
      <c r="L16" s="1128" t="n">
        <v>0</v>
      </c>
    </row>
    <row r="17" ht="20" customHeight="1">
      <c r="A17" s="1117" t="inlineStr">
        <is>
          <t>2026-05-15</t>
        </is>
      </c>
      <c r="B17" s="1118" t="n">
        <v>15</v>
      </c>
      <c r="C17" s="1119" t="n">
        <v>308166.1738375425</v>
      </c>
      <c r="D17" s="1120" t="n">
        <v>48730.17694747448</v>
      </c>
      <c r="E17" s="1121" t="n">
        <v>259435.9968900681</v>
      </c>
      <c r="F17" s="1122" t="n">
        <v>8166.173837542534</v>
      </c>
      <c r="G17" s="1123" t="n">
        <v>0.02722057945847511</v>
      </c>
      <c r="H17" s="1124" t="n">
        <v>0</v>
      </c>
      <c r="I17" s="1125" t="n">
        <v>-0.01098131619775249</v>
      </c>
      <c r="J17" s="1126" t="n">
        <v>8</v>
      </c>
      <c r="K17" s="1127" t="n">
        <v>0</v>
      </c>
      <c r="L17" s="1128" t="n">
        <v>0</v>
      </c>
    </row>
    <row r="18" ht="20" customHeight="1">
      <c r="A18" s="1190" t="inlineStr">
        <is>
          <t>2026-05-18</t>
        </is>
      </c>
      <c r="B18" s="1191" t="n">
        <v>16</v>
      </c>
      <c r="C18" s="1192" t="n">
        <v>308376.1740664244</v>
      </c>
      <c r="D18" s="1193" t="n">
        <v>48730.17694747448</v>
      </c>
      <c r="E18" s="1194" t="n">
        <v>259645.9971189499</v>
      </c>
      <c r="F18" s="1195" t="n">
        <v>8376.17406642437</v>
      </c>
      <c r="G18" s="1196" t="n">
        <v>0.02792058022141457</v>
      </c>
      <c r="H18" s="1197" t="n">
        <v>0</v>
      </c>
      <c r="I18" s="1198" t="n">
        <v>-0.01030734816491974</v>
      </c>
      <c r="J18" s="1199" t="n">
        <v>8</v>
      </c>
      <c r="K18" s="1200" t="n">
        <v>0</v>
      </c>
      <c r="L18" s="120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1202" t="inlineStr">
        <is>
          <t>Current Holdings  —  18 May 2026</t>
        </is>
      </c>
    </row>
    <row r="2" ht="22" customHeight="1">
      <c r="A2" s="1203" t="inlineStr">
        <is>
          <t>Ticker</t>
        </is>
      </c>
      <c r="B2" s="1203" t="inlineStr">
        <is>
          <t>Stock Name</t>
        </is>
      </c>
      <c r="C2" s="1203" t="inlineStr">
        <is>
          <t>Shares</t>
        </is>
      </c>
      <c r="D2" s="1203" t="inlineStr">
        <is>
          <t>Avg Cost (฿)</t>
        </is>
      </c>
      <c r="E2" s="1203" t="inlineStr">
        <is>
          <t>Current Price (฿)</t>
        </is>
      </c>
      <c r="F2" s="1203" t="inlineStr">
        <is>
          <t>Market Value (฿)</t>
        </is>
      </c>
      <c r="G2" s="1203" t="inlineStr">
        <is>
          <t>Unrealised P&amp;L (฿)</t>
        </is>
      </c>
      <c r="H2" s="1203" t="inlineStr">
        <is>
          <t>P&amp;L %</t>
        </is>
      </c>
      <c r="I2" s="1203" t="inlineStr">
        <is>
          <t>Entry Date</t>
        </is>
      </c>
      <c r="J2" s="1203" t="inlineStr">
        <is>
          <t>Comp Score</t>
        </is>
      </c>
      <c r="K2" s="1203" t="inlineStr">
        <is>
          <t>Signal</t>
        </is>
      </c>
    </row>
    <row r="3" ht="20" customHeight="1">
      <c r="A3" s="1204" t="inlineStr">
        <is>
          <t>WHA.BK</t>
        </is>
      </c>
      <c r="B3" s="1205" t="inlineStr">
        <is>
          <t>WHA</t>
        </is>
      </c>
      <c r="C3" s="1206" t="n">
        <v>10800</v>
      </c>
      <c r="D3" s="1207" t="n">
        <v>4.38</v>
      </c>
      <c r="E3" s="1208" t="n">
        <v>4.679999828338623</v>
      </c>
      <c r="F3" s="1209">
        <f>C3*E3</f>
        <v/>
      </c>
      <c r="G3" s="1210">
        <f>F3-C3*D3</f>
        <v/>
      </c>
      <c r="H3" s="1211">
        <f>(E3-D3)/D3</f>
        <v/>
      </c>
      <c r="I3" s="1212" t="inlineStr">
        <is>
          <t>2026-04-27</t>
        </is>
      </c>
      <c r="J3" s="1213" t="n">
        <v>6.28</v>
      </c>
      <c r="K3" s="1214" t="inlineStr">
        <is>
          <t>AVOID</t>
        </is>
      </c>
    </row>
    <row r="4" ht="20" customHeight="1">
      <c r="A4" s="1204" t="inlineStr">
        <is>
          <t>CK.BK</t>
        </is>
      </c>
      <c r="B4" s="1205" t="inlineStr">
        <is>
          <t>CK</t>
        </is>
      </c>
      <c r="C4" s="1206" t="n">
        <v>2800</v>
      </c>
      <c r="D4" s="1207" t="n">
        <v>16.5</v>
      </c>
      <c r="E4" s="1208" t="n">
        <v>17.79999923706055</v>
      </c>
      <c r="F4" s="1209">
        <f>C4*E4</f>
        <v/>
      </c>
      <c r="G4" s="1210">
        <f>F4-C4*D4</f>
        <v/>
      </c>
      <c r="H4" s="1211">
        <f>(E4-D4)/D4</f>
        <v/>
      </c>
      <c r="I4" s="1212" t="inlineStr">
        <is>
          <t>2026-04-27</t>
        </is>
      </c>
      <c r="J4" s="1215" t="n">
        <v>7.32</v>
      </c>
      <c r="K4" s="1216" t="inlineStr">
        <is>
          <t>WATCH</t>
        </is>
      </c>
    </row>
    <row r="5" ht="20" customHeight="1">
      <c r="A5" s="1204" t="inlineStr">
        <is>
          <t>AMATA.BK</t>
        </is>
      </c>
      <c r="B5" s="1205" t="inlineStr">
        <is>
          <t>AMATA</t>
        </is>
      </c>
      <c r="C5" s="1206" t="n">
        <v>2300</v>
      </c>
      <c r="D5" s="1207" t="n">
        <v>20.3</v>
      </c>
      <c r="E5" s="1208" t="n">
        <v>21.39999961853027</v>
      </c>
      <c r="F5" s="1209">
        <f>C5*E5</f>
        <v/>
      </c>
      <c r="G5" s="1210">
        <f>F5-C5*D5</f>
        <v/>
      </c>
      <c r="H5" s="1211">
        <f>(E5-D5)/D5</f>
        <v/>
      </c>
      <c r="I5" s="1212" t="inlineStr">
        <is>
          <t>2026-04-27</t>
        </is>
      </c>
      <c r="J5" s="1217" t="n">
        <v>7.52</v>
      </c>
      <c r="K5" s="1218" t="inlineStr">
        <is>
          <t>BUY</t>
        </is>
      </c>
    </row>
    <row r="6" ht="20" customHeight="1">
      <c r="A6" s="1219" t="inlineStr">
        <is>
          <t>KTC.BK</t>
        </is>
      </c>
      <c r="B6" s="1220" t="inlineStr">
        <is>
          <t>KTC</t>
        </is>
      </c>
      <c r="C6" s="1221" t="n">
        <v>1600</v>
      </c>
      <c r="D6" s="1222" t="n">
        <v>29.25</v>
      </c>
      <c r="E6" s="1223" t="n">
        <v>29.25</v>
      </c>
      <c r="F6" s="1224">
        <f>C6*E6</f>
        <v/>
      </c>
      <c r="G6" s="1225">
        <f>F6-C6*D6</f>
        <v/>
      </c>
      <c r="H6" s="1226">
        <f>(E6-D6)/D6</f>
        <v/>
      </c>
      <c r="I6" s="1227" t="inlineStr">
        <is>
          <t>2026-04-27</t>
        </is>
      </c>
      <c r="J6" s="1228" t="n">
        <v>5.88</v>
      </c>
      <c r="K6" s="1229" t="inlineStr">
        <is>
          <t>AVOID</t>
        </is>
      </c>
    </row>
    <row r="7" ht="20" customHeight="1">
      <c r="A7" s="1230" t="inlineStr">
        <is>
          <t>TIDLOR.BK</t>
        </is>
      </c>
      <c r="B7" s="1231" t="inlineStr">
        <is>
          <t>TIDLOR</t>
        </is>
      </c>
      <c r="C7" s="1232" t="n">
        <v>2700</v>
      </c>
      <c r="D7" s="1233" t="n">
        <v>17.4</v>
      </c>
      <c r="E7" s="1234" t="n">
        <v>16.70000076293945</v>
      </c>
      <c r="F7" s="1235">
        <f>C7*E7</f>
        <v/>
      </c>
      <c r="G7" s="1236">
        <f>F7-C7*D7</f>
        <v/>
      </c>
      <c r="H7" s="1237">
        <f>(E7-D7)/D7</f>
        <v/>
      </c>
      <c r="I7" s="1238" t="inlineStr">
        <is>
          <t>2026-04-27</t>
        </is>
      </c>
      <c r="J7" s="1239" t="n">
        <v>5.68</v>
      </c>
      <c r="K7" s="1240" t="inlineStr">
        <is>
          <t>AVOID</t>
        </is>
      </c>
    </row>
    <row r="8" ht="20" customHeight="1">
      <c r="A8" s="1219" t="inlineStr">
        <is>
          <t>KGI.BK</t>
        </is>
      </c>
      <c r="B8" s="1220" t="inlineStr">
        <is>
          <t>KGI</t>
        </is>
      </c>
      <c r="C8" s="1221" t="n">
        <v>1500</v>
      </c>
      <c r="D8" s="1222" t="n">
        <v>4.22</v>
      </c>
      <c r="E8" s="1223" t="n">
        <v>4.21999979019165</v>
      </c>
      <c r="F8" s="1224">
        <f>C8*E8</f>
        <v/>
      </c>
      <c r="G8" s="1241">
        <f>F8-C8*D8</f>
        <v/>
      </c>
      <c r="H8" s="1242">
        <f>(E8-D8)/D8</f>
        <v/>
      </c>
      <c r="I8" s="1227" t="inlineStr">
        <is>
          <t>2026-05-08</t>
        </is>
      </c>
      <c r="J8" s="1228" t="n">
        <v>6.32</v>
      </c>
      <c r="K8" s="1229" t="inlineStr">
        <is>
          <t>AVOID</t>
        </is>
      </c>
    </row>
    <row r="9" ht="20" customHeight="1">
      <c r="A9" s="1204" t="inlineStr">
        <is>
          <t>BTSGIF.BK</t>
        </is>
      </c>
      <c r="B9" s="1205" t="inlineStr">
        <is>
          <t>BTSGIF</t>
        </is>
      </c>
      <c r="C9" s="1206" t="n">
        <v>2300</v>
      </c>
      <c r="D9" s="1207" t="n">
        <v>2.62</v>
      </c>
      <c r="E9" s="1208" t="n">
        <v>2.640000104904175</v>
      </c>
      <c r="F9" s="1209">
        <f>C9*E9</f>
        <v/>
      </c>
      <c r="G9" s="1210">
        <f>F9-C9*D9</f>
        <v/>
      </c>
      <c r="H9" s="1211">
        <f>(E9-D9)/D9</f>
        <v/>
      </c>
      <c r="I9" s="1212" t="inlineStr">
        <is>
          <t>2026-05-08</t>
        </is>
      </c>
      <c r="J9" s="1213" t="n">
        <v>5.48</v>
      </c>
      <c r="K9" s="1214" t="inlineStr">
        <is>
          <t>AVOID</t>
        </is>
      </c>
    </row>
    <row r="10" ht="20" customHeight="1">
      <c r="A10" s="1219" t="inlineStr">
        <is>
          <t>TU.BK</t>
        </is>
      </c>
      <c r="B10" s="1220" t="inlineStr">
        <is>
          <t>TU</t>
        </is>
      </c>
      <c r="C10" s="1221" t="n">
        <v>500</v>
      </c>
      <c r="D10" s="1222" t="n">
        <v>11.6</v>
      </c>
      <c r="E10" s="1223" t="n">
        <v>11.5</v>
      </c>
      <c r="F10" s="1224">
        <f>C10*E10</f>
        <v/>
      </c>
      <c r="G10" s="1241">
        <f>F10-C10*D10</f>
        <v/>
      </c>
      <c r="H10" s="1242">
        <f>(E10-D10)/D10</f>
        <v/>
      </c>
      <c r="I10" s="1227" t="inlineStr">
        <is>
          <t>2026-05-08</t>
        </is>
      </c>
      <c r="J10" s="1228" t="n">
        <v>6.08</v>
      </c>
      <c r="K10" s="1229" t="inlineStr">
        <is>
          <t>AVOID</t>
        </is>
      </c>
    </row>
    <row r="11" ht="22" customHeight="1">
      <c r="B11" s="1243" t="inlineStr">
        <is>
          <t>TOTAL</t>
        </is>
      </c>
      <c r="F11" s="1244">
        <f>SUM(F3:F10)</f>
        <v/>
      </c>
      <c r="G11" s="1245">
        <f>SUM(G3:G10)</f>
        <v/>
      </c>
      <c r="H11" s="1246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1202" t="inlineStr">
        <is>
          <t>Today's Trades  —  18 May 2026</t>
        </is>
      </c>
    </row>
    <row r="3" ht="30" customHeight="1">
      <c r="A3" s="1247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1202" t="inlineStr">
        <is>
          <t>Complete Trade History  —  since 2026-04-27</t>
        </is>
      </c>
    </row>
    <row r="2" ht="22" customHeight="1">
      <c r="A2" s="1203" t="inlineStr">
        <is>
          <t>Date</t>
        </is>
      </c>
      <c r="B2" s="1203" t="inlineStr">
        <is>
          <t>Ticker</t>
        </is>
      </c>
      <c r="C2" s="1203" t="inlineStr">
        <is>
          <t>Stock</t>
        </is>
      </c>
      <c r="D2" s="1203" t="inlineStr">
        <is>
          <t>Action</t>
        </is>
      </c>
      <c r="E2" s="1203" t="inlineStr">
        <is>
          <t>Shares</t>
        </is>
      </c>
      <c r="F2" s="1203" t="inlineStr">
        <is>
          <t>Price (฿)</t>
        </is>
      </c>
      <c r="G2" s="1203" t="inlineStr">
        <is>
          <t>Lots</t>
        </is>
      </c>
      <c r="H2" s="1203" t="inlineStr">
        <is>
          <t>Value (฿)</t>
        </is>
      </c>
      <c r="I2" s="1203" t="inlineStr">
        <is>
          <t>Realised P&amp;L (฿)</t>
        </is>
      </c>
      <c r="J2" s="1203" t="inlineStr">
        <is>
          <t>Reason / Signal</t>
        </is>
      </c>
    </row>
    <row r="3" ht="17" customHeight="1">
      <c r="A3" s="1248" t="inlineStr">
        <is>
          <t>2026-04-27</t>
        </is>
      </c>
      <c r="B3" s="1249" t="inlineStr">
        <is>
          <t>AMATA.BK</t>
        </is>
      </c>
      <c r="C3" s="1250" t="inlineStr">
        <is>
          <t>AMATA</t>
        </is>
      </c>
      <c r="D3" s="1251" t="inlineStr">
        <is>
          <t>BUY</t>
        </is>
      </c>
      <c r="E3" s="1252" t="n">
        <v>2300</v>
      </c>
      <c r="F3" s="1253" t="n">
        <v>20.3</v>
      </c>
      <c r="G3" s="1252" t="n">
        <v>23</v>
      </c>
      <c r="H3" s="1254">
        <f>E3*F3</f>
        <v/>
      </c>
      <c r="I3" s="1255" t="inlineStr">
        <is>
          <t>—</t>
        </is>
      </c>
      <c r="J3" s="1256" t="inlineStr">
        <is>
          <t>BUY (Day 1)</t>
        </is>
      </c>
    </row>
    <row r="4" ht="17" customHeight="1">
      <c r="A4" s="1257" t="inlineStr">
        <is>
          <t>2026-04-27</t>
        </is>
      </c>
      <c r="B4" s="1258" t="inlineStr">
        <is>
          <t>CK.BK</t>
        </is>
      </c>
      <c r="C4" s="1220" t="inlineStr">
        <is>
          <t>CK</t>
        </is>
      </c>
      <c r="D4" s="1251" t="inlineStr">
        <is>
          <t>BUY</t>
        </is>
      </c>
      <c r="E4" s="1221" t="n">
        <v>2800</v>
      </c>
      <c r="F4" s="1222" t="n">
        <v>16.5</v>
      </c>
      <c r="G4" s="1221" t="n">
        <v>28</v>
      </c>
      <c r="H4" s="1224">
        <f>E4*F4</f>
        <v/>
      </c>
      <c r="I4" s="1259" t="inlineStr">
        <is>
          <t>—</t>
        </is>
      </c>
      <c r="J4" s="1260" t="inlineStr">
        <is>
          <t>BUY (Day 1)</t>
        </is>
      </c>
    </row>
    <row r="5" ht="17" customHeight="1">
      <c r="A5" s="1248" t="inlineStr">
        <is>
          <t>2026-04-27</t>
        </is>
      </c>
      <c r="B5" s="1249" t="inlineStr">
        <is>
          <t>TIDLOR.BK</t>
        </is>
      </c>
      <c r="C5" s="1250" t="inlineStr">
        <is>
          <t>TIDLOR</t>
        </is>
      </c>
      <c r="D5" s="1251" t="inlineStr">
        <is>
          <t>BUY</t>
        </is>
      </c>
      <c r="E5" s="1252" t="n">
        <v>2700</v>
      </c>
      <c r="F5" s="1253" t="n">
        <v>17.4</v>
      </c>
      <c r="G5" s="1252" t="n">
        <v>27</v>
      </c>
      <c r="H5" s="1254">
        <f>E5*F5</f>
        <v/>
      </c>
      <c r="I5" s="1255" t="inlineStr">
        <is>
          <t>—</t>
        </is>
      </c>
      <c r="J5" s="1256" t="inlineStr">
        <is>
          <t>BUY (Day 1)</t>
        </is>
      </c>
    </row>
    <row r="6" ht="17" customHeight="1">
      <c r="A6" s="1257" t="inlineStr">
        <is>
          <t>2026-04-27</t>
        </is>
      </c>
      <c r="B6" s="1258" t="inlineStr">
        <is>
          <t>WHA.BK</t>
        </is>
      </c>
      <c r="C6" s="1220" t="inlineStr">
        <is>
          <t>WHA</t>
        </is>
      </c>
      <c r="D6" s="1251" t="inlineStr">
        <is>
          <t>BUY</t>
        </is>
      </c>
      <c r="E6" s="1221" t="n">
        <v>10800</v>
      </c>
      <c r="F6" s="1222" t="n">
        <v>4.38</v>
      </c>
      <c r="G6" s="1221" t="n">
        <v>108</v>
      </c>
      <c r="H6" s="1224">
        <f>E6*F6</f>
        <v/>
      </c>
      <c r="I6" s="1259" t="inlineStr">
        <is>
          <t>—</t>
        </is>
      </c>
      <c r="J6" s="1260" t="inlineStr">
        <is>
          <t>BUY (Day 1)</t>
        </is>
      </c>
    </row>
    <row r="7" ht="17" customHeight="1">
      <c r="A7" s="1248" t="inlineStr">
        <is>
          <t>2026-04-27</t>
        </is>
      </c>
      <c r="B7" s="1249" t="inlineStr">
        <is>
          <t>KTC.BK</t>
        </is>
      </c>
      <c r="C7" s="1250" t="inlineStr">
        <is>
          <t>KTC</t>
        </is>
      </c>
      <c r="D7" s="1251" t="inlineStr">
        <is>
          <t>BUY</t>
        </is>
      </c>
      <c r="E7" s="1252" t="n">
        <v>1600</v>
      </c>
      <c r="F7" s="1253" t="n">
        <v>29.25</v>
      </c>
      <c r="G7" s="1252" t="n">
        <v>16</v>
      </c>
      <c r="H7" s="1254">
        <f>E7*F7</f>
        <v/>
      </c>
      <c r="I7" s="1255" t="inlineStr">
        <is>
          <t>—</t>
        </is>
      </c>
      <c r="J7" s="1256" t="inlineStr">
        <is>
          <t>BUY (Day 1)</t>
        </is>
      </c>
    </row>
    <row r="8" ht="17" customHeight="1">
      <c r="A8" s="1257" t="inlineStr">
        <is>
          <t>2026-04-27</t>
        </is>
      </c>
      <c r="B8" s="1258" t="inlineStr">
        <is>
          <t>JASIF.BK</t>
        </is>
      </c>
      <c r="C8" s="1220" t="inlineStr">
        <is>
          <t>JASIF</t>
        </is>
      </c>
      <c r="D8" s="1251" t="inlineStr">
        <is>
          <t>BUY</t>
        </is>
      </c>
      <c r="E8" s="1221" t="n">
        <v>7000</v>
      </c>
      <c r="F8" s="1222" t="n">
        <v>6.7</v>
      </c>
      <c r="G8" s="1221" t="n">
        <v>70</v>
      </c>
      <c r="H8" s="1224">
        <f>E8*F8</f>
        <v/>
      </c>
      <c r="I8" s="1259" t="inlineStr">
        <is>
          <t>—</t>
        </is>
      </c>
      <c r="J8" s="1260" t="inlineStr">
        <is>
          <t>BUY (Day 1)</t>
        </is>
      </c>
    </row>
    <row r="9" ht="17" customHeight="1">
      <c r="A9" s="1248" t="inlineStr">
        <is>
          <t>2026-05-05</t>
        </is>
      </c>
      <c r="B9" s="1249" t="inlineStr">
        <is>
          <t>AMATA.BK</t>
        </is>
      </c>
      <c r="C9" s="1250" t="inlineStr">
        <is>
          <t>AMATA</t>
        </is>
      </c>
      <c r="D9" s="1261" t="inlineStr">
        <is>
          <t>DIVIDEND</t>
        </is>
      </c>
      <c r="E9" s="1252" t="n">
        <v>2300</v>
      </c>
      <c r="F9" s="1253" t="n">
        <v>0.75</v>
      </c>
      <c r="G9" s="1252" t="n">
        <v>23</v>
      </c>
      <c r="H9" s="1254">
        <f>E9*F9</f>
        <v/>
      </c>
      <c r="I9" s="1262" t="n">
        <v>1725</v>
      </c>
      <c r="J9" s="1256" t="inlineStr">
        <is>
          <t>Dividend ฿0.7500/share</t>
        </is>
      </c>
    </row>
    <row r="10" ht="17" customHeight="1">
      <c r="A10" s="1257" t="inlineStr">
        <is>
          <t>2026-05-08</t>
        </is>
      </c>
      <c r="B10" s="1258" t="inlineStr">
        <is>
          <t>JASIF.BK</t>
        </is>
      </c>
      <c r="C10" s="1220" t="inlineStr">
        <is>
          <t>JASIF</t>
        </is>
      </c>
      <c r="D10" s="1261" t="inlineStr">
        <is>
          <t>SELL</t>
        </is>
      </c>
      <c r="E10" s="1221" t="n">
        <v>7000</v>
      </c>
      <c r="F10" s="1222" t="n">
        <v>6.7</v>
      </c>
      <c r="G10" s="1221" t="n">
        <v>70</v>
      </c>
      <c r="H10" s="1224">
        <f>E10*F10</f>
        <v/>
      </c>
      <c r="I10" s="1263" t="n">
        <v>-234.5</v>
      </c>
      <c r="J10" s="1260" t="inlineStr">
        <is>
          <t>SELL</t>
        </is>
      </c>
    </row>
    <row r="11" ht="17" customHeight="1">
      <c r="A11" s="1248" t="inlineStr">
        <is>
          <t>2026-05-08</t>
        </is>
      </c>
      <c r="B11" s="1249" t="inlineStr">
        <is>
          <t>KGI.BK</t>
        </is>
      </c>
      <c r="C11" s="1250" t="inlineStr">
        <is>
          <t>KGI</t>
        </is>
      </c>
      <c r="D11" s="1251" t="inlineStr">
        <is>
          <t>BUY</t>
        </is>
      </c>
      <c r="E11" s="1252" t="n">
        <v>1500</v>
      </c>
      <c r="F11" s="1253" t="n">
        <v>4.22</v>
      </c>
      <c r="G11" s="1252" t="n">
        <v>15</v>
      </c>
      <c r="H11" s="1254">
        <f>E11*F11</f>
        <v/>
      </c>
      <c r="I11" s="1255" t="inlineStr">
        <is>
          <t>—</t>
        </is>
      </c>
      <c r="J11" s="1256" t="inlineStr">
        <is>
          <t>BUY</t>
        </is>
      </c>
    </row>
    <row r="12" ht="17" customHeight="1">
      <c r="A12" s="1257" t="inlineStr">
        <is>
          <t>2026-05-08</t>
        </is>
      </c>
      <c r="B12" s="1258" t="inlineStr">
        <is>
          <t>TU.BK</t>
        </is>
      </c>
      <c r="C12" s="1220" t="inlineStr">
        <is>
          <t>TU</t>
        </is>
      </c>
      <c r="D12" s="1251" t="inlineStr">
        <is>
          <t>BUY</t>
        </is>
      </c>
      <c r="E12" s="1221" t="n">
        <v>500</v>
      </c>
      <c r="F12" s="1222" t="n">
        <v>11.6</v>
      </c>
      <c r="G12" s="1221" t="n">
        <v>5</v>
      </c>
      <c r="H12" s="1224">
        <f>E12*F12</f>
        <v/>
      </c>
      <c r="I12" s="1259" t="inlineStr">
        <is>
          <t>—</t>
        </is>
      </c>
      <c r="J12" s="1260" t="inlineStr">
        <is>
          <t>BUY</t>
        </is>
      </c>
    </row>
    <row r="13" ht="17" customHeight="1">
      <c r="A13" s="1248" t="inlineStr">
        <is>
          <t>2026-05-08</t>
        </is>
      </c>
      <c r="B13" s="1249" t="inlineStr">
        <is>
          <t>BTSGIF.BK</t>
        </is>
      </c>
      <c r="C13" s="1250" t="inlineStr">
        <is>
          <t>BTSGIF</t>
        </is>
      </c>
      <c r="D13" s="1251" t="inlineStr">
        <is>
          <t>BUY</t>
        </is>
      </c>
      <c r="E13" s="1252" t="n">
        <v>2300</v>
      </c>
      <c r="F13" s="1253" t="n">
        <v>2.62</v>
      </c>
      <c r="G13" s="1252" t="n">
        <v>23</v>
      </c>
      <c r="H13" s="1254">
        <f>E13*F13</f>
        <v/>
      </c>
      <c r="I13" s="1255" t="inlineStr">
        <is>
          <t>—</t>
        </is>
      </c>
      <c r="J13" s="1256" t="inlineStr">
        <is>
          <t>BUY</t>
        </is>
      </c>
    </row>
    <row r="15" ht="22" customHeight="1">
      <c r="G15" s="52" t="inlineStr">
        <is>
          <t>TOTAL TRADES</t>
        </is>
      </c>
      <c r="H15" s="1264">
        <f>SUM(H3:H13)</f>
        <v/>
      </c>
      <c r="I15" s="1264">
        <f>SUM(I3:I13)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2026-05-18T02:40:29Z</dcterms:modified>
</cp:coreProperties>
</file>