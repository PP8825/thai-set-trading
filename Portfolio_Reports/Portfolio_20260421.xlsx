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oday's Trades" sheetId="3" state="visible" r:id="rId3"/>
    <sheet xmlns:r="http://schemas.openxmlformats.org/officeDocument/2006/relationships" name="Trad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฿#,##0;(฿#,##0);-"/>
    <numFmt numFmtId="165" formatCode="0.00%;(0.00%);-"/>
    <numFmt numFmtId="166" formatCode="฿#,##0.00;(฿#,##0.00);-"/>
    <numFmt numFmtId="167" formatCode="฿#,##0;(฿#,##0);&quot;-&quot;"/>
    <numFmt numFmtId="168" formatCode="0.00%;(0.00%);&quot;-&quot;"/>
  </numFmts>
  <fonts count="22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00000"/>
      <sz val="11"/>
    </font>
    <font>
      <name val="Arial"/>
      <color rgb="00595959"/>
      <sz val="10"/>
    </font>
    <font>
      <name val="Arial"/>
      <b val="1"/>
      <color rgb="002E75B6"/>
      <sz val="11"/>
    </font>
    <font>
      <name val="Arial"/>
      <b val="1"/>
      <color rgb="00595959"/>
      <sz val="11"/>
    </font>
    <font>
      <name val="Arial"/>
      <b val="1"/>
      <color rgb="0000B050"/>
      <sz val="11"/>
    </font>
    <font>
      <name val="Arial"/>
      <i val="1"/>
      <color rgb="00C00000"/>
      <sz val="9"/>
    </font>
    <font>
      <name val="Arial"/>
      <b val="1"/>
      <color rgb="00C9A84C"/>
      <sz val="14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00B050"/>
      <sz val="10"/>
    </font>
    <font>
      <name val="Arial"/>
      <color rgb="0000B050"/>
      <sz val="10"/>
    </font>
    <font>
      <name val="Arial"/>
      <i val="1"/>
      <color rgb="00595959"/>
      <sz val="11"/>
    </font>
    <font>
      <name val="Arial"/>
      <b val="1"/>
      <color rgb="0000B05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C8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3" fontId="14" fillId="6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center" vertical="center"/>
    </xf>
    <xf numFmtId="167" fontId="16" fillId="6" borderId="1" applyAlignment="1" pivotButton="0" quotePrefix="0" xfId="0">
      <alignment horizontal="center" vertical="center"/>
    </xf>
    <xf numFmtId="168" fontId="1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3" fontId="14" fillId="8" borderId="1" applyAlignment="1" pivotButton="0" quotePrefix="0" xfId="0">
      <alignment horizontal="right" vertical="center"/>
    </xf>
    <xf numFmtId="166" fontId="15" fillId="8" borderId="1" applyAlignment="1" pivotButton="0" quotePrefix="0" xfId="0">
      <alignment horizontal="right" vertical="center"/>
    </xf>
    <xf numFmtId="166" fontId="14" fillId="8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center" vertical="center"/>
    </xf>
    <xf numFmtId="167" fontId="18" fillId="8" borderId="1" applyAlignment="1" pivotButton="0" quotePrefix="0" xfId="0">
      <alignment horizontal="center" vertical="center"/>
    </xf>
    <xf numFmtId="168" fontId="19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7" fontId="18" fillId="6" borderId="1" applyAlignment="1" pivotButton="0" quotePrefix="0" xfId="0">
      <alignment horizontal="center" vertical="center"/>
    </xf>
    <xf numFmtId="168" fontId="19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center" vertical="center"/>
    </xf>
    <xf numFmtId="168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3" fontId="14" fillId="5" borderId="1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4" fillId="0" borderId="0" pivotButton="0" quotePrefix="0" xfId="0"/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" customWidth="1" min="5" max="5"/>
  </cols>
  <sheetData>
    <row r="1" ht="40" customHeight="1">
      <c r="B1" s="1" t="inlineStr">
        <is>
          <t>🇹🇭  SET Portfolio — End-of-Day Report</t>
        </is>
      </c>
    </row>
    <row r="2" ht="20" customHeight="1">
      <c r="B2" s="2" t="inlineStr">
        <is>
          <t>Date: Tuesday, 21 April 2026  |  Day 2 (since 2026-04-21)  |  Capital: ฿300,000</t>
        </is>
      </c>
    </row>
    <row r="4" ht="22" customHeight="1">
      <c r="B4" s="3" t="inlineStr">
        <is>
          <t>Metric</t>
        </is>
      </c>
      <c r="C4" s="3" t="inlineStr">
        <is>
          <t>Value</t>
        </is>
      </c>
      <c r="D4" s="3" t="inlineStr">
        <is>
          <t>Notes</t>
        </is>
      </c>
    </row>
    <row r="5" ht="22" customHeight="1">
      <c r="B5" s="4" t="inlineStr">
        <is>
          <t>Portfolio Value</t>
        </is>
      </c>
      <c r="C5" s="5" t="n">
        <v>299325.3075024486</v>
      </c>
      <c r="D5" s="6" t="inlineStr">
        <is>
          <t>Cash + market value of 10 positions</t>
        </is>
      </c>
    </row>
    <row r="6" ht="22" customHeight="1">
      <c r="B6" s="7" t="inlineStr">
        <is>
          <t>Cash Available</t>
        </is>
      </c>
      <c r="C6" s="8" t="n">
        <v>29448.30848187208</v>
      </c>
      <c r="D6" s="9" t="inlineStr">
        <is>
          <t>Ready to deploy (incl. 5% buffer)</t>
        </is>
      </c>
    </row>
    <row r="7" ht="22" customHeight="1">
      <c r="B7" s="4" t="inlineStr">
        <is>
          <t>Amount Invested</t>
        </is>
      </c>
      <c r="C7" s="10" t="n">
        <v>269876.9990205765</v>
      </c>
      <c r="D7" s="6" t="inlineStr">
        <is>
          <t>Current market value of open positions</t>
        </is>
      </c>
    </row>
    <row r="8" ht="22" customHeight="1">
      <c r="B8" s="7" t="inlineStr">
        <is>
          <t>Total P&amp;L</t>
        </is>
      </c>
      <c r="C8" s="11" t="n">
        <v>-674.6924975514412</v>
      </c>
      <c r="D8" s="9" t="inlineStr">
        <is>
          <t>vs starting capital ฿300,000</t>
        </is>
      </c>
    </row>
    <row r="9" ht="22" customHeight="1">
      <c r="B9" s="4" t="inlineStr">
        <is>
          <t>Total Return</t>
        </is>
      </c>
      <c r="C9" s="12" t="n">
        <v>-0.002248974991838137</v>
      </c>
      <c r="D9" s="6" t="inlineStr">
        <is>
          <t>Cumulative % from start date</t>
        </is>
      </c>
    </row>
    <row r="10" ht="22" customHeight="1">
      <c r="B10" s="7" t="inlineStr">
        <is>
          <t>Drawdown</t>
        </is>
      </c>
      <c r="C10" s="13" t="n">
        <v>0</v>
      </c>
      <c r="D10" s="9" t="inlineStr">
        <is>
          <t>From peak portfolio value</t>
        </is>
      </c>
    </row>
    <row r="11" ht="22" customHeight="1">
      <c r="B11" s="4" t="inlineStr">
        <is>
          <t>Today's Realised P&amp;L</t>
        </is>
      </c>
      <c r="C11" s="14" t="n">
        <v>0</v>
      </c>
      <c r="D11" s="6" t="inlineStr">
        <is>
          <t>Closed trades only</t>
        </is>
      </c>
    </row>
    <row r="12" ht="22" customHeight="1">
      <c r="B12" s="7" t="inlineStr">
        <is>
          <t>Positions</t>
        </is>
      </c>
      <c r="C12" s="15" t="n">
        <v>10</v>
      </c>
      <c r="D12" s="9" t="inlineStr">
        <is>
          <t>Max allowed: 10</t>
        </is>
      </c>
    </row>
    <row r="13" ht="22" customHeight="1">
      <c r="B13" s="4" t="inlineStr">
        <is>
          <t>Trades Today</t>
        </is>
      </c>
      <c r="C13" s="16" t="n">
        <v>0</v>
      </c>
      <c r="D13" s="6" t="inlineStr">
        <is>
          <t>BUY + SELL orders</t>
        </is>
      </c>
    </row>
    <row r="14" ht="22" customHeight="1">
      <c r="B14" s="7" t="inlineStr">
        <is>
          <t>BUY / SELL today</t>
        </is>
      </c>
      <c r="C14" s="17" t="inlineStr">
        <is>
          <t>0 BUY  /  0 SELL</t>
        </is>
      </c>
      <c r="D14" s="9" t="inlineStr">
        <is>
          <t>Executed this session</t>
        </is>
      </c>
    </row>
    <row r="17" ht="28" customHeight="1">
      <c r="B17" s="18" t="inlineStr">
        <is>
          <t>⚠  For educational purposes only. Not financial advice. Report generated automatically at market close.</t>
        </is>
      </c>
    </row>
  </sheetData>
  <mergeCells count="3">
    <mergeCell ref="B17:D17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3" customWidth="1" min="4" max="4"/>
    <col width="13" customWidth="1" min="5" max="5"/>
    <col width="14" customWidth="1" min="6" max="6"/>
    <col width="18" customWidth="1" min="7" max="7"/>
    <col width="16" customWidth="1" min="8" max="8"/>
    <col width="14" customWidth="1" min="9" max="9"/>
  </cols>
  <sheetData>
    <row r="1" ht="34" customHeight="1">
      <c r="A1" s="19" t="inlineStr">
        <is>
          <t>Current Holdings  —  21 Apr 2026</t>
        </is>
      </c>
    </row>
    <row r="2" ht="22" customHeight="1">
      <c r="A2" s="20" t="inlineStr">
        <is>
          <t>Ticker</t>
        </is>
      </c>
      <c r="B2" s="20" t="inlineStr">
        <is>
          <t>Stock Name</t>
        </is>
      </c>
      <c r="C2" s="20" t="inlineStr">
        <is>
          <t>Shares</t>
        </is>
      </c>
      <c r="D2" s="20" t="inlineStr">
        <is>
          <t>Avg Cost (฿)</t>
        </is>
      </c>
      <c r="E2" s="20" t="inlineStr">
        <is>
          <t>Current Price (฿)</t>
        </is>
      </c>
      <c r="F2" s="20" t="inlineStr">
        <is>
          <t>Market Value (฿)</t>
        </is>
      </c>
      <c r="G2" s="20" t="inlineStr">
        <is>
          <t>Unrealised P&amp;L (฿)</t>
        </is>
      </c>
      <c r="H2" s="20" t="inlineStr">
        <is>
          <t>P&amp;L %</t>
        </is>
      </c>
      <c r="I2" s="20" t="inlineStr">
        <is>
          <t>Entry Date</t>
        </is>
      </c>
    </row>
    <row r="3" ht="20" customHeight="1">
      <c r="A3" s="21" t="inlineStr">
        <is>
          <t>TU.BK</t>
        </is>
      </c>
      <c r="B3" s="22" t="inlineStr">
        <is>
          <t>TU</t>
        </is>
      </c>
      <c r="C3" s="23" t="n">
        <v>2500</v>
      </c>
      <c r="D3" s="24" t="n">
        <v>11.4</v>
      </c>
      <c r="E3" s="25" t="n">
        <v>11.39999961853027</v>
      </c>
      <c r="F3" s="26">
        <f>C3*E3</f>
        <v/>
      </c>
      <c r="G3" s="27">
        <f>F3-C3*D3</f>
        <v/>
      </c>
      <c r="H3" s="28">
        <f>(E3-D3)/D3</f>
        <v/>
      </c>
      <c r="I3" s="29" t="inlineStr">
        <is>
          <t>2026-04-20</t>
        </is>
      </c>
    </row>
    <row r="4" ht="20" customHeight="1">
      <c r="A4" s="21" t="inlineStr">
        <is>
          <t>SIRI.BK</t>
        </is>
      </c>
      <c r="B4" s="22" t="inlineStr">
        <is>
          <t>SIRI</t>
        </is>
      </c>
      <c r="C4" s="23" t="n">
        <v>20200</v>
      </c>
      <c r="D4" s="24" t="n">
        <v>1.41</v>
      </c>
      <c r="E4" s="25" t="n">
        <v>1.409999966621399</v>
      </c>
      <c r="F4" s="26">
        <f>C4*E4</f>
        <v/>
      </c>
      <c r="G4" s="27">
        <f>F4-C4*D4</f>
        <v/>
      </c>
      <c r="H4" s="28">
        <f>(E4-D4)/D4</f>
        <v/>
      </c>
      <c r="I4" s="29" t="inlineStr">
        <is>
          <t>2026-04-20</t>
        </is>
      </c>
    </row>
    <row r="5" ht="20" customHeight="1">
      <c r="A5" s="30" t="inlineStr">
        <is>
          <t>WHA.BK</t>
        </is>
      </c>
      <c r="B5" s="31" t="inlineStr">
        <is>
          <t>WHA</t>
        </is>
      </c>
      <c r="C5" s="32" t="n">
        <v>6400</v>
      </c>
      <c r="D5" s="33" t="n">
        <v>4.4</v>
      </c>
      <c r="E5" s="34" t="n">
        <v>4.400000095367432</v>
      </c>
      <c r="F5" s="35">
        <f>C5*E5</f>
        <v/>
      </c>
      <c r="G5" s="36">
        <f>F5-C5*D5</f>
        <v/>
      </c>
      <c r="H5" s="37">
        <f>(E5-D5)/D5</f>
        <v/>
      </c>
      <c r="I5" s="38" t="inlineStr">
        <is>
          <t>2026-04-20</t>
        </is>
      </c>
    </row>
    <row r="6" ht="20" customHeight="1">
      <c r="A6" s="21" t="inlineStr">
        <is>
          <t>JASIF.BK</t>
        </is>
      </c>
      <c r="B6" s="22" t="inlineStr">
        <is>
          <t>JASIF</t>
        </is>
      </c>
      <c r="C6" s="23" t="n">
        <v>4200</v>
      </c>
      <c r="D6" s="24" t="n">
        <v>6.7</v>
      </c>
      <c r="E6" s="25" t="n">
        <v>6.699999809265137</v>
      </c>
      <c r="F6" s="26">
        <f>C6*E6</f>
        <v/>
      </c>
      <c r="G6" s="27">
        <f>F6-C6*D6</f>
        <v/>
      </c>
      <c r="H6" s="28">
        <f>(E6-D6)/D6</f>
        <v/>
      </c>
      <c r="I6" s="29" t="inlineStr">
        <is>
          <t>2026-04-20</t>
        </is>
      </c>
    </row>
    <row r="7" ht="20" customHeight="1">
      <c r="A7" s="30" t="inlineStr">
        <is>
          <t>CK.BK</t>
        </is>
      </c>
      <c r="B7" s="31" t="inlineStr">
        <is>
          <t>CK</t>
        </is>
      </c>
      <c r="C7" s="32" t="n">
        <v>1600</v>
      </c>
      <c r="D7" s="33" t="n">
        <v>17.2</v>
      </c>
      <c r="E7" s="34" t="n">
        <v>17.20000076293945</v>
      </c>
      <c r="F7" s="35">
        <f>C7*E7</f>
        <v/>
      </c>
      <c r="G7" s="36">
        <f>F7-C7*D7</f>
        <v/>
      </c>
      <c r="H7" s="37">
        <f>(E7-D7)/D7</f>
        <v/>
      </c>
      <c r="I7" s="38" t="inlineStr">
        <is>
          <t>2026-04-20</t>
        </is>
      </c>
    </row>
    <row r="8" ht="20" customHeight="1">
      <c r="A8" s="21" t="inlineStr">
        <is>
          <t>TQM.BK</t>
        </is>
      </c>
      <c r="B8" s="22" t="inlineStr">
        <is>
          <t>TQM</t>
        </is>
      </c>
      <c r="C8" s="23" t="n">
        <v>2000</v>
      </c>
      <c r="D8" s="24" t="n">
        <v>13.7</v>
      </c>
      <c r="E8" s="25" t="n">
        <v>13.69999980926514</v>
      </c>
      <c r="F8" s="26">
        <f>C8*E8</f>
        <v/>
      </c>
      <c r="G8" s="27">
        <f>F8-C8*D8</f>
        <v/>
      </c>
      <c r="H8" s="28">
        <f>(E8-D8)/D8</f>
        <v/>
      </c>
      <c r="I8" s="29" t="inlineStr">
        <is>
          <t>2026-04-20</t>
        </is>
      </c>
    </row>
    <row r="9" ht="20" customHeight="1">
      <c r="A9" s="21" t="inlineStr">
        <is>
          <t>AMATA.BK</t>
        </is>
      </c>
      <c r="B9" s="22" t="inlineStr">
        <is>
          <t>AMATA</t>
        </is>
      </c>
      <c r="C9" s="23" t="n">
        <v>1300</v>
      </c>
      <c r="D9" s="24" t="n">
        <v>20.5</v>
      </c>
      <c r="E9" s="25" t="n">
        <v>20.5</v>
      </c>
      <c r="F9" s="26">
        <f>C9*E9</f>
        <v/>
      </c>
      <c r="G9" s="39">
        <f>F9-C9*D9</f>
        <v/>
      </c>
      <c r="H9" s="40">
        <f>(E9-D9)/D9</f>
        <v/>
      </c>
      <c r="I9" s="29" t="inlineStr">
        <is>
          <t>2026-04-20</t>
        </is>
      </c>
    </row>
    <row r="10" ht="20" customHeight="1">
      <c r="A10" s="21" t="inlineStr">
        <is>
          <t>KTC.BK</t>
        </is>
      </c>
      <c r="B10" s="22" t="inlineStr">
        <is>
          <t>KTC</t>
        </is>
      </c>
      <c r="C10" s="23" t="n">
        <v>900</v>
      </c>
      <c r="D10" s="24" t="n">
        <v>29.25</v>
      </c>
      <c r="E10" s="25" t="n">
        <v>29.25</v>
      </c>
      <c r="F10" s="26">
        <f>C10*E10</f>
        <v/>
      </c>
      <c r="G10" s="39">
        <f>F10-C10*D10</f>
        <v/>
      </c>
      <c r="H10" s="40">
        <f>(E10-D10)/D10</f>
        <v/>
      </c>
      <c r="I10" s="29" t="inlineStr">
        <is>
          <t>2026-04-20</t>
        </is>
      </c>
    </row>
    <row r="11" ht="20" customHeight="1">
      <c r="A11" s="21" t="inlineStr">
        <is>
          <t>BAY.BK</t>
        </is>
      </c>
      <c r="B11" s="22" t="inlineStr">
        <is>
          <t>BAY</t>
        </is>
      </c>
      <c r="C11" s="23" t="n">
        <v>1000</v>
      </c>
      <c r="D11" s="24" t="n">
        <v>26</v>
      </c>
      <c r="E11" s="25" t="n">
        <v>26</v>
      </c>
      <c r="F11" s="26">
        <f>C11*E11</f>
        <v/>
      </c>
      <c r="G11" s="39">
        <f>F11-C11*D11</f>
        <v/>
      </c>
      <c r="H11" s="40">
        <f>(E11-D11)/D11</f>
        <v/>
      </c>
      <c r="I11" s="29" t="inlineStr">
        <is>
          <t>2026-04-20</t>
        </is>
      </c>
    </row>
    <row r="12" ht="20" customHeight="1">
      <c r="A12" s="21" t="inlineStr">
        <is>
          <t>TISCO.BK</t>
        </is>
      </c>
      <c r="B12" s="22" t="inlineStr">
        <is>
          <t>TISCO</t>
        </is>
      </c>
      <c r="C12" s="23" t="n">
        <v>200</v>
      </c>
      <c r="D12" s="24" t="n">
        <v>113.5</v>
      </c>
      <c r="E12" s="25" t="n">
        <v>113.5</v>
      </c>
      <c r="F12" s="26">
        <f>C12*E12</f>
        <v/>
      </c>
      <c r="G12" s="39">
        <f>F12-C12*D12</f>
        <v/>
      </c>
      <c r="H12" s="40">
        <f>(E12-D12)/D12</f>
        <v/>
      </c>
      <c r="I12" s="29" t="inlineStr">
        <is>
          <t>2026-04-20</t>
        </is>
      </c>
    </row>
    <row r="13" ht="22" customHeight="1">
      <c r="B13" s="41" t="inlineStr">
        <is>
          <t>TOTAL</t>
        </is>
      </c>
      <c r="F13" s="42">
        <f>SUM(F3:F12)</f>
        <v/>
      </c>
      <c r="G13" s="43">
        <f>SUM(G3:G12)</f>
        <v/>
      </c>
      <c r="H13" s="44">
        <f>G13/SUMPRODUCT(C3:C12,D3:D12)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8" customWidth="1" min="4" max="4"/>
    <col width="13" customWidth="1" min="5" max="5"/>
    <col width="8" customWidth="1" min="6" max="6"/>
    <col width="14" customWidth="1" min="7" max="7"/>
    <col width="13" customWidth="1" min="8" max="8"/>
    <col width="18" customWidth="1" min="9" max="9"/>
  </cols>
  <sheetData>
    <row r="1" ht="34" customHeight="1">
      <c r="A1" s="19" t="inlineStr">
        <is>
          <t>Today's Trades  —  21 Apr 2026</t>
        </is>
      </c>
    </row>
    <row r="3" ht="30" customHeight="1">
      <c r="A3" s="45" t="inlineStr">
        <is>
          <t>No trades were executed today.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8" customWidth="1" min="5" max="5"/>
    <col width="13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 ht="34" customHeight="1">
      <c r="A1" s="19" t="inlineStr">
        <is>
          <t>Complete Trade History  —  since 2026-04-21</t>
        </is>
      </c>
    </row>
    <row r="2" ht="22" customHeight="1">
      <c r="A2" s="20" t="inlineStr">
        <is>
          <t>Date</t>
        </is>
      </c>
      <c r="B2" s="20" t="inlineStr">
        <is>
          <t>Ticker</t>
        </is>
      </c>
      <c r="C2" s="20" t="inlineStr">
        <is>
          <t>Stock</t>
        </is>
      </c>
      <c r="D2" s="20" t="inlineStr">
        <is>
          <t>Action</t>
        </is>
      </c>
      <c r="E2" s="20" t="inlineStr">
        <is>
          <t>Shares</t>
        </is>
      </c>
      <c r="F2" s="20" t="inlineStr">
        <is>
          <t>Price (฿)</t>
        </is>
      </c>
      <c r="G2" s="20" t="inlineStr">
        <is>
          <t>Lots</t>
        </is>
      </c>
      <c r="H2" s="20" t="inlineStr">
        <is>
          <t>Value (฿)</t>
        </is>
      </c>
      <c r="I2" s="20" t="inlineStr">
        <is>
          <t>Realised P&amp;L (฿)</t>
        </is>
      </c>
      <c r="J2" s="20" t="inlineStr">
        <is>
          <t>Reason / Signal</t>
        </is>
      </c>
    </row>
    <row r="3" ht="17" customHeight="1">
      <c r="A3" s="46" t="inlineStr">
        <is>
          <t>2026-04-20</t>
        </is>
      </c>
      <c r="B3" s="47" t="inlineStr">
        <is>
          <t>TISCO.BK</t>
        </is>
      </c>
      <c r="C3" s="48" t="inlineStr">
        <is>
          <t>TISCO</t>
        </is>
      </c>
      <c r="D3" s="49" t="inlineStr">
        <is>
          <t>BUY</t>
        </is>
      </c>
      <c r="E3" s="50" t="n">
        <v>200</v>
      </c>
      <c r="F3" s="51" t="n">
        <v>113.5</v>
      </c>
      <c r="G3" s="50" t="n">
        <v>2</v>
      </c>
      <c r="H3" s="52">
        <f>E3*F3</f>
        <v/>
      </c>
      <c r="I3" s="53" t="inlineStr">
        <is>
          <t>—</t>
        </is>
      </c>
      <c r="J3" s="6" t="inlineStr">
        <is>
          <t>BUY (Day 1)</t>
        </is>
      </c>
    </row>
    <row r="4" ht="17" customHeight="1">
      <c r="A4" s="54" t="inlineStr">
        <is>
          <t>2026-04-20</t>
        </is>
      </c>
      <c r="B4" s="55" t="inlineStr">
        <is>
          <t>SIRI.BK</t>
        </is>
      </c>
      <c r="C4" s="22" t="inlineStr">
        <is>
          <t>SIRI</t>
        </is>
      </c>
      <c r="D4" s="49" t="inlineStr">
        <is>
          <t>BUY</t>
        </is>
      </c>
      <c r="E4" s="23" t="n">
        <v>20200</v>
      </c>
      <c r="F4" s="24" t="n">
        <v>1.41</v>
      </c>
      <c r="G4" s="23" t="n">
        <v>202</v>
      </c>
      <c r="H4" s="26">
        <f>E4*F4</f>
        <v/>
      </c>
      <c r="I4" s="56" t="inlineStr">
        <is>
          <t>—</t>
        </is>
      </c>
      <c r="J4" s="9" t="inlineStr">
        <is>
          <t>BUY (Day 1)</t>
        </is>
      </c>
    </row>
    <row r="5" ht="17" customHeight="1">
      <c r="A5" s="46" t="inlineStr">
        <is>
          <t>2026-04-20</t>
        </is>
      </c>
      <c r="B5" s="47" t="inlineStr">
        <is>
          <t>TU.BK</t>
        </is>
      </c>
      <c r="C5" s="48" t="inlineStr">
        <is>
          <t>TU</t>
        </is>
      </c>
      <c r="D5" s="49" t="inlineStr">
        <is>
          <t>BUY</t>
        </is>
      </c>
      <c r="E5" s="50" t="n">
        <v>2500</v>
      </c>
      <c r="F5" s="51" t="n">
        <v>11.4</v>
      </c>
      <c r="G5" s="50" t="n">
        <v>25</v>
      </c>
      <c r="H5" s="52">
        <f>E5*F5</f>
        <v/>
      </c>
      <c r="I5" s="53" t="inlineStr">
        <is>
          <t>—</t>
        </is>
      </c>
      <c r="J5" s="6" t="inlineStr">
        <is>
          <t>BUY (Day 1)</t>
        </is>
      </c>
    </row>
    <row r="6" ht="17" customHeight="1">
      <c r="A6" s="54" t="inlineStr">
        <is>
          <t>2026-04-20</t>
        </is>
      </c>
      <c r="B6" s="55" t="inlineStr">
        <is>
          <t>BAY.BK</t>
        </is>
      </c>
      <c r="C6" s="22" t="inlineStr">
        <is>
          <t>BAY</t>
        </is>
      </c>
      <c r="D6" s="49" t="inlineStr">
        <is>
          <t>BUY</t>
        </is>
      </c>
      <c r="E6" s="23" t="n">
        <v>1000</v>
      </c>
      <c r="F6" s="24" t="n">
        <v>26</v>
      </c>
      <c r="G6" s="23" t="n">
        <v>10</v>
      </c>
      <c r="H6" s="26">
        <f>E6*F6</f>
        <v/>
      </c>
      <c r="I6" s="56" t="inlineStr">
        <is>
          <t>—</t>
        </is>
      </c>
      <c r="J6" s="9" t="inlineStr">
        <is>
          <t>BUY (Day 1)</t>
        </is>
      </c>
    </row>
    <row r="7" ht="17" customHeight="1">
      <c r="A7" s="46" t="inlineStr">
        <is>
          <t>2026-04-20</t>
        </is>
      </c>
      <c r="B7" s="47" t="inlineStr">
        <is>
          <t>KTC.BK</t>
        </is>
      </c>
      <c r="C7" s="48" t="inlineStr">
        <is>
          <t>KTC</t>
        </is>
      </c>
      <c r="D7" s="49" t="inlineStr">
        <is>
          <t>BUY</t>
        </is>
      </c>
      <c r="E7" s="50" t="n">
        <v>900</v>
      </c>
      <c r="F7" s="51" t="n">
        <v>29.25</v>
      </c>
      <c r="G7" s="50" t="n">
        <v>9</v>
      </c>
      <c r="H7" s="52">
        <f>E7*F7</f>
        <v/>
      </c>
      <c r="I7" s="53" t="inlineStr">
        <is>
          <t>—</t>
        </is>
      </c>
      <c r="J7" s="6" t="inlineStr">
        <is>
          <t>BUY (Day 1)</t>
        </is>
      </c>
    </row>
    <row r="8" ht="17" customHeight="1">
      <c r="A8" s="54" t="inlineStr">
        <is>
          <t>2026-04-20</t>
        </is>
      </c>
      <c r="B8" s="55" t="inlineStr">
        <is>
          <t>TQM.BK</t>
        </is>
      </c>
      <c r="C8" s="22" t="inlineStr">
        <is>
          <t>TQM</t>
        </is>
      </c>
      <c r="D8" s="49" t="inlineStr">
        <is>
          <t>BUY</t>
        </is>
      </c>
      <c r="E8" s="23" t="n">
        <v>2000</v>
      </c>
      <c r="F8" s="24" t="n">
        <v>13.7</v>
      </c>
      <c r="G8" s="23" t="n">
        <v>20</v>
      </c>
      <c r="H8" s="26">
        <f>E8*F8</f>
        <v/>
      </c>
      <c r="I8" s="56" t="inlineStr">
        <is>
          <t>—</t>
        </is>
      </c>
      <c r="J8" s="9" t="inlineStr">
        <is>
          <t>BUY (Day 1)</t>
        </is>
      </c>
    </row>
    <row r="9" ht="17" customHeight="1">
      <c r="A9" s="46" t="inlineStr">
        <is>
          <t>2026-04-20</t>
        </is>
      </c>
      <c r="B9" s="47" t="inlineStr">
        <is>
          <t>WHA.BK</t>
        </is>
      </c>
      <c r="C9" s="48" t="inlineStr">
        <is>
          <t>WHA</t>
        </is>
      </c>
      <c r="D9" s="49" t="inlineStr">
        <is>
          <t>BUY</t>
        </is>
      </c>
      <c r="E9" s="50" t="n">
        <v>6400</v>
      </c>
      <c r="F9" s="51" t="n">
        <v>4.4</v>
      </c>
      <c r="G9" s="50" t="n">
        <v>64</v>
      </c>
      <c r="H9" s="52">
        <f>E9*F9</f>
        <v/>
      </c>
      <c r="I9" s="53" t="inlineStr">
        <is>
          <t>—</t>
        </is>
      </c>
      <c r="J9" s="6" t="inlineStr">
        <is>
          <t>BUY (Day 1)</t>
        </is>
      </c>
    </row>
    <row r="10" ht="17" customHeight="1">
      <c r="A10" s="54" t="inlineStr">
        <is>
          <t>2026-04-20</t>
        </is>
      </c>
      <c r="B10" s="55" t="inlineStr">
        <is>
          <t>JASIF.BK</t>
        </is>
      </c>
      <c r="C10" s="22" t="inlineStr">
        <is>
          <t>JASIF</t>
        </is>
      </c>
      <c r="D10" s="49" t="inlineStr">
        <is>
          <t>BUY</t>
        </is>
      </c>
      <c r="E10" s="23" t="n">
        <v>4200</v>
      </c>
      <c r="F10" s="24" t="n">
        <v>6.7</v>
      </c>
      <c r="G10" s="23" t="n">
        <v>42</v>
      </c>
      <c r="H10" s="26">
        <f>E10*F10</f>
        <v/>
      </c>
      <c r="I10" s="56" t="inlineStr">
        <is>
          <t>—</t>
        </is>
      </c>
      <c r="J10" s="9" t="inlineStr">
        <is>
          <t>BUY (Day 1)</t>
        </is>
      </c>
    </row>
    <row r="11" ht="17" customHeight="1">
      <c r="A11" s="46" t="inlineStr">
        <is>
          <t>2026-04-20</t>
        </is>
      </c>
      <c r="B11" s="47" t="inlineStr">
        <is>
          <t>CK.BK</t>
        </is>
      </c>
      <c r="C11" s="48" t="inlineStr">
        <is>
          <t>CK</t>
        </is>
      </c>
      <c r="D11" s="49" t="inlineStr">
        <is>
          <t>BUY</t>
        </is>
      </c>
      <c r="E11" s="50" t="n">
        <v>1600</v>
      </c>
      <c r="F11" s="51" t="n">
        <v>17.2</v>
      </c>
      <c r="G11" s="50" t="n">
        <v>16</v>
      </c>
      <c r="H11" s="52">
        <f>E11*F11</f>
        <v/>
      </c>
      <c r="I11" s="53" t="inlineStr">
        <is>
          <t>—</t>
        </is>
      </c>
      <c r="J11" s="6" t="inlineStr">
        <is>
          <t>BUY (Day 1)</t>
        </is>
      </c>
    </row>
    <row r="12" ht="17" customHeight="1">
      <c r="A12" s="54" t="inlineStr">
        <is>
          <t>2026-04-20</t>
        </is>
      </c>
      <c r="B12" s="55" t="inlineStr">
        <is>
          <t>AMATA.BK</t>
        </is>
      </c>
      <c r="C12" s="22" t="inlineStr">
        <is>
          <t>AMATA</t>
        </is>
      </c>
      <c r="D12" s="49" t="inlineStr">
        <is>
          <t>BUY</t>
        </is>
      </c>
      <c r="E12" s="23" t="n">
        <v>1300</v>
      </c>
      <c r="F12" s="24" t="n">
        <v>20.5</v>
      </c>
      <c r="G12" s="23" t="n">
        <v>13</v>
      </c>
      <c r="H12" s="26">
        <f>E12*F12</f>
        <v/>
      </c>
      <c r="I12" s="56" t="inlineStr">
        <is>
          <t>—</t>
        </is>
      </c>
      <c r="J12" s="9" t="inlineStr">
        <is>
          <t>BUY (Day 1)</t>
        </is>
      </c>
    </row>
    <row r="14" ht="22" customHeight="1">
      <c r="G14" s="57" t="inlineStr">
        <is>
          <t>TOTAL TRADES</t>
        </is>
      </c>
      <c r="H14" s="58">
        <f>SUM(H3:H12)</f>
        <v/>
      </c>
      <c r="I14" s="58">
        <f>SUM(I3:I12)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2026-04-21T09:41:14Z</dcterms:created>
  <dcterms:modified xmlns:dcterms="http://purl.org/dc/terms/" xmlns:xsi="http://www.w3.org/2001/XMLSchema-instance" xsi:type="dcterms:W3CDTF">2026-04-21T09:41:14Z</dcterms:modified>
</cp:coreProperties>
</file>